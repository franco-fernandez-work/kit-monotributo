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Parámetros" sheetId="2" state="visible" r:id="rId2"/>
    <sheet xmlns:r="http://schemas.openxmlformats.org/officeDocument/2006/relationships" name="Presupuesto" sheetId="3" state="visible" r:id="rId3"/>
    <sheet xmlns:r="http://schemas.openxmlformats.org/officeDocument/2006/relationships" name="Real" sheetId="4" state="visible" r:id="rId4"/>
    <sheet xmlns:r="http://schemas.openxmlformats.org/officeDocument/2006/relationships"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&quot;$&quot; #,##0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</font>
    <font>
      <b val="1"/>
      <color rgb="001F4E79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3" borderId="1" pivotButton="0" quotePrefix="0" xfId="0"/>
    <xf numFmtId="165" fontId="0" fillId="4" borderId="1" pivotButton="0" quotePrefix="0" xfId="0"/>
    <xf numFmtId="0" fontId="5" fillId="0" borderId="0" pivotButton="0" quotePrefix="0" xfId="0"/>
    <xf numFmtId="166" fontId="0" fillId="3" borderId="1" pivotButton="0" quotePrefix="0" xfId="0"/>
    <xf numFmtId="9" fontId="0" fillId="3" borderId="1" pivotButton="0" quotePrefix="0" xfId="0"/>
    <xf numFmtId="0" fontId="0" fillId="3" borderId="1" pivotButton="0" quotePrefix="0" xfId="0"/>
    <xf numFmtId="166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Presupuesto Familiar 2027 con IPC</t>
        </is>
      </c>
    </row>
    <row r="2">
      <c r="A2" s="2" t="inlineStr">
        <is>
          <t>Un presupuesto anual en pesos que se ajusta solo por la inflación que cargues. Excel y Google Sheets.</t>
        </is>
      </c>
    </row>
    <row r="4">
      <c r="A4" s="3" t="inlineStr">
        <is>
          <t>CÓMO USARLO</t>
        </is>
      </c>
    </row>
    <row r="5">
      <c r="A5" t="inlineStr">
        <is>
          <t>1. Pestaña 'Parámetros': cargá el IPC esperado para cada mes de 2027 (por ejemplo 2,5%) y tus ingresos de enero con el aumento mensual que esperás.</t>
        </is>
      </c>
    </row>
    <row r="6">
      <c r="A6" t="inlineStr">
        <is>
          <t>2. Pestaña 'Presupuesto': en cada rubro poné el gasto base de enero y si ajusta por IPC (SI/NO). Los meses siguientes se calculan solos.</t>
        </is>
      </c>
    </row>
    <row r="7">
      <c r="A7" t="inlineStr">
        <is>
          <t>3. Pestaña 'Real': cargá lo que gastaste de verdad cada mes. Compará contra el presupuesto.</t>
        </is>
      </c>
    </row>
    <row r="8">
      <c r="A8" t="inlineStr">
        <is>
          <t>4. Pestaña 'Resumen': ingresos, gastos, ahorro, ahorro acumulado y si tus ingresos le ganan a la inflación (poder de compra).</t>
        </is>
      </c>
    </row>
    <row r="9">
      <c r="A9" t="inlineStr">
        <is>
          <t>5. Cuando el INDEC publique el IPC real de cada mes, reemplazá el esperado por el real y todo se recalcula (fuente: indec.gob.ar).</t>
        </is>
      </c>
    </row>
    <row r="10">
      <c r="A10" t="inlineStr"/>
    </row>
    <row r="11">
      <c r="A11" t="inlineStr">
        <is>
          <t>Celdas amarillas = las cargás vos. Celdas celestes = se calculan solas. Los números de ejemplo son referencia: pisalos con los tuyos.</t>
        </is>
      </c>
    </row>
    <row r="12">
      <c r="A12" t="inlineStr"/>
    </row>
    <row r="13">
      <c r="A13" s="3" t="inlineStr">
        <is>
          <t>AVISO</t>
        </is>
      </c>
    </row>
    <row r="14">
      <c r="A14" t="inlineStr">
        <is>
          <t>Herramienta de cálculo orientativa. No es asesoramiento financiero. Los valores de ejemplo no son predicciones. Para uso propio, prohibida su reventa.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Parámetros</t>
        </is>
      </c>
    </row>
    <row r="2">
      <c r="A2" s="2" t="inlineStr">
        <is>
          <t>IPC mensual esperado e ingresos</t>
        </is>
      </c>
    </row>
    <row r="4">
      <c r="A4" s="4" t="inlineStr">
        <is>
          <t>Concepto</t>
        </is>
      </c>
      <c r="B4" s="4" t="inlineStr">
        <is>
          <t>Ene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Abr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Ago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Dic</t>
        </is>
      </c>
    </row>
    <row r="5">
      <c r="A5" t="inlineStr">
        <is>
          <t>IPC mensual esperado</t>
        </is>
      </c>
      <c r="B5" s="5" t="n">
        <v>0.025</v>
      </c>
      <c r="C5" s="5" t="n">
        <v>0.025</v>
      </c>
      <c r="D5" s="5" t="n">
        <v>0.025</v>
      </c>
      <c r="E5" s="5" t="n">
        <v>0.025</v>
      </c>
      <c r="F5" s="5" t="n">
        <v>0.025</v>
      </c>
      <c r="G5" s="5" t="n">
        <v>0.025</v>
      </c>
      <c r="H5" s="5" t="n">
        <v>0.025</v>
      </c>
      <c r="I5" s="5" t="n">
        <v>0.025</v>
      </c>
      <c r="J5" s="5" t="n">
        <v>0.025</v>
      </c>
      <c r="K5" s="5" t="n">
        <v>0.025</v>
      </c>
      <c r="L5" s="5" t="n">
        <v>0.025</v>
      </c>
      <c r="M5" s="5" t="n">
        <v>0.025</v>
      </c>
    </row>
    <row r="6">
      <c r="A6" t="inlineStr">
        <is>
          <t>Índice de precios (enero = 1)</t>
        </is>
      </c>
      <c r="B6" s="6" t="n">
        <v>1</v>
      </c>
      <c r="C6" s="6">
        <f>B6*(1+C5)</f>
        <v/>
      </c>
      <c r="D6" s="6">
        <f>C6*(1+D5)</f>
        <v/>
      </c>
      <c r="E6" s="6">
        <f>D6*(1+E5)</f>
        <v/>
      </c>
      <c r="F6" s="6">
        <f>E6*(1+F5)</f>
        <v/>
      </c>
      <c r="G6" s="6">
        <f>F6*(1+G5)</f>
        <v/>
      </c>
      <c r="H6" s="6">
        <f>G6*(1+H5)</f>
        <v/>
      </c>
      <c r="I6" s="6">
        <f>H6*(1+I5)</f>
        <v/>
      </c>
      <c r="J6" s="6">
        <f>I6*(1+J5)</f>
        <v/>
      </c>
      <c r="K6" s="6">
        <f>J6*(1+K5)</f>
        <v/>
      </c>
      <c r="L6" s="6">
        <f>K6*(1+L5)</f>
        <v/>
      </c>
      <c r="M6" s="6">
        <f>L6*(1+M5)</f>
        <v/>
      </c>
    </row>
    <row r="8">
      <c r="A8" s="7" t="inlineStr">
        <is>
          <t>Ingresos de enero</t>
        </is>
      </c>
      <c r="B8" s="8" t="n">
        <v>1500000</v>
      </c>
    </row>
    <row r="9">
      <c r="A9" s="7" t="inlineStr">
        <is>
          <t>Aumento mensual esperado de ingresos</t>
        </is>
      </c>
      <c r="B9" s="5" t="n">
        <v>0.02</v>
      </c>
    </row>
    <row r="10">
      <c r="A10" s="7" t="inlineStr">
        <is>
          <t>Meta de ahorro mensual (% del ingreso)</t>
        </is>
      </c>
      <c r="B10" s="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>
      <c r="A1" s="1" t="inlineStr">
        <is>
          <t>Presupuesto 2027</t>
        </is>
      </c>
    </row>
    <row r="2">
      <c r="A2" s="2" t="inlineStr">
        <is>
          <t>Gasto base de enero y ajuste mensual por IPC</t>
        </is>
      </c>
    </row>
    <row r="4">
      <c r="A4" s="4" t="inlineStr">
        <is>
          <t>Rubro</t>
        </is>
      </c>
      <c r="B4" s="4" t="inlineStr">
        <is>
          <t>Base enero</t>
        </is>
      </c>
      <c r="C4" s="4" t="inlineStr">
        <is>
          <t>Ajusta IPC</t>
        </is>
      </c>
      <c r="D4" s="4" t="inlineStr">
        <is>
          <t>Ene</t>
        </is>
      </c>
      <c r="E4" s="4" t="inlineStr">
        <is>
          <t>Feb</t>
        </is>
      </c>
      <c r="F4" s="4" t="inlineStr">
        <is>
          <t>Mar</t>
        </is>
      </c>
      <c r="G4" s="4" t="inlineStr">
        <is>
          <t>Abr</t>
        </is>
      </c>
      <c r="H4" s="4" t="inlineStr">
        <is>
          <t>May</t>
        </is>
      </c>
      <c r="I4" s="4" t="inlineStr">
        <is>
          <t>Jun</t>
        </is>
      </c>
      <c r="J4" s="4" t="inlineStr">
        <is>
          <t>Jul</t>
        </is>
      </c>
      <c r="K4" s="4" t="inlineStr">
        <is>
          <t>Ago</t>
        </is>
      </c>
      <c r="L4" s="4" t="inlineStr">
        <is>
          <t>Sep</t>
        </is>
      </c>
      <c r="M4" s="4" t="inlineStr">
        <is>
          <t>Oct</t>
        </is>
      </c>
      <c r="N4" s="4" t="inlineStr">
        <is>
          <t>Nov</t>
        </is>
      </c>
      <c r="O4" s="4" t="inlineStr">
        <is>
          <t>Dic</t>
        </is>
      </c>
      <c r="P4" s="4" t="inlineStr">
        <is>
          <t>Total año</t>
        </is>
      </c>
    </row>
    <row r="5">
      <c r="A5" t="inlineStr">
        <is>
          <t>Alquiler / cuota de vivienda</t>
        </is>
      </c>
      <c r="B5" s="8" t="n">
        <v>450000</v>
      </c>
      <c r="C5" s="10" t="inlineStr">
        <is>
          <t>SI</t>
        </is>
      </c>
      <c r="D5" s="11">
        <f>$B5*IF($C5="SI",Parámetros!B$6,1)</f>
        <v/>
      </c>
      <c r="E5" s="11">
        <f>$B5*IF($C5="SI",Parámetros!C$6,1)</f>
        <v/>
      </c>
      <c r="F5" s="11">
        <f>$B5*IF($C5="SI",Parámetros!D$6,1)</f>
        <v/>
      </c>
      <c r="G5" s="11">
        <f>$B5*IF($C5="SI",Parámetros!E$6,1)</f>
        <v/>
      </c>
      <c r="H5" s="11">
        <f>$B5*IF($C5="SI",Parámetros!F$6,1)</f>
        <v/>
      </c>
      <c r="I5" s="11">
        <f>$B5*IF($C5="SI",Parámetros!G$6,1)</f>
        <v/>
      </c>
      <c r="J5" s="11">
        <f>$B5*IF($C5="SI",Parámetros!H$6,1)</f>
        <v/>
      </c>
      <c r="K5" s="11">
        <f>$B5*IF($C5="SI",Parámetros!I$6,1)</f>
        <v/>
      </c>
      <c r="L5" s="11">
        <f>$B5*IF($C5="SI",Parámetros!J$6,1)</f>
        <v/>
      </c>
      <c r="M5" s="11">
        <f>$B5*IF($C5="SI",Parámetros!K$6,1)</f>
        <v/>
      </c>
      <c r="N5" s="11">
        <f>$B5*IF($C5="SI",Parámetros!L$6,1)</f>
        <v/>
      </c>
      <c r="O5" s="11">
        <f>$B5*IF($C5="SI",Parámetros!M$6,1)</f>
        <v/>
      </c>
      <c r="P5" s="11">
        <f>SUM(D5:O5)</f>
        <v/>
      </c>
    </row>
    <row r="6">
      <c r="A6" t="inlineStr">
        <is>
          <t>Expensas y servicios</t>
        </is>
      </c>
      <c r="B6" s="8" t="n">
        <v>120000</v>
      </c>
      <c r="C6" s="10" t="inlineStr">
        <is>
          <t>SI</t>
        </is>
      </c>
      <c r="D6" s="11">
        <f>$B6*IF($C6="SI",Parámetros!B$6,1)</f>
        <v/>
      </c>
      <c r="E6" s="11">
        <f>$B6*IF($C6="SI",Parámetros!C$6,1)</f>
        <v/>
      </c>
      <c r="F6" s="11">
        <f>$B6*IF($C6="SI",Parámetros!D$6,1)</f>
        <v/>
      </c>
      <c r="G6" s="11">
        <f>$B6*IF($C6="SI",Parámetros!E$6,1)</f>
        <v/>
      </c>
      <c r="H6" s="11">
        <f>$B6*IF($C6="SI",Parámetros!F$6,1)</f>
        <v/>
      </c>
      <c r="I6" s="11">
        <f>$B6*IF($C6="SI",Parámetros!G$6,1)</f>
        <v/>
      </c>
      <c r="J6" s="11">
        <f>$B6*IF($C6="SI",Parámetros!H$6,1)</f>
        <v/>
      </c>
      <c r="K6" s="11">
        <f>$B6*IF($C6="SI",Parámetros!I$6,1)</f>
        <v/>
      </c>
      <c r="L6" s="11">
        <f>$B6*IF($C6="SI",Parámetros!J$6,1)</f>
        <v/>
      </c>
      <c r="M6" s="11">
        <f>$B6*IF($C6="SI",Parámetros!K$6,1)</f>
        <v/>
      </c>
      <c r="N6" s="11">
        <f>$B6*IF($C6="SI",Parámetros!L$6,1)</f>
        <v/>
      </c>
      <c r="O6" s="11">
        <f>$B6*IF($C6="SI",Parámetros!M$6,1)</f>
        <v/>
      </c>
      <c r="P6" s="11">
        <f>SUM(D6:O6)</f>
        <v/>
      </c>
    </row>
    <row r="7">
      <c r="A7" t="inlineStr">
        <is>
          <t>Supermercado</t>
        </is>
      </c>
      <c r="B7" s="8" t="n">
        <v>350000</v>
      </c>
      <c r="C7" s="10" t="inlineStr">
        <is>
          <t>SI</t>
        </is>
      </c>
      <c r="D7" s="11">
        <f>$B7*IF($C7="SI",Parámetros!B$6,1)</f>
        <v/>
      </c>
      <c r="E7" s="11">
        <f>$B7*IF($C7="SI",Parámetros!C$6,1)</f>
        <v/>
      </c>
      <c r="F7" s="11">
        <f>$B7*IF($C7="SI",Parámetros!D$6,1)</f>
        <v/>
      </c>
      <c r="G7" s="11">
        <f>$B7*IF($C7="SI",Parámetros!E$6,1)</f>
        <v/>
      </c>
      <c r="H7" s="11">
        <f>$B7*IF($C7="SI",Parámetros!F$6,1)</f>
        <v/>
      </c>
      <c r="I7" s="11">
        <f>$B7*IF($C7="SI",Parámetros!G$6,1)</f>
        <v/>
      </c>
      <c r="J7" s="11">
        <f>$B7*IF($C7="SI",Parámetros!H$6,1)</f>
        <v/>
      </c>
      <c r="K7" s="11">
        <f>$B7*IF($C7="SI",Parámetros!I$6,1)</f>
        <v/>
      </c>
      <c r="L7" s="11">
        <f>$B7*IF($C7="SI",Parámetros!J$6,1)</f>
        <v/>
      </c>
      <c r="M7" s="11">
        <f>$B7*IF($C7="SI",Parámetros!K$6,1)</f>
        <v/>
      </c>
      <c r="N7" s="11">
        <f>$B7*IF($C7="SI",Parámetros!L$6,1)</f>
        <v/>
      </c>
      <c r="O7" s="11">
        <f>$B7*IF($C7="SI",Parámetros!M$6,1)</f>
        <v/>
      </c>
      <c r="P7" s="11">
        <f>SUM(D7:O7)</f>
        <v/>
      </c>
    </row>
    <row r="8">
      <c r="A8" t="inlineStr">
        <is>
          <t>Transporte</t>
        </is>
      </c>
      <c r="B8" s="8" t="n">
        <v>80000</v>
      </c>
      <c r="C8" s="10" t="inlineStr">
        <is>
          <t>SI</t>
        </is>
      </c>
      <c r="D8" s="11">
        <f>$B8*IF($C8="SI",Parámetros!B$6,1)</f>
        <v/>
      </c>
      <c r="E8" s="11">
        <f>$B8*IF($C8="SI",Parámetros!C$6,1)</f>
        <v/>
      </c>
      <c r="F8" s="11">
        <f>$B8*IF($C8="SI",Parámetros!D$6,1)</f>
        <v/>
      </c>
      <c r="G8" s="11">
        <f>$B8*IF($C8="SI",Parámetros!E$6,1)</f>
        <v/>
      </c>
      <c r="H8" s="11">
        <f>$B8*IF($C8="SI",Parámetros!F$6,1)</f>
        <v/>
      </c>
      <c r="I8" s="11">
        <f>$B8*IF($C8="SI",Parámetros!G$6,1)</f>
        <v/>
      </c>
      <c r="J8" s="11">
        <f>$B8*IF($C8="SI",Parámetros!H$6,1)</f>
        <v/>
      </c>
      <c r="K8" s="11">
        <f>$B8*IF($C8="SI",Parámetros!I$6,1)</f>
        <v/>
      </c>
      <c r="L8" s="11">
        <f>$B8*IF($C8="SI",Parámetros!J$6,1)</f>
        <v/>
      </c>
      <c r="M8" s="11">
        <f>$B8*IF($C8="SI",Parámetros!K$6,1)</f>
        <v/>
      </c>
      <c r="N8" s="11">
        <f>$B8*IF($C8="SI",Parámetros!L$6,1)</f>
        <v/>
      </c>
      <c r="O8" s="11">
        <f>$B8*IF($C8="SI",Parámetros!M$6,1)</f>
        <v/>
      </c>
      <c r="P8" s="11">
        <f>SUM(D8:O8)</f>
        <v/>
      </c>
    </row>
    <row r="9">
      <c r="A9" t="inlineStr">
        <is>
          <t>Salud y prepaga</t>
        </is>
      </c>
      <c r="B9" s="8" t="n">
        <v>150000</v>
      </c>
      <c r="C9" s="10" t="inlineStr">
        <is>
          <t>SI</t>
        </is>
      </c>
      <c r="D9" s="11">
        <f>$B9*IF($C9="SI",Parámetros!B$6,1)</f>
        <v/>
      </c>
      <c r="E9" s="11">
        <f>$B9*IF($C9="SI",Parámetros!C$6,1)</f>
        <v/>
      </c>
      <c r="F9" s="11">
        <f>$B9*IF($C9="SI",Parámetros!D$6,1)</f>
        <v/>
      </c>
      <c r="G9" s="11">
        <f>$B9*IF($C9="SI",Parámetros!E$6,1)</f>
        <v/>
      </c>
      <c r="H9" s="11">
        <f>$B9*IF($C9="SI",Parámetros!F$6,1)</f>
        <v/>
      </c>
      <c r="I9" s="11">
        <f>$B9*IF($C9="SI",Parámetros!G$6,1)</f>
        <v/>
      </c>
      <c r="J9" s="11">
        <f>$B9*IF($C9="SI",Parámetros!H$6,1)</f>
        <v/>
      </c>
      <c r="K9" s="11">
        <f>$B9*IF($C9="SI",Parámetros!I$6,1)</f>
        <v/>
      </c>
      <c r="L9" s="11">
        <f>$B9*IF($C9="SI",Parámetros!J$6,1)</f>
        <v/>
      </c>
      <c r="M9" s="11">
        <f>$B9*IF($C9="SI",Parámetros!K$6,1)</f>
        <v/>
      </c>
      <c r="N9" s="11">
        <f>$B9*IF($C9="SI",Parámetros!L$6,1)</f>
        <v/>
      </c>
      <c r="O9" s="11">
        <f>$B9*IF($C9="SI",Parámetros!M$6,1)</f>
        <v/>
      </c>
      <c r="P9" s="11">
        <f>SUM(D9:O9)</f>
        <v/>
      </c>
    </row>
    <row r="10">
      <c r="A10" t="inlineStr">
        <is>
          <t>Educación</t>
        </is>
      </c>
      <c r="B10" s="8" t="n">
        <v>100000</v>
      </c>
      <c r="C10" s="10" t="inlineStr">
        <is>
          <t>SI</t>
        </is>
      </c>
      <c r="D10" s="11">
        <f>$B10*IF($C10="SI",Parámetros!B$6,1)</f>
        <v/>
      </c>
      <c r="E10" s="11">
        <f>$B10*IF($C10="SI",Parámetros!C$6,1)</f>
        <v/>
      </c>
      <c r="F10" s="11">
        <f>$B10*IF($C10="SI",Parámetros!D$6,1)</f>
        <v/>
      </c>
      <c r="G10" s="11">
        <f>$B10*IF($C10="SI",Parámetros!E$6,1)</f>
        <v/>
      </c>
      <c r="H10" s="11">
        <f>$B10*IF($C10="SI",Parámetros!F$6,1)</f>
        <v/>
      </c>
      <c r="I10" s="11">
        <f>$B10*IF($C10="SI",Parámetros!G$6,1)</f>
        <v/>
      </c>
      <c r="J10" s="11">
        <f>$B10*IF($C10="SI",Parámetros!H$6,1)</f>
        <v/>
      </c>
      <c r="K10" s="11">
        <f>$B10*IF($C10="SI",Parámetros!I$6,1)</f>
        <v/>
      </c>
      <c r="L10" s="11">
        <f>$B10*IF($C10="SI",Parámetros!J$6,1)</f>
        <v/>
      </c>
      <c r="M10" s="11">
        <f>$B10*IF($C10="SI",Parámetros!K$6,1)</f>
        <v/>
      </c>
      <c r="N10" s="11">
        <f>$B10*IF($C10="SI",Parámetros!L$6,1)</f>
        <v/>
      </c>
      <c r="O10" s="11">
        <f>$B10*IF($C10="SI",Parámetros!M$6,1)</f>
        <v/>
      </c>
      <c r="P10" s="11">
        <f>SUM(D10:O10)</f>
        <v/>
      </c>
    </row>
    <row r="11">
      <c r="A11" t="inlineStr">
        <is>
          <t>Ocio y salidas</t>
        </is>
      </c>
      <c r="B11" s="8" t="n">
        <v>80000</v>
      </c>
      <c r="C11" s="10" t="inlineStr">
        <is>
          <t>NO</t>
        </is>
      </c>
      <c r="D11" s="11">
        <f>$B11*IF($C11="SI",Parámetros!B$6,1)</f>
        <v/>
      </c>
      <c r="E11" s="11">
        <f>$B11*IF($C11="SI",Parámetros!C$6,1)</f>
        <v/>
      </c>
      <c r="F11" s="11">
        <f>$B11*IF($C11="SI",Parámetros!D$6,1)</f>
        <v/>
      </c>
      <c r="G11" s="11">
        <f>$B11*IF($C11="SI",Parámetros!E$6,1)</f>
        <v/>
      </c>
      <c r="H11" s="11">
        <f>$B11*IF($C11="SI",Parámetros!F$6,1)</f>
        <v/>
      </c>
      <c r="I11" s="11">
        <f>$B11*IF($C11="SI",Parámetros!G$6,1)</f>
        <v/>
      </c>
      <c r="J11" s="11">
        <f>$B11*IF($C11="SI",Parámetros!H$6,1)</f>
        <v/>
      </c>
      <c r="K11" s="11">
        <f>$B11*IF($C11="SI",Parámetros!I$6,1)</f>
        <v/>
      </c>
      <c r="L11" s="11">
        <f>$B11*IF($C11="SI",Parámetros!J$6,1)</f>
        <v/>
      </c>
      <c r="M11" s="11">
        <f>$B11*IF($C11="SI",Parámetros!K$6,1)</f>
        <v/>
      </c>
      <c r="N11" s="11">
        <f>$B11*IF($C11="SI",Parámetros!L$6,1)</f>
        <v/>
      </c>
      <c r="O11" s="11">
        <f>$B11*IF($C11="SI",Parámetros!M$6,1)</f>
        <v/>
      </c>
      <c r="P11" s="11">
        <f>SUM(D11:O11)</f>
        <v/>
      </c>
    </row>
    <row r="12">
      <c r="A12" t="inlineStr">
        <is>
          <t>Seguros e impuestos</t>
        </is>
      </c>
      <c r="B12" s="8" t="n">
        <v>40000</v>
      </c>
      <c r="C12" s="10" t="inlineStr">
        <is>
          <t>SI</t>
        </is>
      </c>
      <c r="D12" s="11">
        <f>$B12*IF($C12="SI",Parámetros!B$6,1)</f>
        <v/>
      </c>
      <c r="E12" s="11">
        <f>$B12*IF($C12="SI",Parámetros!C$6,1)</f>
        <v/>
      </c>
      <c r="F12" s="11">
        <f>$B12*IF($C12="SI",Parámetros!D$6,1)</f>
        <v/>
      </c>
      <c r="G12" s="11">
        <f>$B12*IF($C12="SI",Parámetros!E$6,1)</f>
        <v/>
      </c>
      <c r="H12" s="11">
        <f>$B12*IF($C12="SI",Parámetros!F$6,1)</f>
        <v/>
      </c>
      <c r="I12" s="11">
        <f>$B12*IF($C12="SI",Parámetros!G$6,1)</f>
        <v/>
      </c>
      <c r="J12" s="11">
        <f>$B12*IF($C12="SI",Parámetros!H$6,1)</f>
        <v/>
      </c>
      <c r="K12" s="11">
        <f>$B12*IF($C12="SI",Parámetros!I$6,1)</f>
        <v/>
      </c>
      <c r="L12" s="11">
        <f>$B12*IF($C12="SI",Parámetros!J$6,1)</f>
        <v/>
      </c>
      <c r="M12" s="11">
        <f>$B12*IF($C12="SI",Parámetros!K$6,1)</f>
        <v/>
      </c>
      <c r="N12" s="11">
        <f>$B12*IF($C12="SI",Parámetros!L$6,1)</f>
        <v/>
      </c>
      <c r="O12" s="11">
        <f>$B12*IF($C12="SI",Parámetros!M$6,1)</f>
        <v/>
      </c>
      <c r="P12" s="11">
        <f>SUM(D12:O12)</f>
        <v/>
      </c>
    </row>
    <row r="13">
      <c r="A13" t="inlineStr">
        <is>
          <t>Deudas y cuotas</t>
        </is>
      </c>
      <c r="B13" s="8" t="n">
        <v>60000</v>
      </c>
      <c r="C13" s="10" t="inlineStr">
        <is>
          <t>NO</t>
        </is>
      </c>
      <c r="D13" s="11">
        <f>$B13*IF($C13="SI",Parámetros!B$6,1)</f>
        <v/>
      </c>
      <c r="E13" s="11">
        <f>$B13*IF($C13="SI",Parámetros!C$6,1)</f>
        <v/>
      </c>
      <c r="F13" s="11">
        <f>$B13*IF($C13="SI",Parámetros!D$6,1)</f>
        <v/>
      </c>
      <c r="G13" s="11">
        <f>$B13*IF($C13="SI",Parámetros!E$6,1)</f>
        <v/>
      </c>
      <c r="H13" s="11">
        <f>$B13*IF($C13="SI",Parámetros!F$6,1)</f>
        <v/>
      </c>
      <c r="I13" s="11">
        <f>$B13*IF($C13="SI",Parámetros!G$6,1)</f>
        <v/>
      </c>
      <c r="J13" s="11">
        <f>$B13*IF($C13="SI",Parámetros!H$6,1)</f>
        <v/>
      </c>
      <c r="K13" s="11">
        <f>$B13*IF($C13="SI",Parámetros!I$6,1)</f>
        <v/>
      </c>
      <c r="L13" s="11">
        <f>$B13*IF($C13="SI",Parámetros!J$6,1)</f>
        <v/>
      </c>
      <c r="M13" s="11">
        <f>$B13*IF($C13="SI",Parámetros!K$6,1)</f>
        <v/>
      </c>
      <c r="N13" s="11">
        <f>$B13*IF($C13="SI",Parámetros!L$6,1)</f>
        <v/>
      </c>
      <c r="O13" s="11">
        <f>$B13*IF($C13="SI",Parámetros!M$6,1)</f>
        <v/>
      </c>
      <c r="P13" s="11">
        <f>SUM(D13:O13)</f>
        <v/>
      </c>
    </row>
    <row r="14">
      <c r="A14" t="inlineStr">
        <is>
          <t>Otros</t>
        </is>
      </c>
      <c r="B14" s="8" t="n">
        <v>30000</v>
      </c>
      <c r="C14" s="10" t="inlineStr">
        <is>
          <t>NO</t>
        </is>
      </c>
      <c r="D14" s="11">
        <f>$B14*IF($C14="SI",Parámetros!B$6,1)</f>
        <v/>
      </c>
      <c r="E14" s="11">
        <f>$B14*IF($C14="SI",Parámetros!C$6,1)</f>
        <v/>
      </c>
      <c r="F14" s="11">
        <f>$B14*IF($C14="SI",Parámetros!D$6,1)</f>
        <v/>
      </c>
      <c r="G14" s="11">
        <f>$B14*IF($C14="SI",Parámetros!E$6,1)</f>
        <v/>
      </c>
      <c r="H14" s="11">
        <f>$B14*IF($C14="SI",Parámetros!F$6,1)</f>
        <v/>
      </c>
      <c r="I14" s="11">
        <f>$B14*IF($C14="SI",Parámetros!G$6,1)</f>
        <v/>
      </c>
      <c r="J14" s="11">
        <f>$B14*IF($C14="SI",Parámetros!H$6,1)</f>
        <v/>
      </c>
      <c r="K14" s="11">
        <f>$B14*IF($C14="SI",Parámetros!I$6,1)</f>
        <v/>
      </c>
      <c r="L14" s="11">
        <f>$B14*IF($C14="SI",Parámetros!J$6,1)</f>
        <v/>
      </c>
      <c r="M14" s="11">
        <f>$B14*IF($C14="SI",Parámetros!K$6,1)</f>
        <v/>
      </c>
      <c r="N14" s="11">
        <f>$B14*IF($C14="SI",Parámetros!L$6,1)</f>
        <v/>
      </c>
      <c r="O14" s="11">
        <f>$B14*IF($C14="SI",Parámetros!M$6,1)</f>
        <v/>
      </c>
      <c r="P14" s="11">
        <f>SUM(D14:O14)</f>
        <v/>
      </c>
    </row>
    <row r="15">
      <c r="A15" s="7" t="inlineStr">
        <is>
          <t>TOTAL</t>
        </is>
      </c>
      <c r="D15" s="11">
        <f>SUM(D5:D14)</f>
        <v/>
      </c>
      <c r="E15" s="11">
        <f>SUM(E5:E14)</f>
        <v/>
      </c>
      <c r="F15" s="11">
        <f>SUM(F5:F14)</f>
        <v/>
      </c>
      <c r="G15" s="11">
        <f>SUM(G5:G14)</f>
        <v/>
      </c>
      <c r="H15" s="11">
        <f>SUM(H5:H14)</f>
        <v/>
      </c>
      <c r="I15" s="11">
        <f>SUM(I5:I14)</f>
        <v/>
      </c>
      <c r="J15" s="11">
        <f>SUM(J5:J14)</f>
        <v/>
      </c>
      <c r="K15" s="11">
        <f>SUM(K5:K14)</f>
        <v/>
      </c>
      <c r="L15" s="11">
        <f>SUM(L5:L14)</f>
        <v/>
      </c>
      <c r="M15" s="11">
        <f>SUM(M5:M14)</f>
        <v/>
      </c>
      <c r="N15" s="11">
        <f>SUM(N5:N14)</f>
        <v/>
      </c>
      <c r="O15" s="11">
        <f>SUM(O5:O14)</f>
        <v/>
      </c>
      <c r="P15" s="11">
        <f>SUM(P5:P14)</f>
        <v/>
      </c>
    </row>
  </sheetData>
  <dataValidations count="1">
    <dataValidation sqref="C5 C6 C7 C8 C9 C10 C11 C12 C13 C14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>
      <c r="A1" s="1" t="inlineStr">
        <is>
          <t>Gasto real 2027</t>
        </is>
      </c>
    </row>
    <row r="2">
      <c r="A2" s="2" t="inlineStr">
        <is>
          <t>Cargá lo que gastaste cada mes</t>
        </is>
      </c>
    </row>
    <row r="4">
      <c r="A4" s="4" t="inlineStr">
        <is>
          <t>Rubro</t>
        </is>
      </c>
      <c r="B4" s="4" t="inlineStr"/>
      <c r="C4" s="4" t="inlineStr"/>
      <c r="D4" s="4" t="inlineStr">
        <is>
          <t>Ene</t>
        </is>
      </c>
      <c r="E4" s="4" t="inlineStr">
        <is>
          <t>Feb</t>
        </is>
      </c>
      <c r="F4" s="4" t="inlineStr">
        <is>
          <t>Mar</t>
        </is>
      </c>
      <c r="G4" s="4" t="inlineStr">
        <is>
          <t>Abr</t>
        </is>
      </c>
      <c r="H4" s="4" t="inlineStr">
        <is>
          <t>May</t>
        </is>
      </c>
      <c r="I4" s="4" t="inlineStr">
        <is>
          <t>Jun</t>
        </is>
      </c>
      <c r="J4" s="4" t="inlineStr">
        <is>
          <t>Jul</t>
        </is>
      </c>
      <c r="K4" s="4" t="inlineStr">
        <is>
          <t>Ago</t>
        </is>
      </c>
      <c r="L4" s="4" t="inlineStr">
        <is>
          <t>Sep</t>
        </is>
      </c>
      <c r="M4" s="4" t="inlineStr">
        <is>
          <t>Oct</t>
        </is>
      </c>
      <c r="N4" s="4" t="inlineStr">
        <is>
          <t>Nov</t>
        </is>
      </c>
      <c r="O4" s="4" t="inlineStr">
        <is>
          <t>Dic</t>
        </is>
      </c>
      <c r="P4" s="4" t="inlineStr">
        <is>
          <t>Total año</t>
        </is>
      </c>
    </row>
    <row r="5">
      <c r="A5" t="inlineStr">
        <is>
          <t>Alquiler / cuota de vivienda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11">
        <f>SUM(D5:O5)</f>
        <v/>
      </c>
    </row>
    <row r="6">
      <c r="A6" t="inlineStr">
        <is>
          <t>Expensas y servicios</t>
        </is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11">
        <f>SUM(D6:O6)</f>
        <v/>
      </c>
    </row>
    <row r="7">
      <c r="A7" t="inlineStr">
        <is>
          <t>Supermercado</t>
        </is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11">
        <f>SUM(D7:O7)</f>
        <v/>
      </c>
    </row>
    <row r="8">
      <c r="A8" t="inlineStr">
        <is>
          <t>Transporte</t>
        </is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11">
        <f>SUM(D8:O8)</f>
        <v/>
      </c>
    </row>
    <row r="9">
      <c r="A9" t="inlineStr">
        <is>
          <t>Salud y prepaga</t>
        </is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11">
        <f>SUM(D9:O9)</f>
        <v/>
      </c>
    </row>
    <row r="10">
      <c r="A10" t="inlineStr">
        <is>
          <t>Educación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11">
        <f>SUM(D10:O10)</f>
        <v/>
      </c>
    </row>
    <row r="11">
      <c r="A11" t="inlineStr">
        <is>
          <t>Ocio y salidas</t>
        </is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11">
        <f>SUM(D11:O11)</f>
        <v/>
      </c>
    </row>
    <row r="12">
      <c r="A12" t="inlineStr">
        <is>
          <t>Seguros e impuestos</t>
        </is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11">
        <f>SUM(D12:O12)</f>
        <v/>
      </c>
    </row>
    <row r="13">
      <c r="A13" t="inlineStr">
        <is>
          <t>Deudas y cuotas</t>
        </is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11">
        <f>SUM(D13:O13)</f>
        <v/>
      </c>
    </row>
    <row r="14">
      <c r="A14" t="inlineStr">
        <is>
          <t>Otros</t>
        </is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11">
        <f>SUM(D14:O14)</f>
        <v/>
      </c>
    </row>
    <row r="15">
      <c r="A15" s="7" t="inlineStr">
        <is>
          <t>TOTAL</t>
        </is>
      </c>
      <c r="D15" s="11">
        <f>SUM(D5:D14)</f>
        <v/>
      </c>
      <c r="E15" s="11">
        <f>SUM(E5:E14)</f>
        <v/>
      </c>
      <c r="F15" s="11">
        <f>SUM(F5:F14)</f>
        <v/>
      </c>
      <c r="G15" s="11">
        <f>SUM(G5:G14)</f>
        <v/>
      </c>
      <c r="H15" s="11">
        <f>SUM(H5:H14)</f>
        <v/>
      </c>
      <c r="I15" s="11">
        <f>SUM(I5:I14)</f>
        <v/>
      </c>
      <c r="J15" s="11">
        <f>SUM(J5:J14)</f>
        <v/>
      </c>
      <c r="K15" s="11">
        <f>SUM(K5:K14)</f>
        <v/>
      </c>
      <c r="L15" s="11">
        <f>SUM(L5:L14)</f>
        <v/>
      </c>
      <c r="M15" s="11">
        <f>SUM(M5:M14)</f>
        <v/>
      </c>
      <c r="N15" s="11">
        <f>SUM(N5:N14)</f>
        <v/>
      </c>
      <c r="O15" s="11">
        <f>SUM(O5:O14)</f>
        <v/>
      </c>
      <c r="P15" s="11">
        <f>SUM(P5:P14)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" customWidth="1" min="2" max="2"/>
    <col width="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6" max="16"/>
  </cols>
  <sheetData>
    <row r="1">
      <c r="A1" s="1" t="inlineStr">
        <is>
          <t>Resumen del año</t>
        </is>
      </c>
    </row>
    <row r="2">
      <c r="A2" s="2" t="inlineStr">
        <is>
          <t>Ingresos, gastos, ahorro y poder de compra</t>
        </is>
      </c>
    </row>
    <row r="4">
      <c r="A4" s="4" t="inlineStr">
        <is>
          <t>Concepto</t>
        </is>
      </c>
      <c r="B4" s="4" t="inlineStr"/>
      <c r="C4" s="4" t="inlineStr"/>
      <c r="D4" s="4" t="inlineStr">
        <is>
          <t>Ene</t>
        </is>
      </c>
      <c r="E4" s="4" t="inlineStr">
        <is>
          <t>Feb</t>
        </is>
      </c>
      <c r="F4" s="4" t="inlineStr">
        <is>
          <t>Mar</t>
        </is>
      </c>
      <c r="G4" s="4" t="inlineStr">
        <is>
          <t>Abr</t>
        </is>
      </c>
      <c r="H4" s="4" t="inlineStr">
        <is>
          <t>May</t>
        </is>
      </c>
      <c r="I4" s="4" t="inlineStr">
        <is>
          <t>Jun</t>
        </is>
      </c>
      <c r="J4" s="4" t="inlineStr">
        <is>
          <t>Jul</t>
        </is>
      </c>
      <c r="K4" s="4" t="inlineStr">
        <is>
          <t>Ago</t>
        </is>
      </c>
      <c r="L4" s="4" t="inlineStr">
        <is>
          <t>Sep</t>
        </is>
      </c>
      <c r="M4" s="4" t="inlineStr">
        <is>
          <t>Oct</t>
        </is>
      </c>
      <c r="N4" s="4" t="inlineStr">
        <is>
          <t>Nov</t>
        </is>
      </c>
      <c r="O4" s="4" t="inlineStr">
        <is>
          <t>Dic</t>
        </is>
      </c>
      <c r="P4" s="4" t="inlineStr">
        <is>
          <t>Total año</t>
        </is>
      </c>
    </row>
    <row r="5">
      <c r="A5" s="7" t="inlineStr">
        <is>
          <t>Ingresos</t>
        </is>
      </c>
      <c r="D5" s="11">
        <f>Parámetros!$B$8*(1+Parámetros!$B$9)^0</f>
        <v/>
      </c>
      <c r="E5" s="11">
        <f>Parámetros!$B$8*(1+Parámetros!$B$9)^1</f>
        <v/>
      </c>
      <c r="F5" s="11">
        <f>Parámetros!$B$8*(1+Parámetros!$B$9)^2</f>
        <v/>
      </c>
      <c r="G5" s="11">
        <f>Parámetros!$B$8*(1+Parámetros!$B$9)^3</f>
        <v/>
      </c>
      <c r="H5" s="11">
        <f>Parámetros!$B$8*(1+Parámetros!$B$9)^4</f>
        <v/>
      </c>
      <c r="I5" s="11">
        <f>Parámetros!$B$8*(1+Parámetros!$B$9)^5</f>
        <v/>
      </c>
      <c r="J5" s="11">
        <f>Parámetros!$B$8*(1+Parámetros!$B$9)^6</f>
        <v/>
      </c>
      <c r="K5" s="11">
        <f>Parámetros!$B$8*(1+Parámetros!$B$9)^7</f>
        <v/>
      </c>
      <c r="L5" s="11">
        <f>Parámetros!$B$8*(1+Parámetros!$B$9)^8</f>
        <v/>
      </c>
      <c r="M5" s="11">
        <f>Parámetros!$B$8*(1+Parámetros!$B$9)^9</f>
        <v/>
      </c>
      <c r="N5" s="11">
        <f>Parámetros!$B$8*(1+Parámetros!$B$9)^10</f>
        <v/>
      </c>
      <c r="O5" s="11">
        <f>Parámetros!$B$8*(1+Parámetros!$B$9)^11</f>
        <v/>
      </c>
      <c r="P5" s="11">
        <f>SUM(D5:O5)</f>
        <v/>
      </c>
    </row>
    <row r="6">
      <c r="A6" s="7" t="inlineStr">
        <is>
          <t>Gasto presupuestado</t>
        </is>
      </c>
      <c r="D6" s="11">
        <f>Presupuesto!D15</f>
        <v/>
      </c>
      <c r="E6" s="11">
        <f>Presupuesto!E15</f>
        <v/>
      </c>
      <c r="F6" s="11">
        <f>Presupuesto!F15</f>
        <v/>
      </c>
      <c r="G6" s="11">
        <f>Presupuesto!G15</f>
        <v/>
      </c>
      <c r="H6" s="11">
        <f>Presupuesto!H15</f>
        <v/>
      </c>
      <c r="I6" s="11">
        <f>Presupuesto!I15</f>
        <v/>
      </c>
      <c r="J6" s="11">
        <f>Presupuesto!J15</f>
        <v/>
      </c>
      <c r="K6" s="11">
        <f>Presupuesto!K15</f>
        <v/>
      </c>
      <c r="L6" s="11">
        <f>Presupuesto!L15</f>
        <v/>
      </c>
      <c r="M6" s="11">
        <f>Presupuesto!M15</f>
        <v/>
      </c>
      <c r="N6" s="11">
        <f>Presupuesto!N15</f>
        <v/>
      </c>
      <c r="O6" s="11">
        <f>Presupuesto!O15</f>
        <v/>
      </c>
      <c r="P6" s="11">
        <f>SUM(D6:O6)</f>
        <v/>
      </c>
    </row>
    <row r="7">
      <c r="A7" s="7" t="inlineStr">
        <is>
          <t>Ahorro presupuestado</t>
        </is>
      </c>
      <c r="D7" s="11">
        <f>D5-D6</f>
        <v/>
      </c>
      <c r="E7" s="11">
        <f>E5-E6</f>
        <v/>
      </c>
      <c r="F7" s="11">
        <f>F5-F6</f>
        <v/>
      </c>
      <c r="G7" s="11">
        <f>G5-G6</f>
        <v/>
      </c>
      <c r="H7" s="11">
        <f>H5-H6</f>
        <v/>
      </c>
      <c r="I7" s="11">
        <f>I5-I6</f>
        <v/>
      </c>
      <c r="J7" s="11">
        <f>J5-J6</f>
        <v/>
      </c>
      <c r="K7" s="11">
        <f>K5-K6</f>
        <v/>
      </c>
      <c r="L7" s="11">
        <f>L5-L6</f>
        <v/>
      </c>
      <c r="M7" s="11">
        <f>M5-M6</f>
        <v/>
      </c>
      <c r="N7" s="11">
        <f>N5-N6</f>
        <v/>
      </c>
      <c r="O7" s="11">
        <f>O5-O6</f>
        <v/>
      </c>
      <c r="P7" s="11">
        <f>SUM(D7:O7)</f>
        <v/>
      </c>
    </row>
    <row r="8">
      <c r="A8" s="7" t="inlineStr">
        <is>
          <t>Meta de ahorro</t>
        </is>
      </c>
      <c r="D8" s="11">
        <f>D5*Parámetros!$B$10</f>
        <v/>
      </c>
      <c r="E8" s="11">
        <f>E5*Parámetros!$B$10</f>
        <v/>
      </c>
      <c r="F8" s="11">
        <f>F5*Parámetros!$B$10</f>
        <v/>
      </c>
      <c r="G8" s="11">
        <f>G5*Parámetros!$B$10</f>
        <v/>
      </c>
      <c r="H8" s="11">
        <f>H5*Parámetros!$B$10</f>
        <v/>
      </c>
      <c r="I8" s="11">
        <f>I5*Parámetros!$B$10</f>
        <v/>
      </c>
      <c r="J8" s="11">
        <f>J5*Parámetros!$B$10</f>
        <v/>
      </c>
      <c r="K8" s="11">
        <f>K5*Parámetros!$B$10</f>
        <v/>
      </c>
      <c r="L8" s="11">
        <f>L5*Parámetros!$B$10</f>
        <v/>
      </c>
      <c r="M8" s="11">
        <f>M5*Parámetros!$B$10</f>
        <v/>
      </c>
      <c r="N8" s="11">
        <f>N5*Parámetros!$B$10</f>
        <v/>
      </c>
      <c r="O8" s="11">
        <f>O5*Parámetros!$B$10</f>
        <v/>
      </c>
      <c r="P8" s="11">
        <f>SUM(D8:O8)</f>
        <v/>
      </c>
    </row>
    <row r="9">
      <c r="A9" s="7" t="inlineStr">
        <is>
          <t>Ahorro acumulado</t>
        </is>
      </c>
      <c r="D9" s="11">
        <f>SUM($D7:D7)</f>
        <v/>
      </c>
      <c r="E9" s="11">
        <f>SUM($D7:E7)</f>
        <v/>
      </c>
      <c r="F9" s="11">
        <f>SUM($D7:F7)</f>
        <v/>
      </c>
      <c r="G9" s="11">
        <f>SUM($D7:G7)</f>
        <v/>
      </c>
      <c r="H9" s="11">
        <f>SUM($D7:H7)</f>
        <v/>
      </c>
      <c r="I9" s="11">
        <f>SUM($D7:I7)</f>
        <v/>
      </c>
      <c r="J9" s="11">
        <f>SUM($D7:J7)</f>
        <v/>
      </c>
      <c r="K9" s="11">
        <f>SUM($D7:K7)</f>
        <v/>
      </c>
      <c r="L9" s="11">
        <f>SUM($D7:L7)</f>
        <v/>
      </c>
      <c r="M9" s="11">
        <f>SUM($D7:M7)</f>
        <v/>
      </c>
      <c r="N9" s="11">
        <f>SUM($D7:N7)</f>
        <v/>
      </c>
      <c r="O9" s="11">
        <f>SUM($D7:O7)</f>
        <v/>
      </c>
    </row>
    <row r="10">
      <c r="A10" s="7" t="inlineStr">
        <is>
          <t>Gasto real</t>
        </is>
      </c>
      <c r="D10" s="11">
        <f>Real!D15</f>
        <v/>
      </c>
      <c r="E10" s="11">
        <f>Real!E15</f>
        <v/>
      </c>
      <c r="F10" s="11">
        <f>Real!F15</f>
        <v/>
      </c>
      <c r="G10" s="11">
        <f>Real!G15</f>
        <v/>
      </c>
      <c r="H10" s="11">
        <f>Real!H15</f>
        <v/>
      </c>
      <c r="I10" s="11">
        <f>Real!I15</f>
        <v/>
      </c>
      <c r="J10" s="11">
        <f>Real!J15</f>
        <v/>
      </c>
      <c r="K10" s="11">
        <f>Real!K15</f>
        <v/>
      </c>
      <c r="L10" s="11">
        <f>Real!L15</f>
        <v/>
      </c>
      <c r="M10" s="11">
        <f>Real!M15</f>
        <v/>
      </c>
      <c r="N10" s="11">
        <f>Real!N15</f>
        <v/>
      </c>
      <c r="O10" s="11">
        <f>Real!O15</f>
        <v/>
      </c>
      <c r="P10" s="11">
        <f>SUM(D10:O10)</f>
        <v/>
      </c>
    </row>
    <row r="11">
      <c r="A11" s="7" t="inlineStr">
        <is>
          <t>Diferencia (presupuesto - real)</t>
        </is>
      </c>
      <c r="D11" s="11">
        <f>D6-D10</f>
        <v/>
      </c>
      <c r="E11" s="11">
        <f>E6-E10</f>
        <v/>
      </c>
      <c r="F11" s="11">
        <f>F6-F10</f>
        <v/>
      </c>
      <c r="G11" s="11">
        <f>G6-G10</f>
        <v/>
      </c>
      <c r="H11" s="11">
        <f>H6-H10</f>
        <v/>
      </c>
      <c r="I11" s="11">
        <f>I6-I10</f>
        <v/>
      </c>
      <c r="J11" s="11">
        <f>J6-J10</f>
        <v/>
      </c>
      <c r="K11" s="11">
        <f>K6-K10</f>
        <v/>
      </c>
      <c r="L11" s="11">
        <f>L6-L10</f>
        <v/>
      </c>
      <c r="M11" s="11">
        <f>M6-M10</f>
        <v/>
      </c>
      <c r="N11" s="11">
        <f>N6-N10</f>
        <v/>
      </c>
      <c r="O11" s="11">
        <f>O6-O10</f>
        <v/>
      </c>
      <c r="P11" s="11">
        <f>SUM(D11:O11)</f>
        <v/>
      </c>
    </row>
    <row r="12">
      <c r="A12" s="7" t="inlineStr">
        <is>
          <t>Ingreso real (a precios de enero)</t>
        </is>
      </c>
      <c r="D12" s="11">
        <f>D5/Parámetros!B6</f>
        <v/>
      </c>
      <c r="E12" s="11">
        <f>E5/Parámetros!C6</f>
        <v/>
      </c>
      <c r="F12" s="11">
        <f>F5/Parámetros!D6</f>
        <v/>
      </c>
      <c r="G12" s="11">
        <f>G5/Parámetros!E6</f>
        <v/>
      </c>
      <c r="H12" s="11">
        <f>H5/Parámetros!F6</f>
        <v/>
      </c>
      <c r="I12" s="11">
        <f>I5/Parámetros!G6</f>
        <v/>
      </c>
      <c r="J12" s="11">
        <f>J5/Parámetros!H6</f>
        <v/>
      </c>
      <c r="K12" s="11">
        <f>K5/Parámetros!I6</f>
        <v/>
      </c>
      <c r="L12" s="11">
        <f>L5/Parámetros!J6</f>
        <v/>
      </c>
      <c r="M12" s="11">
        <f>M5/Parámetros!K6</f>
        <v/>
      </c>
      <c r="N12" s="11">
        <f>N5/Parámetros!L6</f>
        <v/>
      </c>
      <c r="O12" s="11">
        <f>O5/Parámetros!M6</f>
        <v/>
      </c>
    </row>
    <row r="14">
      <c r="A14" s="2" t="inlineStr">
        <is>
          <t>Si 'Ingreso real' baja mes a mes, tus ingresos no le ganan a la inflación esperada.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2026-10-25T14:25:45Z</dcterms:created>
  <dcterms:modified xmlns:dcterms="http://purl.org/dc/terms/" xmlns:xsi="http://www.w3.org/2001/XMLSchema-instance" xsi:type="dcterms:W3CDTF">2026-10-25T14:25:45Z</dcterms:modified>
</cp:coreProperties>
</file>