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Hoy" sheetId="2" state="visible" r:id="rId2"/>
    <sheet xmlns:r="http://schemas.openxmlformats.org/officeDocument/2006/relationships" name="Semana" sheetId="3" state="visible" r:id="rId3"/>
    <sheet xmlns:r="http://schemas.openxmlformats.org/officeDocument/2006/relationships" name="Tareas" sheetId="4" state="visible" r:id="rId4"/>
    <sheet xmlns:r="http://schemas.openxmlformats.org/officeDocument/2006/relationships" name="Hogar" sheetId="5" state="visible" r:id="rId5"/>
    <sheet xmlns:r="http://schemas.openxmlformats.org/officeDocument/2006/relationships" name="Biblioteca" sheetId="6" state="visible" r:id="rId6"/>
    <sheet xmlns:r="http://schemas.openxmlformats.org/officeDocument/2006/relationships" name="Ajustes" sheetId="7" state="visible" r:id="rId7"/>
  </sheets>
  <definedNames>
    <definedName name="_xlnm.Print_Area" localSheetId="1">'Hoy'!$A$1:$H$51</definedName>
    <definedName name="_xlnm.Print_Area" localSheetId="2">'Semana'!$A$1:$G$23</definedName>
    <definedName name="_xlnm._FilterDatabase" localSheetId="3" hidden="1">'Tareas'!$A$5:$L$155</definedName>
    <definedName name="_xlnm.Print_Titles" localSheetId="3">'Tareas'!$5:$5</definedName>
    <definedName name="_xlnm.Print_Area" localSheetId="3">'Tareas'!$A$1:$L$155</definedName>
    <definedName name="_xlnm._FilterDatabase" localSheetId="5" hidden="1">'Biblioteca'!$A$4:$F$49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ddd d mmm"/>
    <numFmt numFmtId="166" formatCode="0.0"/>
    <numFmt numFmtId="167" formatCode="+0;-0;0"/>
  </numFmts>
  <fonts count="22">
    <font>
      <name val="Calibri"/>
      <family val="2"/>
      <color theme="1"/>
      <sz val="11"/>
      <scheme val="minor"/>
    </font>
    <font>
      <name val="Calibri"/>
      <b val="1"/>
      <color rgb="0017324D"/>
      <sz val="18"/>
    </font>
    <font>
      <name val="Calibri"/>
      <i val="1"/>
      <color rgb="005B6570"/>
    </font>
    <font>
      <name val="Calibri"/>
      <b val="1"/>
      <color rgb="000F7B6C"/>
      <sz val="12"/>
    </font>
    <font>
      <name val="Calibri"/>
      <sz val="11"/>
    </font>
    <font>
      <name val="Calibri"/>
      <b val="1"/>
      <color rgb="00FFFFFF"/>
    </font>
    <font>
      <name val="Calibri"/>
      <color rgb="0017324D"/>
    </font>
    <font>
      <name val="Calibri"/>
    </font>
    <font>
      <name val="Calibri"/>
      <i val="1"/>
      <color rgb="005B6570"/>
      <sz val="9"/>
    </font>
    <font>
      <name val="Calibri"/>
      <color rgb="00AAAAAA"/>
      <sz val="7"/>
    </font>
    <font>
      <name val="Calibri"/>
      <b val="1"/>
      <color rgb="0017324D"/>
    </font>
    <font>
      <name val="Calibri"/>
      <b val="1"/>
    </font>
    <font>
      <name val="Calibri"/>
      <i val="1"/>
      <color rgb="000F7B6C"/>
    </font>
    <font>
      <name val="Calibri"/>
      <color rgb="00DDDDDD"/>
      <sz val="7"/>
    </font>
    <font>
      <name val="Calibri"/>
      <color rgb="00000000"/>
    </font>
    <font>
      <name val="Calibri"/>
      <color rgb="000F7B6C"/>
      <u val="single"/>
    </font>
    <font>
      <name val="Calibri"/>
      <i val="1"/>
      <color rgb="00C0392B"/>
    </font>
    <font>
      <name val="Calibri"/>
      <b val="1"/>
      <color rgb="00FFFFFF"/>
      <sz val="11"/>
    </font>
    <font>
      <name val="Calibri"/>
      <color rgb="005B6570"/>
      <sz val="9"/>
    </font>
    <font>
      <name val="Calibri"/>
      <sz val="9"/>
    </font>
    <font>
      <name val="Calibri"/>
      <i val="1"/>
      <color rgb="00C0392B"/>
      <sz val="9"/>
    </font>
    <font>
      <name val="Calibri"/>
      <b val="1"/>
      <color rgb="000F7B6C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4CC"/>
      </patternFill>
    </fill>
    <fill>
      <patternFill patternType="solid">
        <fgColor rgb="00E3F2EE"/>
      </patternFill>
    </fill>
    <fill>
      <patternFill patternType="solid">
        <fgColor rgb="00C0392B"/>
      </patternFill>
    </fill>
  </fills>
  <borders count="4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 style="thin">
        <color rgb="00D5DCE4"/>
      </left>
      <right style="thin">
        <color rgb="00D5DCE4"/>
      </right>
      <bottom style="thin">
        <color rgb="00D5DCE4"/>
      </bottom>
    </border>
    <border>
      <bottom style="thin">
        <color rgb="00D5DCE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7" fillId="3" borderId="1" pivotButton="0" quotePrefix="0" xfId="0"/>
    <xf numFmtId="0" fontId="6" fillId="0" borderId="0" pivotButton="0" quotePrefix="0" xfId="0"/>
    <xf numFmtId="1" fontId="11" fillId="4" borderId="1" applyAlignment="1" pivotButton="0" quotePrefix="0" xfId="0">
      <alignment horizontal="center"/>
    </xf>
    <xf numFmtId="0" fontId="1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11" fillId="0" borderId="1" pivotButton="0" quotePrefix="0" xfId="0"/>
    <xf numFmtId="0" fontId="7" fillId="0" borderId="1" pivotButton="0" quotePrefix="0" xfId="0"/>
    <xf numFmtId="1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3" fillId="0" borderId="0" pivotButton="0" quotePrefix="0" xfId="0"/>
    <xf numFmtId="0" fontId="16" fillId="0" borderId="0" pivotButton="0" quotePrefix="0" xfId="0"/>
    <xf numFmtId="165" fontId="17" fillId="5" borderId="1" applyAlignment="1" pivotButton="0" quotePrefix="0" xfId="0">
      <alignment horizontal="center" vertical="center"/>
    </xf>
    <xf numFmtId="165" fontId="17" fillId="2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/>
    </xf>
    <xf numFmtId="0" fontId="19" fillId="0" borderId="2" applyAlignment="1" pivotButton="0" quotePrefix="0" xfId="0">
      <alignment vertical="center" wrapText="1"/>
    </xf>
    <xf numFmtId="0" fontId="20" fillId="0" borderId="0" applyAlignment="1" pivotButton="0" quotePrefix="0" xfId="0">
      <alignment horizontal="center"/>
    </xf>
    <xf numFmtId="0" fontId="21" fillId="0" borderId="0" pivotButton="0" quotePrefix="0" xfId="0"/>
    <xf numFmtId="0" fontId="0" fillId="0" borderId="3" pivotButton="0" quotePrefix="0" xfId="0"/>
    <xf numFmtId="0" fontId="9" fillId="0" borderId="0" pivotButton="0" quotePrefix="0" xfId="0"/>
    <xf numFmtId="1" fontId="7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1" fontId="7" fillId="4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11" fillId="4" borderId="1" pivotButton="0" quotePrefix="0" xfId="0"/>
    <xf numFmtId="166" fontId="7" fillId="4" borderId="1" applyAlignment="1" pivotButton="0" quotePrefix="0" xfId="0">
      <alignment horizontal="center"/>
    </xf>
    <xf numFmtId="9" fontId="7" fillId="4" borderId="1" applyAlignment="1" pivotButton="0" quotePrefix="0" xfId="0">
      <alignment horizontal="center"/>
    </xf>
    <xf numFmtId="167" fontId="7" fillId="4" borderId="1" applyAlignment="1" pivotButton="0" quotePrefix="0" xfId="0">
      <alignment horizontal="center"/>
    </xf>
    <xf numFmtId="166" fontId="11" fillId="4" borderId="1" applyAlignment="1" pivotButton="0" quotePrefix="0" xfId="0">
      <alignment horizontal="center"/>
    </xf>
    <xf numFmtId="0" fontId="8" fillId="0" borderId="0" pivotButton="0" quotePrefix="0" xfId="0"/>
    <xf numFmtId="164" fontId="7" fillId="3" borderId="1" pivotButton="0" quotePrefix="0" xfId="0"/>
    <xf numFmtId="0" fontId="7" fillId="4" borderId="1" pivotButton="0" quotePrefix="0" xfId="0"/>
    <xf numFmtId="1" fontId="7" fillId="4" borderId="1" pivotButton="0" quotePrefix="0" xfId="0"/>
    <xf numFmtId="164" fontId="7" fillId="4" borderId="1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color rgb="00C0392B"/>
      </font>
      <fill>
        <patternFill patternType="solid">
          <fgColor rgb="00FDE8E6"/>
        </patternFill>
      </fill>
    </dxf>
    <dxf>
      <font>
        <color rgb="009A5B00"/>
      </font>
      <fill>
        <patternFill patternType="solid">
          <fgColor rgb="00FFF1D0"/>
        </patternFill>
      </fill>
    </dxf>
    <dxf>
      <font>
        <color rgb="0017324D"/>
      </font>
      <fill>
        <patternFill patternType="solid">
          <fgColor rgb="00E3F2EE"/>
        </patternFill>
      </fill>
    </dxf>
    <dxf>
      <font>
        <b val="1"/>
        <color rgb="00C0392B"/>
      </font>
      <fill>
        <patternFill patternType="solid">
          <fgColor rgb="00FDE8E6"/>
        </patternFill>
      </fill>
    </dxf>
    <dxf>
      <font>
        <b val="1"/>
        <color rgb="009A5B00"/>
      </font>
      <fill>
        <patternFill patternType="solid">
          <fgColor rgb="00FFF1D0"/>
        </patternFill>
      </fill>
    </dxf>
    <dxf>
      <font>
        <i val="1"/>
        <color rgb="00888888"/>
      </font>
    </dxf>
    <dxf>
      <font>
        <color rgb="0099999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Minutos por semana por persona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'Hogar'!C4</f>
            </strRef>
          </tx>
          <spPr>
            <a:solidFill xmlns:a="http://schemas.openxmlformats.org/drawingml/2006/main">
              <a:srgbClr val="0F7B6C"/>
            </a:solidFill>
            <a:ln xmlns:a="http://schemas.openxmlformats.org/drawingml/2006/main">
              <a:prstDash val="solid"/>
            </a:ln>
          </spPr>
          <cat>
            <numRef>
              <f>'Hogar'!$A$5:$A$11</f>
            </numRef>
          </cat>
          <val>
            <numRef>
              <f>'Hogar'!$C$5:$C$11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Tareas atrasadas por ambiente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'Hogar'!D17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'Hogar'!$A$18:$A$29</f>
            </numRef>
          </cat>
          <val>
            <numRef>
              <f>'Hogar'!$D$18:$D$29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7B6C"/>
    <outlinePr summaryBelow="1" summaryRight="1"/>
    <pageSetUpPr/>
  </sheetPr>
  <dimension ref="A1:A24"/>
  <sheetViews>
    <sheetView showGridLines="0" tabSelected="0" workbookViewId="0">
      <selection activeCell="A1" sqref="A1"/>
    </sheetView>
  </sheetViews>
  <sheetFormatPr baseColWidth="8" defaultRowHeight="15"/>
  <cols>
    <col width="112" customWidth="1" min="1" max="1"/>
  </cols>
  <sheetData>
    <row r="1" ht="28" customHeight="1">
      <c r="A1" s="1" t="inlineStr">
        <is>
          <t>Organizador del Hogar y Tareas</t>
        </is>
      </c>
    </row>
    <row r="2">
      <c r="A2" s="2" t="inlineStr">
        <is>
          <t>Dejá de llevar toda la casa en la cabeza. Cada tarea que se repite, quién la hace y cuándo toca de nuevo, calculado solo. Funciona en Excel y Google Sheets.</t>
        </is>
      </c>
    </row>
    <row r="4">
      <c r="A4" s="3" t="inlineStr">
        <is>
          <t>EMPEZÁ ACÁ (3 MINUTOS)</t>
        </is>
      </c>
    </row>
    <row r="5" ht="32" customHeight="1">
      <c r="A5" s="4" t="inlineStr">
        <is>
          <t>1. Ajustes: escribí el día en que empezás y los nombres de quienes viven en la casa (hasta 6). Podés editar la lista de ambientes.</t>
        </is>
      </c>
    </row>
    <row r="6" ht="48" customHeight="1">
      <c r="A6" s="4" t="inlineStr">
        <is>
          <t>2. Tareas: ya vienen cargadas unas 80 tareas comunes, agrupadas por ambiente, con su frecuencia (cada N días, semanas, meses o años) y los minutos que lleva cada una. Cambialas, borralas o agregá las tuyas. Las de mascotas vienen en No; pasalas a Sí si corresponde.</t>
        </is>
      </c>
    </row>
    <row r="7" ht="32" customHeight="1">
      <c r="A7" s="4" t="inlineStr">
        <is>
          <t>3. Elegí quién hace cada tarea en la columna Quién (opcional). Las tareas que nunca registraste se reparten a propósito a lo largo de su primer ciclo, para que el primer día no sea una montaña.</t>
        </is>
      </c>
    </row>
    <row r="8" ht="32" customHeight="1">
      <c r="A8" s="4" t="inlineStr">
        <is>
          <t>4. Hoy: tu lista de pendientes, ordenada por urgencia: atrasadas, hoy y próximos 7 días. Elegí una persona arriba para ver solo sus tareas.</t>
        </is>
      </c>
    </row>
    <row r="9" ht="32" customHeight="1">
      <c r="A9" s="4" t="inlineStr">
        <is>
          <t>5. Cuando terminás una tarea, anotá la fecha en la columna 'Última vez' de Tareas (Ctrl + ; inserta la de hoy). La próxima fecha se corre sola. El vínculo 'Marcar hecha' de Hoy te lleva a la celda correcta.</t>
        </is>
      </c>
    </row>
    <row r="11">
      <c r="A11" s="3" t="inlineStr">
        <is>
          <t>IMPRIMILA</t>
        </is>
      </c>
    </row>
    <row r="12" ht="32" customHeight="1">
      <c r="A12" s="4" t="inlineStr">
        <is>
          <t>Semana es una lista lista para imprimir con los próximos 7 días, una columna por día, casilleros para tildar, cantidad de tareas y minutos de trabajo por día. Está pensada para una hoja A4 / Carta horizontal.</t>
        </is>
      </c>
    </row>
    <row r="14">
      <c r="A14" s="3" t="inlineStr">
        <is>
          <t>REPARTAN LA CARGA</t>
        </is>
      </c>
    </row>
    <row r="15" ht="48" customHeight="1">
      <c r="A15" s="4" t="inlineStr">
        <is>
          <t>Hogar: minutos de trabajo por semana de cada persona, porcentaje del total, quién está por encima o por debajo de un reparto parejo, tareas atrasadas por persona y por ambiente, y quién tiene hoy la carga más liviana. Sirve para hablar con calma y con datos, sin pelear.</t>
        </is>
      </c>
    </row>
    <row r="17">
      <c r="A17" s="3" t="inlineStr">
        <is>
          <t>MÁS PLANTILLAS</t>
        </is>
      </c>
    </row>
    <row r="18" ht="32" customHeight="1">
      <c r="A18" s="4" t="inlineStr">
        <is>
          <t>Biblioteca trae 45 tareas extra en packs (familia con chicos, mascotas, jardín, de temporada, plantas, mudanza, estudiante). Copiá las columnas A a E de una fila en la primera fila libre de Tareas.</t>
        </is>
      </c>
    </row>
    <row r="20">
      <c r="A20" s="3" t="inlineStr">
        <is>
          <t>COLORES</t>
        </is>
      </c>
    </row>
    <row r="21" ht="16" customHeight="1">
      <c r="A21" s="4" t="inlineStr">
        <is>
          <t>Las celdas amarillas las completás vos. Las verdes se calculan solas, no las pises.</t>
        </is>
      </c>
    </row>
    <row r="23">
      <c r="A23" s="3" t="inlineStr">
        <is>
          <t>AVISO</t>
        </is>
      </c>
    </row>
    <row r="24" ht="32" customHeight="1">
      <c r="A24" s="4" t="inlineStr">
        <is>
          <t>Herramienta de organización del hogar. No guarda nada fuera de tu archivo ni envía datos a ningún lado. Solo para uso personal; no se permite su reventa ni redistribución.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J51"/>
  <sheetViews>
    <sheetView showGridLines="0" tabSelected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  <col width="17" customWidth="1" min="3" max="3"/>
    <col width="14" customWidth="1" min="4" max="4"/>
    <col width="9" customWidth="1" min="5" max="5"/>
    <col width="13" customWidth="1" min="6" max="6"/>
    <col width="14" customWidth="1" min="7" max="7"/>
    <col width="14" customWidth="1" min="8" max="8"/>
    <col hidden="1" width="3" customWidth="1" min="9" max="9"/>
    <col hidden="1" width="6" customWidth="1" min="10" max="10"/>
  </cols>
  <sheetData>
    <row r="1" ht="28" customHeight="1">
      <c r="A1" s="1" t="inlineStr">
        <is>
          <t>Hoy</t>
        </is>
      </c>
    </row>
    <row r="2">
      <c r="A2" s="2" t="inlineStr">
        <is>
          <t>Lo que hay que hacer ahora, lo más urgente primero.</t>
        </is>
      </c>
    </row>
    <row r="3">
      <c r="A3" s="5" t="inlineStr">
        <is>
          <t>Mostrar tareas de:</t>
        </is>
      </c>
      <c r="B3" s="6" t="inlineStr">
        <is>
          <t>Todos</t>
        </is>
      </c>
    </row>
    <row r="5">
      <c r="B5" s="7" t="inlineStr">
        <is>
          <t>Atrasadas</t>
        </is>
      </c>
      <c r="C5" s="8">
        <f>SUMPRODUCT(('Tareas'!$L$6:$L$155="Atrasada")*((('Tareas'!$F$6:$F$155=$B$3)+($B$3='Ajustes'!$D$5))&gt;0))</f>
        <v/>
      </c>
    </row>
    <row r="6">
      <c r="B6" s="7" t="inlineStr">
        <is>
          <t>Para hoy</t>
        </is>
      </c>
      <c r="C6" s="8">
        <f>SUMPRODUCT(('Tareas'!$L$6:$L$155="Hoy")*((('Tareas'!$F$6:$F$155=$B$3)+($B$3='Ajustes'!$D$5))&gt;0))</f>
        <v/>
      </c>
    </row>
    <row r="7">
      <c r="B7" s="7" t="inlineStr">
        <is>
          <t>Próximas (7 días)</t>
        </is>
      </c>
      <c r="C7" s="8">
        <f>SUMPRODUCT(('Tareas'!$L$6:$L$155="Esta semana")*((('Tareas'!$F$6:$F$155=$B$3)+($B$3='Ajustes'!$D$5))&gt;0))</f>
        <v/>
      </c>
    </row>
    <row r="8">
      <c r="B8" s="7" t="inlineStr">
        <is>
          <t>Minutos de trabajo hoy (atrasadas + hoy)</t>
        </is>
      </c>
      <c r="C8" s="8">
        <f>SUMPRODUCT((('Tareas'!$L$6:$L$155="Atrasada")+('Tareas'!$L$6:$L$155="Hoy"))*((('Tareas'!$F$6:$F$155=$B$3)+($B$3='Ajustes'!$D$5))&gt;0)*'Tareas'!$E$6:$E$155)</f>
        <v/>
      </c>
    </row>
    <row r="9">
      <c r="B9" s="9">
        <f>IF(COUNT('Tareas'!$M$6:$M$155)=0,"Todo al día. Nada atrasado y nada para los próximos 7 días.","")</f>
        <v/>
      </c>
    </row>
    <row r="10" ht="32" customHeight="1">
      <c r="A10" s="10" t="inlineStr">
        <is>
          <t>Estado</t>
        </is>
      </c>
      <c r="B10" s="10" t="inlineStr">
        <is>
          <t>Tarea</t>
        </is>
      </c>
      <c r="C10" s="10" t="inlineStr">
        <is>
          <t>Ambiente</t>
        </is>
      </c>
      <c r="D10" s="10" t="inlineStr">
        <is>
          <t>Quién</t>
        </is>
      </c>
      <c r="E10" s="10" t="inlineStr">
        <is>
          <t>Min</t>
        </is>
      </c>
      <c r="F10" s="10" t="inlineStr">
        <is>
          <t>Vence</t>
        </is>
      </c>
      <c r="G10" s="10" t="inlineStr">
        <is>
          <t>Atraso / faltan</t>
        </is>
      </c>
      <c r="H10" s="10" t="inlineStr">
        <is>
          <t>Marcar hecha</t>
        </is>
      </c>
    </row>
    <row r="11">
      <c r="A11" s="11">
        <f>IF($J11="","",INDEX('Tareas'!$L$6:$L$155,$J11))</f>
        <v/>
      </c>
      <c r="B11" s="12">
        <f>IF($J11="","",INDEX('Tareas'!$A$6:$A$155,$J11))</f>
        <v/>
      </c>
      <c r="C11" s="13">
        <f>IF($J11="","",INDEX('Tareas'!$B$6:$B$155,$J11))</f>
        <v/>
      </c>
      <c r="D11" s="13">
        <f>IF($J11="","",INDEX('Tareas'!$F$6:$F$155,$J11)&amp;"")</f>
        <v/>
      </c>
      <c r="E11" s="14">
        <f>IF($J11="","",INDEX('Tareas'!$E$6:$E$155,$J11))</f>
        <v/>
      </c>
      <c r="F11" s="15">
        <f>IF($J11="","",INDEX('Tareas'!$J$6:$J$155,$J11))</f>
        <v/>
      </c>
      <c r="G11" s="16">
        <f>IF($J11="","",IF(INDEX('Tareas'!$K$6:$K$155,$J11)&lt;0,-INDEX('Tareas'!$K$6:$K$155,$J11)&amp;" d de atraso",IF(INDEX('Tareas'!$K$6:$K$155,$J11)=0,"–",INDEX('Tareas'!$K$6:$K$155,$J11)&amp;" d")))</f>
        <v/>
      </c>
      <c r="H11" s="17">
        <f>IF($J11="","",HYPERLINK("#'Tareas'!G"&amp;($J11+5),"Marcar hecha ›"))</f>
        <v/>
      </c>
      <c r="J11" s="18">
        <f>IFERROR(MATCH(SMALL('Tareas'!$M$6:$M$155,1),'Tareas'!$M$6:$M$155,0),"")</f>
        <v/>
      </c>
    </row>
    <row r="12">
      <c r="A12" s="11">
        <f>IF($J12="","",INDEX('Tareas'!$L$6:$L$155,$J12))</f>
        <v/>
      </c>
      <c r="B12" s="12">
        <f>IF($J12="","",INDEX('Tareas'!$A$6:$A$155,$J12))</f>
        <v/>
      </c>
      <c r="C12" s="13">
        <f>IF($J12="","",INDEX('Tareas'!$B$6:$B$155,$J12))</f>
        <v/>
      </c>
      <c r="D12" s="13">
        <f>IF($J12="","",INDEX('Tareas'!$F$6:$F$155,$J12)&amp;"")</f>
        <v/>
      </c>
      <c r="E12" s="14">
        <f>IF($J12="","",INDEX('Tareas'!$E$6:$E$155,$J12))</f>
        <v/>
      </c>
      <c r="F12" s="15">
        <f>IF($J12="","",INDEX('Tareas'!$J$6:$J$155,$J12))</f>
        <v/>
      </c>
      <c r="G12" s="16">
        <f>IF($J12="","",IF(INDEX('Tareas'!$K$6:$K$155,$J12)&lt;0,-INDEX('Tareas'!$K$6:$K$155,$J12)&amp;" d de atraso",IF(INDEX('Tareas'!$K$6:$K$155,$J12)=0,"–",INDEX('Tareas'!$K$6:$K$155,$J12)&amp;" d")))</f>
        <v/>
      </c>
      <c r="H12" s="17">
        <f>IF($J12="","",HYPERLINK("#'Tareas'!G"&amp;($J12+5),"Marcar hecha ›"))</f>
        <v/>
      </c>
      <c r="J12" s="18">
        <f>IFERROR(MATCH(SMALL('Tareas'!$M$6:$M$155,2),'Tareas'!$M$6:$M$155,0),"")</f>
        <v/>
      </c>
    </row>
    <row r="13">
      <c r="A13" s="11">
        <f>IF($J13="","",INDEX('Tareas'!$L$6:$L$155,$J13))</f>
        <v/>
      </c>
      <c r="B13" s="12">
        <f>IF($J13="","",INDEX('Tareas'!$A$6:$A$155,$J13))</f>
        <v/>
      </c>
      <c r="C13" s="13">
        <f>IF($J13="","",INDEX('Tareas'!$B$6:$B$155,$J13))</f>
        <v/>
      </c>
      <c r="D13" s="13">
        <f>IF($J13="","",INDEX('Tareas'!$F$6:$F$155,$J13)&amp;"")</f>
        <v/>
      </c>
      <c r="E13" s="14">
        <f>IF($J13="","",INDEX('Tareas'!$E$6:$E$155,$J13))</f>
        <v/>
      </c>
      <c r="F13" s="15">
        <f>IF($J13="","",INDEX('Tareas'!$J$6:$J$155,$J13))</f>
        <v/>
      </c>
      <c r="G13" s="16">
        <f>IF($J13="","",IF(INDEX('Tareas'!$K$6:$K$155,$J13)&lt;0,-INDEX('Tareas'!$K$6:$K$155,$J13)&amp;" d de atraso",IF(INDEX('Tareas'!$K$6:$K$155,$J13)=0,"–",INDEX('Tareas'!$K$6:$K$155,$J13)&amp;" d")))</f>
        <v/>
      </c>
      <c r="H13" s="17">
        <f>IF($J13="","",HYPERLINK("#'Tareas'!G"&amp;($J13+5),"Marcar hecha ›"))</f>
        <v/>
      </c>
      <c r="J13" s="18">
        <f>IFERROR(MATCH(SMALL('Tareas'!$M$6:$M$155,3),'Tareas'!$M$6:$M$155,0),"")</f>
        <v/>
      </c>
    </row>
    <row r="14">
      <c r="A14" s="11">
        <f>IF($J14="","",INDEX('Tareas'!$L$6:$L$155,$J14))</f>
        <v/>
      </c>
      <c r="B14" s="12">
        <f>IF($J14="","",INDEX('Tareas'!$A$6:$A$155,$J14))</f>
        <v/>
      </c>
      <c r="C14" s="13">
        <f>IF($J14="","",INDEX('Tareas'!$B$6:$B$155,$J14))</f>
        <v/>
      </c>
      <c r="D14" s="13">
        <f>IF($J14="","",INDEX('Tareas'!$F$6:$F$155,$J14)&amp;"")</f>
        <v/>
      </c>
      <c r="E14" s="14">
        <f>IF($J14="","",INDEX('Tareas'!$E$6:$E$155,$J14))</f>
        <v/>
      </c>
      <c r="F14" s="15">
        <f>IF($J14="","",INDEX('Tareas'!$J$6:$J$155,$J14))</f>
        <v/>
      </c>
      <c r="G14" s="16">
        <f>IF($J14="","",IF(INDEX('Tareas'!$K$6:$K$155,$J14)&lt;0,-INDEX('Tareas'!$K$6:$K$155,$J14)&amp;" d de atraso",IF(INDEX('Tareas'!$K$6:$K$155,$J14)=0,"–",INDEX('Tareas'!$K$6:$K$155,$J14)&amp;" d")))</f>
        <v/>
      </c>
      <c r="H14" s="17">
        <f>IF($J14="","",HYPERLINK("#'Tareas'!G"&amp;($J14+5),"Marcar hecha ›"))</f>
        <v/>
      </c>
      <c r="J14" s="18">
        <f>IFERROR(MATCH(SMALL('Tareas'!$M$6:$M$155,4),'Tareas'!$M$6:$M$155,0),"")</f>
        <v/>
      </c>
    </row>
    <row r="15">
      <c r="A15" s="11">
        <f>IF($J15="","",INDEX('Tareas'!$L$6:$L$155,$J15))</f>
        <v/>
      </c>
      <c r="B15" s="12">
        <f>IF($J15="","",INDEX('Tareas'!$A$6:$A$155,$J15))</f>
        <v/>
      </c>
      <c r="C15" s="13">
        <f>IF($J15="","",INDEX('Tareas'!$B$6:$B$155,$J15))</f>
        <v/>
      </c>
      <c r="D15" s="13">
        <f>IF($J15="","",INDEX('Tareas'!$F$6:$F$155,$J15)&amp;"")</f>
        <v/>
      </c>
      <c r="E15" s="14">
        <f>IF($J15="","",INDEX('Tareas'!$E$6:$E$155,$J15))</f>
        <v/>
      </c>
      <c r="F15" s="15">
        <f>IF($J15="","",INDEX('Tareas'!$J$6:$J$155,$J15))</f>
        <v/>
      </c>
      <c r="G15" s="16">
        <f>IF($J15="","",IF(INDEX('Tareas'!$K$6:$K$155,$J15)&lt;0,-INDEX('Tareas'!$K$6:$K$155,$J15)&amp;" d de atraso",IF(INDEX('Tareas'!$K$6:$K$155,$J15)=0,"–",INDEX('Tareas'!$K$6:$K$155,$J15)&amp;" d")))</f>
        <v/>
      </c>
      <c r="H15" s="17">
        <f>IF($J15="","",HYPERLINK("#'Tareas'!G"&amp;($J15+5),"Marcar hecha ›"))</f>
        <v/>
      </c>
      <c r="J15" s="18">
        <f>IFERROR(MATCH(SMALL('Tareas'!$M$6:$M$155,5),'Tareas'!$M$6:$M$155,0),"")</f>
        <v/>
      </c>
    </row>
    <row r="16">
      <c r="A16" s="11">
        <f>IF($J16="","",INDEX('Tareas'!$L$6:$L$155,$J16))</f>
        <v/>
      </c>
      <c r="B16" s="12">
        <f>IF($J16="","",INDEX('Tareas'!$A$6:$A$155,$J16))</f>
        <v/>
      </c>
      <c r="C16" s="13">
        <f>IF($J16="","",INDEX('Tareas'!$B$6:$B$155,$J16))</f>
        <v/>
      </c>
      <c r="D16" s="13">
        <f>IF($J16="","",INDEX('Tareas'!$F$6:$F$155,$J16)&amp;"")</f>
        <v/>
      </c>
      <c r="E16" s="14">
        <f>IF($J16="","",INDEX('Tareas'!$E$6:$E$155,$J16))</f>
        <v/>
      </c>
      <c r="F16" s="15">
        <f>IF($J16="","",INDEX('Tareas'!$J$6:$J$155,$J16))</f>
        <v/>
      </c>
      <c r="G16" s="16">
        <f>IF($J16="","",IF(INDEX('Tareas'!$K$6:$K$155,$J16)&lt;0,-INDEX('Tareas'!$K$6:$K$155,$J16)&amp;" d de atraso",IF(INDEX('Tareas'!$K$6:$K$155,$J16)=0,"–",INDEX('Tareas'!$K$6:$K$155,$J16)&amp;" d")))</f>
        <v/>
      </c>
      <c r="H16" s="17">
        <f>IF($J16="","",HYPERLINK("#'Tareas'!G"&amp;($J16+5),"Marcar hecha ›"))</f>
        <v/>
      </c>
      <c r="J16" s="18">
        <f>IFERROR(MATCH(SMALL('Tareas'!$M$6:$M$155,6),'Tareas'!$M$6:$M$155,0),"")</f>
        <v/>
      </c>
    </row>
    <row r="17">
      <c r="A17" s="11">
        <f>IF($J17="","",INDEX('Tareas'!$L$6:$L$155,$J17))</f>
        <v/>
      </c>
      <c r="B17" s="12">
        <f>IF($J17="","",INDEX('Tareas'!$A$6:$A$155,$J17))</f>
        <v/>
      </c>
      <c r="C17" s="13">
        <f>IF($J17="","",INDEX('Tareas'!$B$6:$B$155,$J17))</f>
        <v/>
      </c>
      <c r="D17" s="13">
        <f>IF($J17="","",INDEX('Tareas'!$F$6:$F$155,$J17)&amp;"")</f>
        <v/>
      </c>
      <c r="E17" s="14">
        <f>IF($J17="","",INDEX('Tareas'!$E$6:$E$155,$J17))</f>
        <v/>
      </c>
      <c r="F17" s="15">
        <f>IF($J17="","",INDEX('Tareas'!$J$6:$J$155,$J17))</f>
        <v/>
      </c>
      <c r="G17" s="16">
        <f>IF($J17="","",IF(INDEX('Tareas'!$K$6:$K$155,$J17)&lt;0,-INDEX('Tareas'!$K$6:$K$155,$J17)&amp;" d de atraso",IF(INDEX('Tareas'!$K$6:$K$155,$J17)=0,"–",INDEX('Tareas'!$K$6:$K$155,$J17)&amp;" d")))</f>
        <v/>
      </c>
      <c r="H17" s="17">
        <f>IF($J17="","",HYPERLINK("#'Tareas'!G"&amp;($J17+5),"Marcar hecha ›"))</f>
        <v/>
      </c>
      <c r="J17" s="18">
        <f>IFERROR(MATCH(SMALL('Tareas'!$M$6:$M$155,7),'Tareas'!$M$6:$M$155,0),"")</f>
        <v/>
      </c>
    </row>
    <row r="18">
      <c r="A18" s="11">
        <f>IF($J18="","",INDEX('Tareas'!$L$6:$L$155,$J18))</f>
        <v/>
      </c>
      <c r="B18" s="12">
        <f>IF($J18="","",INDEX('Tareas'!$A$6:$A$155,$J18))</f>
        <v/>
      </c>
      <c r="C18" s="13">
        <f>IF($J18="","",INDEX('Tareas'!$B$6:$B$155,$J18))</f>
        <v/>
      </c>
      <c r="D18" s="13">
        <f>IF($J18="","",INDEX('Tareas'!$F$6:$F$155,$J18)&amp;"")</f>
        <v/>
      </c>
      <c r="E18" s="14">
        <f>IF($J18="","",INDEX('Tareas'!$E$6:$E$155,$J18))</f>
        <v/>
      </c>
      <c r="F18" s="15">
        <f>IF($J18="","",INDEX('Tareas'!$J$6:$J$155,$J18))</f>
        <v/>
      </c>
      <c r="G18" s="16">
        <f>IF($J18="","",IF(INDEX('Tareas'!$K$6:$K$155,$J18)&lt;0,-INDEX('Tareas'!$K$6:$K$155,$J18)&amp;" d de atraso",IF(INDEX('Tareas'!$K$6:$K$155,$J18)=0,"–",INDEX('Tareas'!$K$6:$K$155,$J18)&amp;" d")))</f>
        <v/>
      </c>
      <c r="H18" s="17">
        <f>IF($J18="","",HYPERLINK("#'Tareas'!G"&amp;($J18+5),"Marcar hecha ›"))</f>
        <v/>
      </c>
      <c r="J18" s="18">
        <f>IFERROR(MATCH(SMALL('Tareas'!$M$6:$M$155,8),'Tareas'!$M$6:$M$155,0),"")</f>
        <v/>
      </c>
    </row>
    <row r="19">
      <c r="A19" s="11">
        <f>IF($J19="","",INDEX('Tareas'!$L$6:$L$155,$J19))</f>
        <v/>
      </c>
      <c r="B19" s="12">
        <f>IF($J19="","",INDEX('Tareas'!$A$6:$A$155,$J19))</f>
        <v/>
      </c>
      <c r="C19" s="13">
        <f>IF($J19="","",INDEX('Tareas'!$B$6:$B$155,$J19))</f>
        <v/>
      </c>
      <c r="D19" s="13">
        <f>IF($J19="","",INDEX('Tareas'!$F$6:$F$155,$J19)&amp;"")</f>
        <v/>
      </c>
      <c r="E19" s="14">
        <f>IF($J19="","",INDEX('Tareas'!$E$6:$E$155,$J19))</f>
        <v/>
      </c>
      <c r="F19" s="15">
        <f>IF($J19="","",INDEX('Tareas'!$J$6:$J$155,$J19))</f>
        <v/>
      </c>
      <c r="G19" s="16">
        <f>IF($J19="","",IF(INDEX('Tareas'!$K$6:$K$155,$J19)&lt;0,-INDEX('Tareas'!$K$6:$K$155,$J19)&amp;" d de atraso",IF(INDEX('Tareas'!$K$6:$K$155,$J19)=0,"–",INDEX('Tareas'!$K$6:$K$155,$J19)&amp;" d")))</f>
        <v/>
      </c>
      <c r="H19" s="17">
        <f>IF($J19="","",HYPERLINK("#'Tareas'!G"&amp;($J19+5),"Marcar hecha ›"))</f>
        <v/>
      </c>
      <c r="J19" s="18">
        <f>IFERROR(MATCH(SMALL('Tareas'!$M$6:$M$155,9),'Tareas'!$M$6:$M$155,0),"")</f>
        <v/>
      </c>
    </row>
    <row r="20">
      <c r="A20" s="11">
        <f>IF($J20="","",INDEX('Tareas'!$L$6:$L$155,$J20))</f>
        <v/>
      </c>
      <c r="B20" s="12">
        <f>IF($J20="","",INDEX('Tareas'!$A$6:$A$155,$J20))</f>
        <v/>
      </c>
      <c r="C20" s="13">
        <f>IF($J20="","",INDEX('Tareas'!$B$6:$B$155,$J20))</f>
        <v/>
      </c>
      <c r="D20" s="13">
        <f>IF($J20="","",INDEX('Tareas'!$F$6:$F$155,$J20)&amp;"")</f>
        <v/>
      </c>
      <c r="E20" s="14">
        <f>IF($J20="","",INDEX('Tareas'!$E$6:$E$155,$J20))</f>
        <v/>
      </c>
      <c r="F20" s="15">
        <f>IF($J20="","",INDEX('Tareas'!$J$6:$J$155,$J20))</f>
        <v/>
      </c>
      <c r="G20" s="16">
        <f>IF($J20="","",IF(INDEX('Tareas'!$K$6:$K$155,$J20)&lt;0,-INDEX('Tareas'!$K$6:$K$155,$J20)&amp;" d de atraso",IF(INDEX('Tareas'!$K$6:$K$155,$J20)=0,"–",INDEX('Tareas'!$K$6:$K$155,$J20)&amp;" d")))</f>
        <v/>
      </c>
      <c r="H20" s="17">
        <f>IF($J20="","",HYPERLINK("#'Tareas'!G"&amp;($J20+5),"Marcar hecha ›"))</f>
        <v/>
      </c>
      <c r="J20" s="18">
        <f>IFERROR(MATCH(SMALL('Tareas'!$M$6:$M$155,10),'Tareas'!$M$6:$M$155,0),"")</f>
        <v/>
      </c>
    </row>
    <row r="21">
      <c r="A21" s="11">
        <f>IF($J21="","",INDEX('Tareas'!$L$6:$L$155,$J21))</f>
        <v/>
      </c>
      <c r="B21" s="12">
        <f>IF($J21="","",INDEX('Tareas'!$A$6:$A$155,$J21))</f>
        <v/>
      </c>
      <c r="C21" s="13">
        <f>IF($J21="","",INDEX('Tareas'!$B$6:$B$155,$J21))</f>
        <v/>
      </c>
      <c r="D21" s="13">
        <f>IF($J21="","",INDEX('Tareas'!$F$6:$F$155,$J21)&amp;"")</f>
        <v/>
      </c>
      <c r="E21" s="14">
        <f>IF($J21="","",INDEX('Tareas'!$E$6:$E$155,$J21))</f>
        <v/>
      </c>
      <c r="F21" s="15">
        <f>IF($J21="","",INDEX('Tareas'!$J$6:$J$155,$J21))</f>
        <v/>
      </c>
      <c r="G21" s="16">
        <f>IF($J21="","",IF(INDEX('Tareas'!$K$6:$K$155,$J21)&lt;0,-INDEX('Tareas'!$K$6:$K$155,$J21)&amp;" d de atraso",IF(INDEX('Tareas'!$K$6:$K$155,$J21)=0,"–",INDEX('Tareas'!$K$6:$K$155,$J21)&amp;" d")))</f>
        <v/>
      </c>
      <c r="H21" s="17">
        <f>IF($J21="","",HYPERLINK("#'Tareas'!G"&amp;($J21+5),"Marcar hecha ›"))</f>
        <v/>
      </c>
      <c r="J21" s="18">
        <f>IFERROR(MATCH(SMALL('Tareas'!$M$6:$M$155,11),'Tareas'!$M$6:$M$155,0),"")</f>
        <v/>
      </c>
    </row>
    <row r="22">
      <c r="A22" s="11">
        <f>IF($J22="","",INDEX('Tareas'!$L$6:$L$155,$J22))</f>
        <v/>
      </c>
      <c r="B22" s="12">
        <f>IF($J22="","",INDEX('Tareas'!$A$6:$A$155,$J22))</f>
        <v/>
      </c>
      <c r="C22" s="13">
        <f>IF($J22="","",INDEX('Tareas'!$B$6:$B$155,$J22))</f>
        <v/>
      </c>
      <c r="D22" s="13">
        <f>IF($J22="","",INDEX('Tareas'!$F$6:$F$155,$J22)&amp;"")</f>
        <v/>
      </c>
      <c r="E22" s="14">
        <f>IF($J22="","",INDEX('Tareas'!$E$6:$E$155,$J22))</f>
        <v/>
      </c>
      <c r="F22" s="15">
        <f>IF($J22="","",INDEX('Tareas'!$J$6:$J$155,$J22))</f>
        <v/>
      </c>
      <c r="G22" s="16">
        <f>IF($J22="","",IF(INDEX('Tareas'!$K$6:$K$155,$J22)&lt;0,-INDEX('Tareas'!$K$6:$K$155,$J22)&amp;" d de atraso",IF(INDEX('Tareas'!$K$6:$K$155,$J22)=0,"–",INDEX('Tareas'!$K$6:$K$155,$J22)&amp;" d")))</f>
        <v/>
      </c>
      <c r="H22" s="17">
        <f>IF($J22="","",HYPERLINK("#'Tareas'!G"&amp;($J22+5),"Marcar hecha ›"))</f>
        <v/>
      </c>
      <c r="J22" s="18">
        <f>IFERROR(MATCH(SMALL('Tareas'!$M$6:$M$155,12),'Tareas'!$M$6:$M$155,0),"")</f>
        <v/>
      </c>
    </row>
    <row r="23">
      <c r="A23" s="11">
        <f>IF($J23="","",INDEX('Tareas'!$L$6:$L$155,$J23))</f>
        <v/>
      </c>
      <c r="B23" s="12">
        <f>IF($J23="","",INDEX('Tareas'!$A$6:$A$155,$J23))</f>
        <v/>
      </c>
      <c r="C23" s="13">
        <f>IF($J23="","",INDEX('Tareas'!$B$6:$B$155,$J23))</f>
        <v/>
      </c>
      <c r="D23" s="13">
        <f>IF($J23="","",INDEX('Tareas'!$F$6:$F$155,$J23)&amp;"")</f>
        <v/>
      </c>
      <c r="E23" s="14">
        <f>IF($J23="","",INDEX('Tareas'!$E$6:$E$155,$J23))</f>
        <v/>
      </c>
      <c r="F23" s="15">
        <f>IF($J23="","",INDEX('Tareas'!$J$6:$J$155,$J23))</f>
        <v/>
      </c>
      <c r="G23" s="16">
        <f>IF($J23="","",IF(INDEX('Tareas'!$K$6:$K$155,$J23)&lt;0,-INDEX('Tareas'!$K$6:$K$155,$J23)&amp;" d de atraso",IF(INDEX('Tareas'!$K$6:$K$155,$J23)=0,"–",INDEX('Tareas'!$K$6:$K$155,$J23)&amp;" d")))</f>
        <v/>
      </c>
      <c r="H23" s="17">
        <f>IF($J23="","",HYPERLINK("#'Tareas'!G"&amp;($J23+5),"Marcar hecha ›"))</f>
        <v/>
      </c>
      <c r="J23" s="18">
        <f>IFERROR(MATCH(SMALL('Tareas'!$M$6:$M$155,13),'Tareas'!$M$6:$M$155,0),"")</f>
        <v/>
      </c>
    </row>
    <row r="24">
      <c r="A24" s="11">
        <f>IF($J24="","",INDEX('Tareas'!$L$6:$L$155,$J24))</f>
        <v/>
      </c>
      <c r="B24" s="12">
        <f>IF($J24="","",INDEX('Tareas'!$A$6:$A$155,$J24))</f>
        <v/>
      </c>
      <c r="C24" s="13">
        <f>IF($J24="","",INDEX('Tareas'!$B$6:$B$155,$J24))</f>
        <v/>
      </c>
      <c r="D24" s="13">
        <f>IF($J24="","",INDEX('Tareas'!$F$6:$F$155,$J24)&amp;"")</f>
        <v/>
      </c>
      <c r="E24" s="14">
        <f>IF($J24="","",INDEX('Tareas'!$E$6:$E$155,$J24))</f>
        <v/>
      </c>
      <c r="F24" s="15">
        <f>IF($J24="","",INDEX('Tareas'!$J$6:$J$155,$J24))</f>
        <v/>
      </c>
      <c r="G24" s="16">
        <f>IF($J24="","",IF(INDEX('Tareas'!$K$6:$K$155,$J24)&lt;0,-INDEX('Tareas'!$K$6:$K$155,$J24)&amp;" d de atraso",IF(INDEX('Tareas'!$K$6:$K$155,$J24)=0,"–",INDEX('Tareas'!$K$6:$K$155,$J24)&amp;" d")))</f>
        <v/>
      </c>
      <c r="H24" s="17">
        <f>IF($J24="","",HYPERLINK("#'Tareas'!G"&amp;($J24+5),"Marcar hecha ›"))</f>
        <v/>
      </c>
      <c r="J24" s="18">
        <f>IFERROR(MATCH(SMALL('Tareas'!$M$6:$M$155,14),'Tareas'!$M$6:$M$155,0),"")</f>
        <v/>
      </c>
    </row>
    <row r="25">
      <c r="A25" s="11">
        <f>IF($J25="","",INDEX('Tareas'!$L$6:$L$155,$J25))</f>
        <v/>
      </c>
      <c r="B25" s="12">
        <f>IF($J25="","",INDEX('Tareas'!$A$6:$A$155,$J25))</f>
        <v/>
      </c>
      <c r="C25" s="13">
        <f>IF($J25="","",INDEX('Tareas'!$B$6:$B$155,$J25))</f>
        <v/>
      </c>
      <c r="D25" s="13">
        <f>IF($J25="","",INDEX('Tareas'!$F$6:$F$155,$J25)&amp;"")</f>
        <v/>
      </c>
      <c r="E25" s="14">
        <f>IF($J25="","",INDEX('Tareas'!$E$6:$E$155,$J25))</f>
        <v/>
      </c>
      <c r="F25" s="15">
        <f>IF($J25="","",INDEX('Tareas'!$J$6:$J$155,$J25))</f>
        <v/>
      </c>
      <c r="G25" s="16">
        <f>IF($J25="","",IF(INDEX('Tareas'!$K$6:$K$155,$J25)&lt;0,-INDEX('Tareas'!$K$6:$K$155,$J25)&amp;" d de atraso",IF(INDEX('Tareas'!$K$6:$K$155,$J25)=0,"–",INDEX('Tareas'!$K$6:$K$155,$J25)&amp;" d")))</f>
        <v/>
      </c>
      <c r="H25" s="17">
        <f>IF($J25="","",HYPERLINK("#'Tareas'!G"&amp;($J25+5),"Marcar hecha ›"))</f>
        <v/>
      </c>
      <c r="J25" s="18">
        <f>IFERROR(MATCH(SMALL('Tareas'!$M$6:$M$155,15),'Tareas'!$M$6:$M$155,0),"")</f>
        <v/>
      </c>
    </row>
    <row r="26">
      <c r="A26" s="11">
        <f>IF($J26="","",INDEX('Tareas'!$L$6:$L$155,$J26))</f>
        <v/>
      </c>
      <c r="B26" s="12">
        <f>IF($J26="","",INDEX('Tareas'!$A$6:$A$155,$J26))</f>
        <v/>
      </c>
      <c r="C26" s="13">
        <f>IF($J26="","",INDEX('Tareas'!$B$6:$B$155,$J26))</f>
        <v/>
      </c>
      <c r="D26" s="13">
        <f>IF($J26="","",INDEX('Tareas'!$F$6:$F$155,$J26)&amp;"")</f>
        <v/>
      </c>
      <c r="E26" s="14">
        <f>IF($J26="","",INDEX('Tareas'!$E$6:$E$155,$J26))</f>
        <v/>
      </c>
      <c r="F26" s="15">
        <f>IF($J26="","",INDEX('Tareas'!$J$6:$J$155,$J26))</f>
        <v/>
      </c>
      <c r="G26" s="16">
        <f>IF($J26="","",IF(INDEX('Tareas'!$K$6:$K$155,$J26)&lt;0,-INDEX('Tareas'!$K$6:$K$155,$J26)&amp;" d de atraso",IF(INDEX('Tareas'!$K$6:$K$155,$J26)=0,"–",INDEX('Tareas'!$K$6:$K$155,$J26)&amp;" d")))</f>
        <v/>
      </c>
      <c r="H26" s="17">
        <f>IF($J26="","",HYPERLINK("#'Tareas'!G"&amp;($J26+5),"Marcar hecha ›"))</f>
        <v/>
      </c>
      <c r="J26" s="18">
        <f>IFERROR(MATCH(SMALL('Tareas'!$M$6:$M$155,16),'Tareas'!$M$6:$M$155,0),"")</f>
        <v/>
      </c>
    </row>
    <row r="27">
      <c r="A27" s="11">
        <f>IF($J27="","",INDEX('Tareas'!$L$6:$L$155,$J27))</f>
        <v/>
      </c>
      <c r="B27" s="12">
        <f>IF($J27="","",INDEX('Tareas'!$A$6:$A$155,$J27))</f>
        <v/>
      </c>
      <c r="C27" s="13">
        <f>IF($J27="","",INDEX('Tareas'!$B$6:$B$155,$J27))</f>
        <v/>
      </c>
      <c r="D27" s="13">
        <f>IF($J27="","",INDEX('Tareas'!$F$6:$F$155,$J27)&amp;"")</f>
        <v/>
      </c>
      <c r="E27" s="14">
        <f>IF($J27="","",INDEX('Tareas'!$E$6:$E$155,$J27))</f>
        <v/>
      </c>
      <c r="F27" s="15">
        <f>IF($J27="","",INDEX('Tareas'!$J$6:$J$155,$J27))</f>
        <v/>
      </c>
      <c r="G27" s="16">
        <f>IF($J27="","",IF(INDEX('Tareas'!$K$6:$K$155,$J27)&lt;0,-INDEX('Tareas'!$K$6:$K$155,$J27)&amp;" d de atraso",IF(INDEX('Tareas'!$K$6:$K$155,$J27)=0,"–",INDEX('Tareas'!$K$6:$K$155,$J27)&amp;" d")))</f>
        <v/>
      </c>
      <c r="H27" s="17">
        <f>IF($J27="","",HYPERLINK("#'Tareas'!G"&amp;($J27+5),"Marcar hecha ›"))</f>
        <v/>
      </c>
      <c r="J27" s="18">
        <f>IFERROR(MATCH(SMALL('Tareas'!$M$6:$M$155,17),'Tareas'!$M$6:$M$155,0),"")</f>
        <v/>
      </c>
    </row>
    <row r="28">
      <c r="A28" s="11">
        <f>IF($J28="","",INDEX('Tareas'!$L$6:$L$155,$J28))</f>
        <v/>
      </c>
      <c r="B28" s="12">
        <f>IF($J28="","",INDEX('Tareas'!$A$6:$A$155,$J28))</f>
        <v/>
      </c>
      <c r="C28" s="13">
        <f>IF($J28="","",INDEX('Tareas'!$B$6:$B$155,$J28))</f>
        <v/>
      </c>
      <c r="D28" s="13">
        <f>IF($J28="","",INDEX('Tareas'!$F$6:$F$155,$J28)&amp;"")</f>
        <v/>
      </c>
      <c r="E28" s="14">
        <f>IF($J28="","",INDEX('Tareas'!$E$6:$E$155,$J28))</f>
        <v/>
      </c>
      <c r="F28" s="15">
        <f>IF($J28="","",INDEX('Tareas'!$J$6:$J$155,$J28))</f>
        <v/>
      </c>
      <c r="G28" s="16">
        <f>IF($J28="","",IF(INDEX('Tareas'!$K$6:$K$155,$J28)&lt;0,-INDEX('Tareas'!$K$6:$K$155,$J28)&amp;" d de atraso",IF(INDEX('Tareas'!$K$6:$K$155,$J28)=0,"–",INDEX('Tareas'!$K$6:$K$155,$J28)&amp;" d")))</f>
        <v/>
      </c>
      <c r="H28" s="17">
        <f>IF($J28="","",HYPERLINK("#'Tareas'!G"&amp;($J28+5),"Marcar hecha ›"))</f>
        <v/>
      </c>
      <c r="J28" s="18">
        <f>IFERROR(MATCH(SMALL('Tareas'!$M$6:$M$155,18),'Tareas'!$M$6:$M$155,0),"")</f>
        <v/>
      </c>
    </row>
    <row r="29">
      <c r="A29" s="11">
        <f>IF($J29="","",INDEX('Tareas'!$L$6:$L$155,$J29))</f>
        <v/>
      </c>
      <c r="B29" s="12">
        <f>IF($J29="","",INDEX('Tareas'!$A$6:$A$155,$J29))</f>
        <v/>
      </c>
      <c r="C29" s="13">
        <f>IF($J29="","",INDEX('Tareas'!$B$6:$B$155,$J29))</f>
        <v/>
      </c>
      <c r="D29" s="13">
        <f>IF($J29="","",INDEX('Tareas'!$F$6:$F$155,$J29)&amp;"")</f>
        <v/>
      </c>
      <c r="E29" s="14">
        <f>IF($J29="","",INDEX('Tareas'!$E$6:$E$155,$J29))</f>
        <v/>
      </c>
      <c r="F29" s="15">
        <f>IF($J29="","",INDEX('Tareas'!$J$6:$J$155,$J29))</f>
        <v/>
      </c>
      <c r="G29" s="16">
        <f>IF($J29="","",IF(INDEX('Tareas'!$K$6:$K$155,$J29)&lt;0,-INDEX('Tareas'!$K$6:$K$155,$J29)&amp;" d de atraso",IF(INDEX('Tareas'!$K$6:$K$155,$J29)=0,"–",INDEX('Tareas'!$K$6:$K$155,$J29)&amp;" d")))</f>
        <v/>
      </c>
      <c r="H29" s="17">
        <f>IF($J29="","",HYPERLINK("#'Tareas'!G"&amp;($J29+5),"Marcar hecha ›"))</f>
        <v/>
      </c>
      <c r="J29" s="18">
        <f>IFERROR(MATCH(SMALL('Tareas'!$M$6:$M$155,19),'Tareas'!$M$6:$M$155,0),"")</f>
        <v/>
      </c>
    </row>
    <row r="30">
      <c r="A30" s="11">
        <f>IF($J30="","",INDEX('Tareas'!$L$6:$L$155,$J30))</f>
        <v/>
      </c>
      <c r="B30" s="12">
        <f>IF($J30="","",INDEX('Tareas'!$A$6:$A$155,$J30))</f>
        <v/>
      </c>
      <c r="C30" s="13">
        <f>IF($J30="","",INDEX('Tareas'!$B$6:$B$155,$J30))</f>
        <v/>
      </c>
      <c r="D30" s="13">
        <f>IF($J30="","",INDEX('Tareas'!$F$6:$F$155,$J30)&amp;"")</f>
        <v/>
      </c>
      <c r="E30" s="14">
        <f>IF($J30="","",INDEX('Tareas'!$E$6:$E$155,$J30))</f>
        <v/>
      </c>
      <c r="F30" s="15">
        <f>IF($J30="","",INDEX('Tareas'!$J$6:$J$155,$J30))</f>
        <v/>
      </c>
      <c r="G30" s="16">
        <f>IF($J30="","",IF(INDEX('Tareas'!$K$6:$K$155,$J30)&lt;0,-INDEX('Tareas'!$K$6:$K$155,$J30)&amp;" d de atraso",IF(INDEX('Tareas'!$K$6:$K$155,$J30)=0,"–",INDEX('Tareas'!$K$6:$K$155,$J30)&amp;" d")))</f>
        <v/>
      </c>
      <c r="H30" s="17">
        <f>IF($J30="","",HYPERLINK("#'Tareas'!G"&amp;($J30+5),"Marcar hecha ›"))</f>
        <v/>
      </c>
      <c r="J30" s="18">
        <f>IFERROR(MATCH(SMALL('Tareas'!$M$6:$M$155,20),'Tareas'!$M$6:$M$155,0),"")</f>
        <v/>
      </c>
    </row>
    <row r="31">
      <c r="A31" s="11">
        <f>IF($J31="","",INDEX('Tareas'!$L$6:$L$155,$J31))</f>
        <v/>
      </c>
      <c r="B31" s="12">
        <f>IF($J31="","",INDEX('Tareas'!$A$6:$A$155,$J31))</f>
        <v/>
      </c>
      <c r="C31" s="13">
        <f>IF($J31="","",INDEX('Tareas'!$B$6:$B$155,$J31))</f>
        <v/>
      </c>
      <c r="D31" s="13">
        <f>IF($J31="","",INDEX('Tareas'!$F$6:$F$155,$J31)&amp;"")</f>
        <v/>
      </c>
      <c r="E31" s="14">
        <f>IF($J31="","",INDEX('Tareas'!$E$6:$E$155,$J31))</f>
        <v/>
      </c>
      <c r="F31" s="15">
        <f>IF($J31="","",INDEX('Tareas'!$J$6:$J$155,$J31))</f>
        <v/>
      </c>
      <c r="G31" s="16">
        <f>IF($J31="","",IF(INDEX('Tareas'!$K$6:$K$155,$J31)&lt;0,-INDEX('Tareas'!$K$6:$K$155,$J31)&amp;" d de atraso",IF(INDEX('Tareas'!$K$6:$K$155,$J31)=0,"–",INDEX('Tareas'!$K$6:$K$155,$J31)&amp;" d")))</f>
        <v/>
      </c>
      <c r="H31" s="17">
        <f>IF($J31="","",HYPERLINK("#'Tareas'!G"&amp;($J31+5),"Marcar hecha ›"))</f>
        <v/>
      </c>
      <c r="J31" s="18">
        <f>IFERROR(MATCH(SMALL('Tareas'!$M$6:$M$155,21),'Tareas'!$M$6:$M$155,0),"")</f>
        <v/>
      </c>
    </row>
    <row r="32">
      <c r="A32" s="11">
        <f>IF($J32="","",INDEX('Tareas'!$L$6:$L$155,$J32))</f>
        <v/>
      </c>
      <c r="B32" s="12">
        <f>IF($J32="","",INDEX('Tareas'!$A$6:$A$155,$J32))</f>
        <v/>
      </c>
      <c r="C32" s="13">
        <f>IF($J32="","",INDEX('Tareas'!$B$6:$B$155,$J32))</f>
        <v/>
      </c>
      <c r="D32" s="13">
        <f>IF($J32="","",INDEX('Tareas'!$F$6:$F$155,$J32)&amp;"")</f>
        <v/>
      </c>
      <c r="E32" s="14">
        <f>IF($J32="","",INDEX('Tareas'!$E$6:$E$155,$J32))</f>
        <v/>
      </c>
      <c r="F32" s="15">
        <f>IF($J32="","",INDEX('Tareas'!$J$6:$J$155,$J32))</f>
        <v/>
      </c>
      <c r="G32" s="16">
        <f>IF($J32="","",IF(INDEX('Tareas'!$K$6:$K$155,$J32)&lt;0,-INDEX('Tareas'!$K$6:$K$155,$J32)&amp;" d de atraso",IF(INDEX('Tareas'!$K$6:$K$155,$J32)=0,"–",INDEX('Tareas'!$K$6:$K$155,$J32)&amp;" d")))</f>
        <v/>
      </c>
      <c r="H32" s="17">
        <f>IF($J32="","",HYPERLINK("#'Tareas'!G"&amp;($J32+5),"Marcar hecha ›"))</f>
        <v/>
      </c>
      <c r="J32" s="18">
        <f>IFERROR(MATCH(SMALL('Tareas'!$M$6:$M$155,22),'Tareas'!$M$6:$M$155,0),"")</f>
        <v/>
      </c>
    </row>
    <row r="33">
      <c r="A33" s="11">
        <f>IF($J33="","",INDEX('Tareas'!$L$6:$L$155,$J33))</f>
        <v/>
      </c>
      <c r="B33" s="12">
        <f>IF($J33="","",INDEX('Tareas'!$A$6:$A$155,$J33))</f>
        <v/>
      </c>
      <c r="C33" s="13">
        <f>IF($J33="","",INDEX('Tareas'!$B$6:$B$155,$J33))</f>
        <v/>
      </c>
      <c r="D33" s="13">
        <f>IF($J33="","",INDEX('Tareas'!$F$6:$F$155,$J33)&amp;"")</f>
        <v/>
      </c>
      <c r="E33" s="14">
        <f>IF($J33="","",INDEX('Tareas'!$E$6:$E$155,$J33))</f>
        <v/>
      </c>
      <c r="F33" s="15">
        <f>IF($J33="","",INDEX('Tareas'!$J$6:$J$155,$J33))</f>
        <v/>
      </c>
      <c r="G33" s="16">
        <f>IF($J33="","",IF(INDEX('Tareas'!$K$6:$K$155,$J33)&lt;0,-INDEX('Tareas'!$K$6:$K$155,$J33)&amp;" d de atraso",IF(INDEX('Tareas'!$K$6:$K$155,$J33)=0,"–",INDEX('Tareas'!$K$6:$K$155,$J33)&amp;" d")))</f>
        <v/>
      </c>
      <c r="H33" s="17">
        <f>IF($J33="","",HYPERLINK("#'Tareas'!G"&amp;($J33+5),"Marcar hecha ›"))</f>
        <v/>
      </c>
      <c r="J33" s="18">
        <f>IFERROR(MATCH(SMALL('Tareas'!$M$6:$M$155,23),'Tareas'!$M$6:$M$155,0),"")</f>
        <v/>
      </c>
    </row>
    <row r="34">
      <c r="A34" s="11">
        <f>IF($J34="","",INDEX('Tareas'!$L$6:$L$155,$J34))</f>
        <v/>
      </c>
      <c r="B34" s="12">
        <f>IF($J34="","",INDEX('Tareas'!$A$6:$A$155,$J34))</f>
        <v/>
      </c>
      <c r="C34" s="13">
        <f>IF($J34="","",INDEX('Tareas'!$B$6:$B$155,$J34))</f>
        <v/>
      </c>
      <c r="D34" s="13">
        <f>IF($J34="","",INDEX('Tareas'!$F$6:$F$155,$J34)&amp;"")</f>
        <v/>
      </c>
      <c r="E34" s="14">
        <f>IF($J34="","",INDEX('Tareas'!$E$6:$E$155,$J34))</f>
        <v/>
      </c>
      <c r="F34" s="15">
        <f>IF($J34="","",INDEX('Tareas'!$J$6:$J$155,$J34))</f>
        <v/>
      </c>
      <c r="G34" s="16">
        <f>IF($J34="","",IF(INDEX('Tareas'!$K$6:$K$155,$J34)&lt;0,-INDEX('Tareas'!$K$6:$K$155,$J34)&amp;" d de atraso",IF(INDEX('Tareas'!$K$6:$K$155,$J34)=0,"–",INDEX('Tareas'!$K$6:$K$155,$J34)&amp;" d")))</f>
        <v/>
      </c>
      <c r="H34" s="17">
        <f>IF($J34="","",HYPERLINK("#'Tareas'!G"&amp;($J34+5),"Marcar hecha ›"))</f>
        <v/>
      </c>
      <c r="J34" s="18">
        <f>IFERROR(MATCH(SMALL('Tareas'!$M$6:$M$155,24),'Tareas'!$M$6:$M$155,0),"")</f>
        <v/>
      </c>
    </row>
    <row r="35">
      <c r="A35" s="11">
        <f>IF($J35="","",INDEX('Tareas'!$L$6:$L$155,$J35))</f>
        <v/>
      </c>
      <c r="B35" s="12">
        <f>IF($J35="","",INDEX('Tareas'!$A$6:$A$155,$J35))</f>
        <v/>
      </c>
      <c r="C35" s="13">
        <f>IF($J35="","",INDEX('Tareas'!$B$6:$B$155,$J35))</f>
        <v/>
      </c>
      <c r="D35" s="13">
        <f>IF($J35="","",INDEX('Tareas'!$F$6:$F$155,$J35)&amp;"")</f>
        <v/>
      </c>
      <c r="E35" s="14">
        <f>IF($J35="","",INDEX('Tareas'!$E$6:$E$155,$J35))</f>
        <v/>
      </c>
      <c r="F35" s="15">
        <f>IF($J35="","",INDEX('Tareas'!$J$6:$J$155,$J35))</f>
        <v/>
      </c>
      <c r="G35" s="16">
        <f>IF($J35="","",IF(INDEX('Tareas'!$K$6:$K$155,$J35)&lt;0,-INDEX('Tareas'!$K$6:$K$155,$J35)&amp;" d de atraso",IF(INDEX('Tareas'!$K$6:$K$155,$J35)=0,"–",INDEX('Tareas'!$K$6:$K$155,$J35)&amp;" d")))</f>
        <v/>
      </c>
      <c r="H35" s="17">
        <f>IF($J35="","",HYPERLINK("#'Tareas'!G"&amp;($J35+5),"Marcar hecha ›"))</f>
        <v/>
      </c>
      <c r="J35" s="18">
        <f>IFERROR(MATCH(SMALL('Tareas'!$M$6:$M$155,25),'Tareas'!$M$6:$M$155,0),"")</f>
        <v/>
      </c>
    </row>
    <row r="36">
      <c r="A36" s="11">
        <f>IF($J36="","",INDEX('Tareas'!$L$6:$L$155,$J36))</f>
        <v/>
      </c>
      <c r="B36" s="12">
        <f>IF($J36="","",INDEX('Tareas'!$A$6:$A$155,$J36))</f>
        <v/>
      </c>
      <c r="C36" s="13">
        <f>IF($J36="","",INDEX('Tareas'!$B$6:$B$155,$J36))</f>
        <v/>
      </c>
      <c r="D36" s="13">
        <f>IF($J36="","",INDEX('Tareas'!$F$6:$F$155,$J36)&amp;"")</f>
        <v/>
      </c>
      <c r="E36" s="14">
        <f>IF($J36="","",INDEX('Tareas'!$E$6:$E$155,$J36))</f>
        <v/>
      </c>
      <c r="F36" s="15">
        <f>IF($J36="","",INDEX('Tareas'!$J$6:$J$155,$J36))</f>
        <v/>
      </c>
      <c r="G36" s="16">
        <f>IF($J36="","",IF(INDEX('Tareas'!$K$6:$K$155,$J36)&lt;0,-INDEX('Tareas'!$K$6:$K$155,$J36)&amp;" d de atraso",IF(INDEX('Tareas'!$K$6:$K$155,$J36)=0,"–",INDEX('Tareas'!$K$6:$K$155,$J36)&amp;" d")))</f>
        <v/>
      </c>
      <c r="H36" s="17">
        <f>IF($J36="","",HYPERLINK("#'Tareas'!G"&amp;($J36+5),"Marcar hecha ›"))</f>
        <v/>
      </c>
      <c r="J36" s="18">
        <f>IFERROR(MATCH(SMALL('Tareas'!$M$6:$M$155,26),'Tareas'!$M$6:$M$155,0),"")</f>
        <v/>
      </c>
    </row>
    <row r="37">
      <c r="A37" s="11">
        <f>IF($J37="","",INDEX('Tareas'!$L$6:$L$155,$J37))</f>
        <v/>
      </c>
      <c r="B37" s="12">
        <f>IF($J37="","",INDEX('Tareas'!$A$6:$A$155,$J37))</f>
        <v/>
      </c>
      <c r="C37" s="13">
        <f>IF($J37="","",INDEX('Tareas'!$B$6:$B$155,$J37))</f>
        <v/>
      </c>
      <c r="D37" s="13">
        <f>IF($J37="","",INDEX('Tareas'!$F$6:$F$155,$J37)&amp;"")</f>
        <v/>
      </c>
      <c r="E37" s="14">
        <f>IF($J37="","",INDEX('Tareas'!$E$6:$E$155,$J37))</f>
        <v/>
      </c>
      <c r="F37" s="15">
        <f>IF($J37="","",INDEX('Tareas'!$J$6:$J$155,$J37))</f>
        <v/>
      </c>
      <c r="G37" s="16">
        <f>IF($J37="","",IF(INDEX('Tareas'!$K$6:$K$155,$J37)&lt;0,-INDEX('Tareas'!$K$6:$K$155,$J37)&amp;" d de atraso",IF(INDEX('Tareas'!$K$6:$K$155,$J37)=0,"–",INDEX('Tareas'!$K$6:$K$155,$J37)&amp;" d")))</f>
        <v/>
      </c>
      <c r="H37" s="17">
        <f>IF($J37="","",HYPERLINK("#'Tareas'!G"&amp;($J37+5),"Marcar hecha ›"))</f>
        <v/>
      </c>
      <c r="J37" s="18">
        <f>IFERROR(MATCH(SMALL('Tareas'!$M$6:$M$155,27),'Tareas'!$M$6:$M$155,0),"")</f>
        <v/>
      </c>
    </row>
    <row r="38">
      <c r="A38" s="11">
        <f>IF($J38="","",INDEX('Tareas'!$L$6:$L$155,$J38))</f>
        <v/>
      </c>
      <c r="B38" s="12">
        <f>IF($J38="","",INDEX('Tareas'!$A$6:$A$155,$J38))</f>
        <v/>
      </c>
      <c r="C38" s="13">
        <f>IF($J38="","",INDEX('Tareas'!$B$6:$B$155,$J38))</f>
        <v/>
      </c>
      <c r="D38" s="13">
        <f>IF($J38="","",INDEX('Tareas'!$F$6:$F$155,$J38)&amp;"")</f>
        <v/>
      </c>
      <c r="E38" s="14">
        <f>IF($J38="","",INDEX('Tareas'!$E$6:$E$155,$J38))</f>
        <v/>
      </c>
      <c r="F38" s="15">
        <f>IF($J38="","",INDEX('Tareas'!$J$6:$J$155,$J38))</f>
        <v/>
      </c>
      <c r="G38" s="16">
        <f>IF($J38="","",IF(INDEX('Tareas'!$K$6:$K$155,$J38)&lt;0,-INDEX('Tareas'!$K$6:$K$155,$J38)&amp;" d de atraso",IF(INDEX('Tareas'!$K$6:$K$155,$J38)=0,"–",INDEX('Tareas'!$K$6:$K$155,$J38)&amp;" d")))</f>
        <v/>
      </c>
      <c r="H38" s="17">
        <f>IF($J38="","",HYPERLINK("#'Tareas'!G"&amp;($J38+5),"Marcar hecha ›"))</f>
        <v/>
      </c>
      <c r="J38" s="18">
        <f>IFERROR(MATCH(SMALL('Tareas'!$M$6:$M$155,28),'Tareas'!$M$6:$M$155,0),"")</f>
        <v/>
      </c>
    </row>
    <row r="39">
      <c r="A39" s="11">
        <f>IF($J39="","",INDEX('Tareas'!$L$6:$L$155,$J39))</f>
        <v/>
      </c>
      <c r="B39" s="12">
        <f>IF($J39="","",INDEX('Tareas'!$A$6:$A$155,$J39))</f>
        <v/>
      </c>
      <c r="C39" s="13">
        <f>IF($J39="","",INDEX('Tareas'!$B$6:$B$155,$J39))</f>
        <v/>
      </c>
      <c r="D39" s="13">
        <f>IF($J39="","",INDEX('Tareas'!$F$6:$F$155,$J39)&amp;"")</f>
        <v/>
      </c>
      <c r="E39" s="14">
        <f>IF($J39="","",INDEX('Tareas'!$E$6:$E$155,$J39))</f>
        <v/>
      </c>
      <c r="F39" s="15">
        <f>IF($J39="","",INDEX('Tareas'!$J$6:$J$155,$J39))</f>
        <v/>
      </c>
      <c r="G39" s="16">
        <f>IF($J39="","",IF(INDEX('Tareas'!$K$6:$K$155,$J39)&lt;0,-INDEX('Tareas'!$K$6:$K$155,$J39)&amp;" d de atraso",IF(INDEX('Tareas'!$K$6:$K$155,$J39)=0,"–",INDEX('Tareas'!$K$6:$K$155,$J39)&amp;" d")))</f>
        <v/>
      </c>
      <c r="H39" s="17">
        <f>IF($J39="","",HYPERLINK("#'Tareas'!G"&amp;($J39+5),"Marcar hecha ›"))</f>
        <v/>
      </c>
      <c r="J39" s="18">
        <f>IFERROR(MATCH(SMALL('Tareas'!$M$6:$M$155,29),'Tareas'!$M$6:$M$155,0),"")</f>
        <v/>
      </c>
    </row>
    <row r="40">
      <c r="A40" s="11">
        <f>IF($J40="","",INDEX('Tareas'!$L$6:$L$155,$J40))</f>
        <v/>
      </c>
      <c r="B40" s="12">
        <f>IF($J40="","",INDEX('Tareas'!$A$6:$A$155,$J40))</f>
        <v/>
      </c>
      <c r="C40" s="13">
        <f>IF($J40="","",INDEX('Tareas'!$B$6:$B$155,$J40))</f>
        <v/>
      </c>
      <c r="D40" s="13">
        <f>IF($J40="","",INDEX('Tareas'!$F$6:$F$155,$J40)&amp;"")</f>
        <v/>
      </c>
      <c r="E40" s="14">
        <f>IF($J40="","",INDEX('Tareas'!$E$6:$E$155,$J40))</f>
        <v/>
      </c>
      <c r="F40" s="15">
        <f>IF($J40="","",INDEX('Tareas'!$J$6:$J$155,$J40))</f>
        <v/>
      </c>
      <c r="G40" s="16">
        <f>IF($J40="","",IF(INDEX('Tareas'!$K$6:$K$155,$J40)&lt;0,-INDEX('Tareas'!$K$6:$K$155,$J40)&amp;" d de atraso",IF(INDEX('Tareas'!$K$6:$K$155,$J40)=0,"–",INDEX('Tareas'!$K$6:$K$155,$J40)&amp;" d")))</f>
        <v/>
      </c>
      <c r="H40" s="17">
        <f>IF($J40="","",HYPERLINK("#'Tareas'!G"&amp;($J40+5),"Marcar hecha ›"))</f>
        <v/>
      </c>
      <c r="J40" s="18">
        <f>IFERROR(MATCH(SMALL('Tareas'!$M$6:$M$155,30),'Tareas'!$M$6:$M$155,0),"")</f>
        <v/>
      </c>
    </row>
    <row r="41">
      <c r="A41" s="11">
        <f>IF($J41="","",INDEX('Tareas'!$L$6:$L$155,$J41))</f>
        <v/>
      </c>
      <c r="B41" s="12">
        <f>IF($J41="","",INDEX('Tareas'!$A$6:$A$155,$J41))</f>
        <v/>
      </c>
      <c r="C41" s="13">
        <f>IF($J41="","",INDEX('Tareas'!$B$6:$B$155,$J41))</f>
        <v/>
      </c>
      <c r="D41" s="13">
        <f>IF($J41="","",INDEX('Tareas'!$F$6:$F$155,$J41)&amp;"")</f>
        <v/>
      </c>
      <c r="E41" s="14">
        <f>IF($J41="","",INDEX('Tareas'!$E$6:$E$155,$J41))</f>
        <v/>
      </c>
      <c r="F41" s="15">
        <f>IF($J41="","",INDEX('Tareas'!$J$6:$J$155,$J41))</f>
        <v/>
      </c>
      <c r="G41" s="16">
        <f>IF($J41="","",IF(INDEX('Tareas'!$K$6:$K$155,$J41)&lt;0,-INDEX('Tareas'!$K$6:$K$155,$J41)&amp;" d de atraso",IF(INDEX('Tareas'!$K$6:$K$155,$J41)=0,"–",INDEX('Tareas'!$K$6:$K$155,$J41)&amp;" d")))</f>
        <v/>
      </c>
      <c r="H41" s="17">
        <f>IF($J41="","",HYPERLINK("#'Tareas'!G"&amp;($J41+5),"Marcar hecha ›"))</f>
        <v/>
      </c>
      <c r="J41" s="18">
        <f>IFERROR(MATCH(SMALL('Tareas'!$M$6:$M$155,31),'Tareas'!$M$6:$M$155,0),"")</f>
        <v/>
      </c>
    </row>
    <row r="42">
      <c r="A42" s="11">
        <f>IF($J42="","",INDEX('Tareas'!$L$6:$L$155,$J42))</f>
        <v/>
      </c>
      <c r="B42" s="12">
        <f>IF($J42="","",INDEX('Tareas'!$A$6:$A$155,$J42))</f>
        <v/>
      </c>
      <c r="C42" s="13">
        <f>IF($J42="","",INDEX('Tareas'!$B$6:$B$155,$J42))</f>
        <v/>
      </c>
      <c r="D42" s="13">
        <f>IF($J42="","",INDEX('Tareas'!$F$6:$F$155,$J42)&amp;"")</f>
        <v/>
      </c>
      <c r="E42" s="14">
        <f>IF($J42="","",INDEX('Tareas'!$E$6:$E$155,$J42))</f>
        <v/>
      </c>
      <c r="F42" s="15">
        <f>IF($J42="","",INDEX('Tareas'!$J$6:$J$155,$J42))</f>
        <v/>
      </c>
      <c r="G42" s="16">
        <f>IF($J42="","",IF(INDEX('Tareas'!$K$6:$K$155,$J42)&lt;0,-INDEX('Tareas'!$K$6:$K$155,$J42)&amp;" d de atraso",IF(INDEX('Tareas'!$K$6:$K$155,$J42)=0,"–",INDEX('Tareas'!$K$6:$K$155,$J42)&amp;" d")))</f>
        <v/>
      </c>
      <c r="H42" s="17">
        <f>IF($J42="","",HYPERLINK("#'Tareas'!G"&amp;($J42+5),"Marcar hecha ›"))</f>
        <v/>
      </c>
      <c r="J42" s="18">
        <f>IFERROR(MATCH(SMALL('Tareas'!$M$6:$M$155,32),'Tareas'!$M$6:$M$155,0),"")</f>
        <v/>
      </c>
    </row>
    <row r="43">
      <c r="A43" s="11">
        <f>IF($J43="","",INDEX('Tareas'!$L$6:$L$155,$J43))</f>
        <v/>
      </c>
      <c r="B43" s="12">
        <f>IF($J43="","",INDEX('Tareas'!$A$6:$A$155,$J43))</f>
        <v/>
      </c>
      <c r="C43" s="13">
        <f>IF($J43="","",INDEX('Tareas'!$B$6:$B$155,$J43))</f>
        <v/>
      </c>
      <c r="D43" s="13">
        <f>IF($J43="","",INDEX('Tareas'!$F$6:$F$155,$J43)&amp;"")</f>
        <v/>
      </c>
      <c r="E43" s="14">
        <f>IF($J43="","",INDEX('Tareas'!$E$6:$E$155,$J43))</f>
        <v/>
      </c>
      <c r="F43" s="15">
        <f>IF($J43="","",INDEX('Tareas'!$J$6:$J$155,$J43))</f>
        <v/>
      </c>
      <c r="G43" s="16">
        <f>IF($J43="","",IF(INDEX('Tareas'!$K$6:$K$155,$J43)&lt;0,-INDEX('Tareas'!$K$6:$K$155,$J43)&amp;" d de atraso",IF(INDEX('Tareas'!$K$6:$K$155,$J43)=0,"–",INDEX('Tareas'!$K$6:$K$155,$J43)&amp;" d")))</f>
        <v/>
      </c>
      <c r="H43" s="17">
        <f>IF($J43="","",HYPERLINK("#'Tareas'!G"&amp;($J43+5),"Marcar hecha ›"))</f>
        <v/>
      </c>
      <c r="J43" s="18">
        <f>IFERROR(MATCH(SMALL('Tareas'!$M$6:$M$155,33),'Tareas'!$M$6:$M$155,0),"")</f>
        <v/>
      </c>
    </row>
    <row r="44">
      <c r="A44" s="11">
        <f>IF($J44="","",INDEX('Tareas'!$L$6:$L$155,$J44))</f>
        <v/>
      </c>
      <c r="B44" s="12">
        <f>IF($J44="","",INDEX('Tareas'!$A$6:$A$155,$J44))</f>
        <v/>
      </c>
      <c r="C44" s="13">
        <f>IF($J44="","",INDEX('Tareas'!$B$6:$B$155,$J44))</f>
        <v/>
      </c>
      <c r="D44" s="13">
        <f>IF($J44="","",INDEX('Tareas'!$F$6:$F$155,$J44)&amp;"")</f>
        <v/>
      </c>
      <c r="E44" s="14">
        <f>IF($J44="","",INDEX('Tareas'!$E$6:$E$155,$J44))</f>
        <v/>
      </c>
      <c r="F44" s="15">
        <f>IF($J44="","",INDEX('Tareas'!$J$6:$J$155,$J44))</f>
        <v/>
      </c>
      <c r="G44" s="16">
        <f>IF($J44="","",IF(INDEX('Tareas'!$K$6:$K$155,$J44)&lt;0,-INDEX('Tareas'!$K$6:$K$155,$J44)&amp;" d de atraso",IF(INDEX('Tareas'!$K$6:$K$155,$J44)=0,"–",INDEX('Tareas'!$K$6:$K$155,$J44)&amp;" d")))</f>
        <v/>
      </c>
      <c r="H44" s="17">
        <f>IF($J44="","",HYPERLINK("#'Tareas'!G"&amp;($J44+5),"Marcar hecha ›"))</f>
        <v/>
      </c>
      <c r="J44" s="18">
        <f>IFERROR(MATCH(SMALL('Tareas'!$M$6:$M$155,34),'Tareas'!$M$6:$M$155,0),"")</f>
        <v/>
      </c>
    </row>
    <row r="45">
      <c r="A45" s="11">
        <f>IF($J45="","",INDEX('Tareas'!$L$6:$L$155,$J45))</f>
        <v/>
      </c>
      <c r="B45" s="12">
        <f>IF($J45="","",INDEX('Tareas'!$A$6:$A$155,$J45))</f>
        <v/>
      </c>
      <c r="C45" s="13">
        <f>IF($J45="","",INDEX('Tareas'!$B$6:$B$155,$J45))</f>
        <v/>
      </c>
      <c r="D45" s="13">
        <f>IF($J45="","",INDEX('Tareas'!$F$6:$F$155,$J45)&amp;"")</f>
        <v/>
      </c>
      <c r="E45" s="14">
        <f>IF($J45="","",INDEX('Tareas'!$E$6:$E$155,$J45))</f>
        <v/>
      </c>
      <c r="F45" s="15">
        <f>IF($J45="","",INDEX('Tareas'!$J$6:$J$155,$J45))</f>
        <v/>
      </c>
      <c r="G45" s="16">
        <f>IF($J45="","",IF(INDEX('Tareas'!$K$6:$K$155,$J45)&lt;0,-INDEX('Tareas'!$K$6:$K$155,$J45)&amp;" d de atraso",IF(INDEX('Tareas'!$K$6:$K$155,$J45)=0,"–",INDEX('Tareas'!$K$6:$K$155,$J45)&amp;" d")))</f>
        <v/>
      </c>
      <c r="H45" s="17">
        <f>IF($J45="","",HYPERLINK("#'Tareas'!G"&amp;($J45+5),"Marcar hecha ›"))</f>
        <v/>
      </c>
      <c r="J45" s="18">
        <f>IFERROR(MATCH(SMALL('Tareas'!$M$6:$M$155,35),'Tareas'!$M$6:$M$155,0),"")</f>
        <v/>
      </c>
    </row>
    <row r="46">
      <c r="A46" s="11">
        <f>IF($J46="","",INDEX('Tareas'!$L$6:$L$155,$J46))</f>
        <v/>
      </c>
      <c r="B46" s="12">
        <f>IF($J46="","",INDEX('Tareas'!$A$6:$A$155,$J46))</f>
        <v/>
      </c>
      <c r="C46" s="13">
        <f>IF($J46="","",INDEX('Tareas'!$B$6:$B$155,$J46))</f>
        <v/>
      </c>
      <c r="D46" s="13">
        <f>IF($J46="","",INDEX('Tareas'!$F$6:$F$155,$J46)&amp;"")</f>
        <v/>
      </c>
      <c r="E46" s="14">
        <f>IF($J46="","",INDEX('Tareas'!$E$6:$E$155,$J46))</f>
        <v/>
      </c>
      <c r="F46" s="15">
        <f>IF($J46="","",INDEX('Tareas'!$J$6:$J$155,$J46))</f>
        <v/>
      </c>
      <c r="G46" s="16">
        <f>IF($J46="","",IF(INDEX('Tareas'!$K$6:$K$155,$J46)&lt;0,-INDEX('Tareas'!$K$6:$K$155,$J46)&amp;" d de atraso",IF(INDEX('Tareas'!$K$6:$K$155,$J46)=0,"–",INDEX('Tareas'!$K$6:$K$155,$J46)&amp;" d")))</f>
        <v/>
      </c>
      <c r="H46" s="17">
        <f>IF($J46="","",HYPERLINK("#'Tareas'!G"&amp;($J46+5),"Marcar hecha ›"))</f>
        <v/>
      </c>
      <c r="J46" s="18">
        <f>IFERROR(MATCH(SMALL('Tareas'!$M$6:$M$155,36),'Tareas'!$M$6:$M$155,0),"")</f>
        <v/>
      </c>
    </row>
    <row r="47">
      <c r="A47" s="11">
        <f>IF($J47="","",INDEX('Tareas'!$L$6:$L$155,$J47))</f>
        <v/>
      </c>
      <c r="B47" s="12">
        <f>IF($J47="","",INDEX('Tareas'!$A$6:$A$155,$J47))</f>
        <v/>
      </c>
      <c r="C47" s="13">
        <f>IF($J47="","",INDEX('Tareas'!$B$6:$B$155,$J47))</f>
        <v/>
      </c>
      <c r="D47" s="13">
        <f>IF($J47="","",INDEX('Tareas'!$F$6:$F$155,$J47)&amp;"")</f>
        <v/>
      </c>
      <c r="E47" s="14">
        <f>IF($J47="","",INDEX('Tareas'!$E$6:$E$155,$J47))</f>
        <v/>
      </c>
      <c r="F47" s="15">
        <f>IF($J47="","",INDEX('Tareas'!$J$6:$J$155,$J47))</f>
        <v/>
      </c>
      <c r="G47" s="16">
        <f>IF($J47="","",IF(INDEX('Tareas'!$K$6:$K$155,$J47)&lt;0,-INDEX('Tareas'!$K$6:$K$155,$J47)&amp;" d de atraso",IF(INDEX('Tareas'!$K$6:$K$155,$J47)=0,"–",INDEX('Tareas'!$K$6:$K$155,$J47)&amp;" d")))</f>
        <v/>
      </c>
      <c r="H47" s="17">
        <f>IF($J47="","",HYPERLINK("#'Tareas'!G"&amp;($J47+5),"Marcar hecha ›"))</f>
        <v/>
      </c>
      <c r="J47" s="18">
        <f>IFERROR(MATCH(SMALL('Tareas'!$M$6:$M$155,37),'Tareas'!$M$6:$M$155,0),"")</f>
        <v/>
      </c>
    </row>
    <row r="48">
      <c r="A48" s="11">
        <f>IF($J48="","",INDEX('Tareas'!$L$6:$L$155,$J48))</f>
        <v/>
      </c>
      <c r="B48" s="12">
        <f>IF($J48="","",INDEX('Tareas'!$A$6:$A$155,$J48))</f>
        <v/>
      </c>
      <c r="C48" s="13">
        <f>IF($J48="","",INDEX('Tareas'!$B$6:$B$155,$J48))</f>
        <v/>
      </c>
      <c r="D48" s="13">
        <f>IF($J48="","",INDEX('Tareas'!$F$6:$F$155,$J48)&amp;"")</f>
        <v/>
      </c>
      <c r="E48" s="14">
        <f>IF($J48="","",INDEX('Tareas'!$E$6:$E$155,$J48))</f>
        <v/>
      </c>
      <c r="F48" s="15">
        <f>IF($J48="","",INDEX('Tareas'!$J$6:$J$155,$J48))</f>
        <v/>
      </c>
      <c r="G48" s="16">
        <f>IF($J48="","",IF(INDEX('Tareas'!$K$6:$K$155,$J48)&lt;0,-INDEX('Tareas'!$K$6:$K$155,$J48)&amp;" d de atraso",IF(INDEX('Tareas'!$K$6:$K$155,$J48)=0,"–",INDEX('Tareas'!$K$6:$K$155,$J48)&amp;" d")))</f>
        <v/>
      </c>
      <c r="H48" s="17">
        <f>IF($J48="","",HYPERLINK("#'Tareas'!G"&amp;($J48+5),"Marcar hecha ›"))</f>
        <v/>
      </c>
      <c r="J48" s="18">
        <f>IFERROR(MATCH(SMALL('Tareas'!$M$6:$M$155,38),'Tareas'!$M$6:$M$155,0),"")</f>
        <v/>
      </c>
    </row>
    <row r="49">
      <c r="A49" s="11">
        <f>IF($J49="","",INDEX('Tareas'!$L$6:$L$155,$J49))</f>
        <v/>
      </c>
      <c r="B49" s="12">
        <f>IF($J49="","",INDEX('Tareas'!$A$6:$A$155,$J49))</f>
        <v/>
      </c>
      <c r="C49" s="13">
        <f>IF($J49="","",INDEX('Tareas'!$B$6:$B$155,$J49))</f>
        <v/>
      </c>
      <c r="D49" s="13">
        <f>IF($J49="","",INDEX('Tareas'!$F$6:$F$155,$J49)&amp;"")</f>
        <v/>
      </c>
      <c r="E49" s="14">
        <f>IF($J49="","",INDEX('Tareas'!$E$6:$E$155,$J49))</f>
        <v/>
      </c>
      <c r="F49" s="15">
        <f>IF($J49="","",INDEX('Tareas'!$J$6:$J$155,$J49))</f>
        <v/>
      </c>
      <c r="G49" s="16">
        <f>IF($J49="","",IF(INDEX('Tareas'!$K$6:$K$155,$J49)&lt;0,-INDEX('Tareas'!$K$6:$K$155,$J49)&amp;" d de atraso",IF(INDEX('Tareas'!$K$6:$K$155,$J49)=0,"–",INDEX('Tareas'!$K$6:$K$155,$J49)&amp;" d")))</f>
        <v/>
      </c>
      <c r="H49" s="17">
        <f>IF($J49="","",HYPERLINK("#'Tareas'!G"&amp;($J49+5),"Marcar hecha ›"))</f>
        <v/>
      </c>
      <c r="J49" s="18">
        <f>IFERROR(MATCH(SMALL('Tareas'!$M$6:$M$155,39),'Tareas'!$M$6:$M$155,0),"")</f>
        <v/>
      </c>
    </row>
    <row r="50">
      <c r="A50" s="11">
        <f>IF($J50="","",INDEX('Tareas'!$L$6:$L$155,$J50))</f>
        <v/>
      </c>
      <c r="B50" s="12">
        <f>IF($J50="","",INDEX('Tareas'!$A$6:$A$155,$J50))</f>
        <v/>
      </c>
      <c r="C50" s="13">
        <f>IF($J50="","",INDEX('Tareas'!$B$6:$B$155,$J50))</f>
        <v/>
      </c>
      <c r="D50" s="13">
        <f>IF($J50="","",INDEX('Tareas'!$F$6:$F$155,$J50)&amp;"")</f>
        <v/>
      </c>
      <c r="E50" s="14">
        <f>IF($J50="","",INDEX('Tareas'!$E$6:$E$155,$J50))</f>
        <v/>
      </c>
      <c r="F50" s="15">
        <f>IF($J50="","",INDEX('Tareas'!$J$6:$J$155,$J50))</f>
        <v/>
      </c>
      <c r="G50" s="16">
        <f>IF($J50="","",IF(INDEX('Tareas'!$K$6:$K$155,$J50)&lt;0,-INDEX('Tareas'!$K$6:$K$155,$J50)&amp;" d de atraso",IF(INDEX('Tareas'!$K$6:$K$155,$J50)=0,"–",INDEX('Tareas'!$K$6:$K$155,$J50)&amp;" d")))</f>
        <v/>
      </c>
      <c r="H50" s="17">
        <f>IF($J50="","",HYPERLINK("#'Tareas'!G"&amp;($J50+5),"Marcar hecha ›"))</f>
        <v/>
      </c>
      <c r="J50" s="18">
        <f>IFERROR(MATCH(SMALL('Tareas'!$M$6:$M$155,40),'Tareas'!$M$6:$M$155,0),"")</f>
        <v/>
      </c>
    </row>
    <row r="51">
      <c r="B51" s="19">
        <f>IF(COUNT('Tareas'!$M$6:$M$155)&gt;40,"+ "&amp;(COUNT('Tareas'!$M$6:$M$155)-40)&amp;" más sin mostrar. Terminá algunas o filtrá por persona.","")</f>
        <v/>
      </c>
    </row>
  </sheetData>
  <conditionalFormatting sqref="A11:H50">
    <cfRule type="expression" priority="1" dxfId="0">
      <formula>$A11="Atrasada"</formula>
    </cfRule>
    <cfRule type="expression" priority="2" dxfId="1">
      <formula>$A11="Hoy"</formula>
    </cfRule>
    <cfRule type="expression" priority="3" dxfId="2">
      <formula>$A11="Esta semana"</formula>
    </cfRule>
  </conditionalFormatting>
  <dataValidations count="1">
    <dataValidation sqref="B3" showDropDown="0" showInputMessage="0" showErrorMessage="0" allowBlank="0" type="list">
      <formula1>='Ajustes'!$D$5:$D$11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0F7B6C"/>
    <outlinePr summaryBelow="1" summaryRight="1"/>
    <pageSetUpPr fitToPage="1"/>
  </sheetPr>
  <dimension ref="A1:G23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Próximos 7 días</t>
        </is>
      </c>
    </row>
    <row r="2">
      <c r="A2" s="2">
        <f>"Para: "&amp;'Hoy'!B3&amp;"   ·   Las atrasadas figuran en el día de hoy."</f>
        <v/>
      </c>
    </row>
    <row r="4" ht="24" customHeight="1">
      <c r="A4" s="20">
        <f>TODAY()+0</f>
        <v/>
      </c>
      <c r="B4" s="21">
        <f>TODAY()+1</f>
        <v/>
      </c>
      <c r="C4" s="21">
        <f>TODAY()+2</f>
        <v/>
      </c>
      <c r="D4" s="21">
        <f>TODAY()+3</f>
        <v/>
      </c>
      <c r="E4" s="21">
        <f>TODAY()+4</f>
        <v/>
      </c>
      <c r="F4" s="21">
        <f>TODAY()+5</f>
        <v/>
      </c>
      <c r="G4" s="21">
        <f>TODAY()+6</f>
        <v/>
      </c>
    </row>
    <row r="5">
      <c r="A5" s="22">
        <f>COUNT('Tareas'!$O$6:$O$155)&amp;" tareas · "&amp;SUMPRODUCT(ISNUMBER('Tareas'!$O$6:$O$155)*'Tareas'!$E$6:$E$155)&amp;" min"</f>
        <v/>
      </c>
      <c r="B5" s="22">
        <f>COUNT('Tareas'!$P$6:$P$155)&amp;" tareas · "&amp;SUMPRODUCT(ISNUMBER('Tareas'!$P$6:$P$155)*'Tareas'!$E$6:$E$155)&amp;" min"</f>
        <v/>
      </c>
      <c r="C5" s="22">
        <f>COUNT('Tareas'!$Q$6:$Q$155)&amp;" tareas · "&amp;SUMPRODUCT(ISNUMBER('Tareas'!$Q$6:$Q$155)*'Tareas'!$E$6:$E$155)&amp;" min"</f>
        <v/>
      </c>
      <c r="D5" s="22">
        <f>COUNT('Tareas'!$R$6:$R$155)&amp;" tareas · "&amp;SUMPRODUCT(ISNUMBER('Tareas'!$R$6:$R$155)*'Tareas'!$E$6:$E$155)&amp;" min"</f>
        <v/>
      </c>
      <c r="E5" s="22">
        <f>COUNT('Tareas'!$S$6:$S$155)&amp;" tareas · "&amp;SUMPRODUCT(ISNUMBER('Tareas'!$S$6:$S$155)*'Tareas'!$E$6:$E$155)&amp;" min"</f>
        <v/>
      </c>
      <c r="F5" s="22">
        <f>COUNT('Tareas'!$T$6:$T$155)&amp;" tareas · "&amp;SUMPRODUCT(ISNUMBER('Tareas'!$T$6:$T$155)*'Tareas'!$E$6:$E$155)&amp;" min"</f>
        <v/>
      </c>
      <c r="G5" s="22">
        <f>COUNT('Tareas'!$U$6:$U$155)&amp;" tareas · "&amp;SUMPRODUCT(ISNUMBER('Tareas'!$U$6:$U$155)*'Tareas'!$E$6:$E$155)&amp;" min"</f>
        <v/>
      </c>
    </row>
    <row r="6" ht="26" customHeight="1">
      <c r="A6" s="23">
        <f>IFERROR("☐  "&amp;INDEX('Tareas'!$A$6:$A$155,SMALL('Tareas'!$O$6:$O$155,1)-5)&amp;IF(INDEX('Tareas'!$F$6:$F$155,SMALL('Tareas'!$O$6:$O$155,1)-5)="","","  ("&amp;INDEX('Tareas'!$F$6:$F$155,SMALL('Tareas'!$O$6:$O$155,1)-5)&amp;")"),"")</f>
        <v/>
      </c>
      <c r="B6" s="23">
        <f>IFERROR("☐  "&amp;INDEX('Tareas'!$A$6:$A$155,SMALL('Tareas'!$P$6:$P$155,1)-5)&amp;IF(INDEX('Tareas'!$F$6:$F$155,SMALL('Tareas'!$P$6:$P$155,1)-5)="","","  ("&amp;INDEX('Tareas'!$F$6:$F$155,SMALL('Tareas'!$P$6:$P$155,1)-5)&amp;")"),"")</f>
        <v/>
      </c>
      <c r="C6" s="23">
        <f>IFERROR("☐  "&amp;INDEX('Tareas'!$A$6:$A$155,SMALL('Tareas'!$Q$6:$Q$155,1)-5)&amp;IF(INDEX('Tareas'!$F$6:$F$155,SMALL('Tareas'!$Q$6:$Q$155,1)-5)="","","  ("&amp;INDEX('Tareas'!$F$6:$F$155,SMALL('Tareas'!$Q$6:$Q$155,1)-5)&amp;")"),"")</f>
        <v/>
      </c>
      <c r="D6" s="23">
        <f>IFERROR("☐  "&amp;INDEX('Tareas'!$A$6:$A$155,SMALL('Tareas'!$R$6:$R$155,1)-5)&amp;IF(INDEX('Tareas'!$F$6:$F$155,SMALL('Tareas'!$R$6:$R$155,1)-5)="","","  ("&amp;INDEX('Tareas'!$F$6:$F$155,SMALL('Tareas'!$R$6:$R$155,1)-5)&amp;")"),"")</f>
        <v/>
      </c>
      <c r="E6" s="23">
        <f>IFERROR("☐  "&amp;INDEX('Tareas'!$A$6:$A$155,SMALL('Tareas'!$S$6:$S$155,1)-5)&amp;IF(INDEX('Tareas'!$F$6:$F$155,SMALL('Tareas'!$S$6:$S$155,1)-5)="","","  ("&amp;INDEX('Tareas'!$F$6:$F$155,SMALL('Tareas'!$S$6:$S$155,1)-5)&amp;")"),"")</f>
        <v/>
      </c>
      <c r="F6" s="23">
        <f>IFERROR("☐  "&amp;INDEX('Tareas'!$A$6:$A$155,SMALL('Tareas'!$T$6:$T$155,1)-5)&amp;IF(INDEX('Tareas'!$F$6:$F$155,SMALL('Tareas'!$T$6:$T$155,1)-5)="","","  ("&amp;INDEX('Tareas'!$F$6:$F$155,SMALL('Tareas'!$T$6:$T$155,1)-5)&amp;")"),"")</f>
        <v/>
      </c>
      <c r="G6" s="23">
        <f>IFERROR("☐  "&amp;INDEX('Tareas'!$A$6:$A$155,SMALL('Tareas'!$U$6:$U$155,1)-5)&amp;IF(INDEX('Tareas'!$F$6:$F$155,SMALL('Tareas'!$U$6:$U$155,1)-5)="","","  ("&amp;INDEX('Tareas'!$F$6:$F$155,SMALL('Tareas'!$U$6:$U$155,1)-5)&amp;")"),"")</f>
        <v/>
      </c>
    </row>
    <row r="7" ht="26" customHeight="1">
      <c r="A7" s="23">
        <f>IFERROR("☐  "&amp;INDEX('Tareas'!$A$6:$A$155,SMALL('Tareas'!$O$6:$O$155,2)-5)&amp;IF(INDEX('Tareas'!$F$6:$F$155,SMALL('Tareas'!$O$6:$O$155,2)-5)="","","  ("&amp;INDEX('Tareas'!$F$6:$F$155,SMALL('Tareas'!$O$6:$O$155,2)-5)&amp;")"),"")</f>
        <v/>
      </c>
      <c r="B7" s="23">
        <f>IFERROR("☐  "&amp;INDEX('Tareas'!$A$6:$A$155,SMALL('Tareas'!$P$6:$P$155,2)-5)&amp;IF(INDEX('Tareas'!$F$6:$F$155,SMALL('Tareas'!$P$6:$P$155,2)-5)="","","  ("&amp;INDEX('Tareas'!$F$6:$F$155,SMALL('Tareas'!$P$6:$P$155,2)-5)&amp;")"),"")</f>
        <v/>
      </c>
      <c r="C7" s="23">
        <f>IFERROR("☐  "&amp;INDEX('Tareas'!$A$6:$A$155,SMALL('Tareas'!$Q$6:$Q$155,2)-5)&amp;IF(INDEX('Tareas'!$F$6:$F$155,SMALL('Tareas'!$Q$6:$Q$155,2)-5)="","","  ("&amp;INDEX('Tareas'!$F$6:$F$155,SMALL('Tareas'!$Q$6:$Q$155,2)-5)&amp;")"),"")</f>
        <v/>
      </c>
      <c r="D7" s="23">
        <f>IFERROR("☐  "&amp;INDEX('Tareas'!$A$6:$A$155,SMALL('Tareas'!$R$6:$R$155,2)-5)&amp;IF(INDEX('Tareas'!$F$6:$F$155,SMALL('Tareas'!$R$6:$R$155,2)-5)="","","  ("&amp;INDEX('Tareas'!$F$6:$F$155,SMALL('Tareas'!$R$6:$R$155,2)-5)&amp;")"),"")</f>
        <v/>
      </c>
      <c r="E7" s="23">
        <f>IFERROR("☐  "&amp;INDEX('Tareas'!$A$6:$A$155,SMALL('Tareas'!$S$6:$S$155,2)-5)&amp;IF(INDEX('Tareas'!$F$6:$F$155,SMALL('Tareas'!$S$6:$S$155,2)-5)="","","  ("&amp;INDEX('Tareas'!$F$6:$F$155,SMALL('Tareas'!$S$6:$S$155,2)-5)&amp;")"),"")</f>
        <v/>
      </c>
      <c r="F7" s="23">
        <f>IFERROR("☐  "&amp;INDEX('Tareas'!$A$6:$A$155,SMALL('Tareas'!$T$6:$T$155,2)-5)&amp;IF(INDEX('Tareas'!$F$6:$F$155,SMALL('Tareas'!$T$6:$T$155,2)-5)="","","  ("&amp;INDEX('Tareas'!$F$6:$F$155,SMALL('Tareas'!$T$6:$T$155,2)-5)&amp;")"),"")</f>
        <v/>
      </c>
      <c r="G7" s="23">
        <f>IFERROR("☐  "&amp;INDEX('Tareas'!$A$6:$A$155,SMALL('Tareas'!$U$6:$U$155,2)-5)&amp;IF(INDEX('Tareas'!$F$6:$F$155,SMALL('Tareas'!$U$6:$U$155,2)-5)="","","  ("&amp;INDEX('Tareas'!$F$6:$F$155,SMALL('Tareas'!$U$6:$U$155,2)-5)&amp;")"),"")</f>
        <v/>
      </c>
    </row>
    <row r="8" ht="26" customHeight="1">
      <c r="A8" s="23">
        <f>IFERROR("☐  "&amp;INDEX('Tareas'!$A$6:$A$155,SMALL('Tareas'!$O$6:$O$155,3)-5)&amp;IF(INDEX('Tareas'!$F$6:$F$155,SMALL('Tareas'!$O$6:$O$155,3)-5)="","","  ("&amp;INDEX('Tareas'!$F$6:$F$155,SMALL('Tareas'!$O$6:$O$155,3)-5)&amp;")"),"")</f>
        <v/>
      </c>
      <c r="B8" s="23">
        <f>IFERROR("☐  "&amp;INDEX('Tareas'!$A$6:$A$155,SMALL('Tareas'!$P$6:$P$155,3)-5)&amp;IF(INDEX('Tareas'!$F$6:$F$155,SMALL('Tareas'!$P$6:$P$155,3)-5)="","","  ("&amp;INDEX('Tareas'!$F$6:$F$155,SMALL('Tareas'!$P$6:$P$155,3)-5)&amp;")"),"")</f>
        <v/>
      </c>
      <c r="C8" s="23">
        <f>IFERROR("☐  "&amp;INDEX('Tareas'!$A$6:$A$155,SMALL('Tareas'!$Q$6:$Q$155,3)-5)&amp;IF(INDEX('Tareas'!$F$6:$F$155,SMALL('Tareas'!$Q$6:$Q$155,3)-5)="","","  ("&amp;INDEX('Tareas'!$F$6:$F$155,SMALL('Tareas'!$Q$6:$Q$155,3)-5)&amp;")"),"")</f>
        <v/>
      </c>
      <c r="D8" s="23">
        <f>IFERROR("☐  "&amp;INDEX('Tareas'!$A$6:$A$155,SMALL('Tareas'!$R$6:$R$155,3)-5)&amp;IF(INDEX('Tareas'!$F$6:$F$155,SMALL('Tareas'!$R$6:$R$155,3)-5)="","","  ("&amp;INDEX('Tareas'!$F$6:$F$155,SMALL('Tareas'!$R$6:$R$155,3)-5)&amp;")"),"")</f>
        <v/>
      </c>
      <c r="E8" s="23">
        <f>IFERROR("☐  "&amp;INDEX('Tareas'!$A$6:$A$155,SMALL('Tareas'!$S$6:$S$155,3)-5)&amp;IF(INDEX('Tareas'!$F$6:$F$155,SMALL('Tareas'!$S$6:$S$155,3)-5)="","","  ("&amp;INDEX('Tareas'!$F$6:$F$155,SMALL('Tareas'!$S$6:$S$155,3)-5)&amp;")"),"")</f>
        <v/>
      </c>
      <c r="F8" s="23">
        <f>IFERROR("☐  "&amp;INDEX('Tareas'!$A$6:$A$155,SMALL('Tareas'!$T$6:$T$155,3)-5)&amp;IF(INDEX('Tareas'!$F$6:$F$155,SMALL('Tareas'!$T$6:$T$155,3)-5)="","","  ("&amp;INDEX('Tareas'!$F$6:$F$155,SMALL('Tareas'!$T$6:$T$155,3)-5)&amp;")"),"")</f>
        <v/>
      </c>
      <c r="G8" s="23">
        <f>IFERROR("☐  "&amp;INDEX('Tareas'!$A$6:$A$155,SMALL('Tareas'!$U$6:$U$155,3)-5)&amp;IF(INDEX('Tareas'!$F$6:$F$155,SMALL('Tareas'!$U$6:$U$155,3)-5)="","","  ("&amp;INDEX('Tareas'!$F$6:$F$155,SMALL('Tareas'!$U$6:$U$155,3)-5)&amp;")"),"")</f>
        <v/>
      </c>
    </row>
    <row r="9" ht="26" customHeight="1">
      <c r="A9" s="23">
        <f>IFERROR("☐  "&amp;INDEX('Tareas'!$A$6:$A$155,SMALL('Tareas'!$O$6:$O$155,4)-5)&amp;IF(INDEX('Tareas'!$F$6:$F$155,SMALL('Tareas'!$O$6:$O$155,4)-5)="","","  ("&amp;INDEX('Tareas'!$F$6:$F$155,SMALL('Tareas'!$O$6:$O$155,4)-5)&amp;")"),"")</f>
        <v/>
      </c>
      <c r="B9" s="23">
        <f>IFERROR("☐  "&amp;INDEX('Tareas'!$A$6:$A$155,SMALL('Tareas'!$P$6:$P$155,4)-5)&amp;IF(INDEX('Tareas'!$F$6:$F$155,SMALL('Tareas'!$P$6:$P$155,4)-5)="","","  ("&amp;INDEX('Tareas'!$F$6:$F$155,SMALL('Tareas'!$P$6:$P$155,4)-5)&amp;")"),"")</f>
        <v/>
      </c>
      <c r="C9" s="23">
        <f>IFERROR("☐  "&amp;INDEX('Tareas'!$A$6:$A$155,SMALL('Tareas'!$Q$6:$Q$155,4)-5)&amp;IF(INDEX('Tareas'!$F$6:$F$155,SMALL('Tareas'!$Q$6:$Q$155,4)-5)="","","  ("&amp;INDEX('Tareas'!$F$6:$F$155,SMALL('Tareas'!$Q$6:$Q$155,4)-5)&amp;")"),"")</f>
        <v/>
      </c>
      <c r="D9" s="23">
        <f>IFERROR("☐  "&amp;INDEX('Tareas'!$A$6:$A$155,SMALL('Tareas'!$R$6:$R$155,4)-5)&amp;IF(INDEX('Tareas'!$F$6:$F$155,SMALL('Tareas'!$R$6:$R$155,4)-5)="","","  ("&amp;INDEX('Tareas'!$F$6:$F$155,SMALL('Tareas'!$R$6:$R$155,4)-5)&amp;")"),"")</f>
        <v/>
      </c>
      <c r="E9" s="23">
        <f>IFERROR("☐  "&amp;INDEX('Tareas'!$A$6:$A$155,SMALL('Tareas'!$S$6:$S$155,4)-5)&amp;IF(INDEX('Tareas'!$F$6:$F$155,SMALL('Tareas'!$S$6:$S$155,4)-5)="","","  ("&amp;INDEX('Tareas'!$F$6:$F$155,SMALL('Tareas'!$S$6:$S$155,4)-5)&amp;")"),"")</f>
        <v/>
      </c>
      <c r="F9" s="23">
        <f>IFERROR("☐  "&amp;INDEX('Tareas'!$A$6:$A$155,SMALL('Tareas'!$T$6:$T$155,4)-5)&amp;IF(INDEX('Tareas'!$F$6:$F$155,SMALL('Tareas'!$T$6:$T$155,4)-5)="","","  ("&amp;INDEX('Tareas'!$F$6:$F$155,SMALL('Tareas'!$T$6:$T$155,4)-5)&amp;")"),"")</f>
        <v/>
      </c>
      <c r="G9" s="23">
        <f>IFERROR("☐  "&amp;INDEX('Tareas'!$A$6:$A$155,SMALL('Tareas'!$U$6:$U$155,4)-5)&amp;IF(INDEX('Tareas'!$F$6:$F$155,SMALL('Tareas'!$U$6:$U$155,4)-5)="","","  ("&amp;INDEX('Tareas'!$F$6:$F$155,SMALL('Tareas'!$U$6:$U$155,4)-5)&amp;")"),"")</f>
        <v/>
      </c>
    </row>
    <row r="10" ht="26" customHeight="1">
      <c r="A10" s="23">
        <f>IFERROR("☐  "&amp;INDEX('Tareas'!$A$6:$A$155,SMALL('Tareas'!$O$6:$O$155,5)-5)&amp;IF(INDEX('Tareas'!$F$6:$F$155,SMALL('Tareas'!$O$6:$O$155,5)-5)="","","  ("&amp;INDEX('Tareas'!$F$6:$F$155,SMALL('Tareas'!$O$6:$O$155,5)-5)&amp;")"),"")</f>
        <v/>
      </c>
      <c r="B10" s="23">
        <f>IFERROR("☐  "&amp;INDEX('Tareas'!$A$6:$A$155,SMALL('Tareas'!$P$6:$P$155,5)-5)&amp;IF(INDEX('Tareas'!$F$6:$F$155,SMALL('Tareas'!$P$6:$P$155,5)-5)="","","  ("&amp;INDEX('Tareas'!$F$6:$F$155,SMALL('Tareas'!$P$6:$P$155,5)-5)&amp;")"),"")</f>
        <v/>
      </c>
      <c r="C10" s="23">
        <f>IFERROR("☐  "&amp;INDEX('Tareas'!$A$6:$A$155,SMALL('Tareas'!$Q$6:$Q$155,5)-5)&amp;IF(INDEX('Tareas'!$F$6:$F$155,SMALL('Tareas'!$Q$6:$Q$155,5)-5)="","","  ("&amp;INDEX('Tareas'!$F$6:$F$155,SMALL('Tareas'!$Q$6:$Q$155,5)-5)&amp;")"),"")</f>
        <v/>
      </c>
      <c r="D10" s="23">
        <f>IFERROR("☐  "&amp;INDEX('Tareas'!$A$6:$A$155,SMALL('Tareas'!$R$6:$R$155,5)-5)&amp;IF(INDEX('Tareas'!$F$6:$F$155,SMALL('Tareas'!$R$6:$R$155,5)-5)="","","  ("&amp;INDEX('Tareas'!$F$6:$F$155,SMALL('Tareas'!$R$6:$R$155,5)-5)&amp;")"),"")</f>
        <v/>
      </c>
      <c r="E10" s="23">
        <f>IFERROR("☐  "&amp;INDEX('Tareas'!$A$6:$A$155,SMALL('Tareas'!$S$6:$S$155,5)-5)&amp;IF(INDEX('Tareas'!$F$6:$F$155,SMALL('Tareas'!$S$6:$S$155,5)-5)="","","  ("&amp;INDEX('Tareas'!$F$6:$F$155,SMALL('Tareas'!$S$6:$S$155,5)-5)&amp;")"),"")</f>
        <v/>
      </c>
      <c r="F10" s="23">
        <f>IFERROR("☐  "&amp;INDEX('Tareas'!$A$6:$A$155,SMALL('Tareas'!$T$6:$T$155,5)-5)&amp;IF(INDEX('Tareas'!$F$6:$F$155,SMALL('Tareas'!$T$6:$T$155,5)-5)="","","  ("&amp;INDEX('Tareas'!$F$6:$F$155,SMALL('Tareas'!$T$6:$T$155,5)-5)&amp;")"),"")</f>
        <v/>
      </c>
      <c r="G10" s="23">
        <f>IFERROR("☐  "&amp;INDEX('Tareas'!$A$6:$A$155,SMALL('Tareas'!$U$6:$U$155,5)-5)&amp;IF(INDEX('Tareas'!$F$6:$F$155,SMALL('Tareas'!$U$6:$U$155,5)-5)="","","  ("&amp;INDEX('Tareas'!$F$6:$F$155,SMALL('Tareas'!$U$6:$U$155,5)-5)&amp;")"),"")</f>
        <v/>
      </c>
    </row>
    <row r="11" ht="26" customHeight="1">
      <c r="A11" s="23">
        <f>IFERROR("☐  "&amp;INDEX('Tareas'!$A$6:$A$155,SMALL('Tareas'!$O$6:$O$155,6)-5)&amp;IF(INDEX('Tareas'!$F$6:$F$155,SMALL('Tareas'!$O$6:$O$155,6)-5)="","","  ("&amp;INDEX('Tareas'!$F$6:$F$155,SMALL('Tareas'!$O$6:$O$155,6)-5)&amp;")"),"")</f>
        <v/>
      </c>
      <c r="B11" s="23">
        <f>IFERROR("☐  "&amp;INDEX('Tareas'!$A$6:$A$155,SMALL('Tareas'!$P$6:$P$155,6)-5)&amp;IF(INDEX('Tareas'!$F$6:$F$155,SMALL('Tareas'!$P$6:$P$155,6)-5)="","","  ("&amp;INDEX('Tareas'!$F$6:$F$155,SMALL('Tareas'!$P$6:$P$155,6)-5)&amp;")"),"")</f>
        <v/>
      </c>
      <c r="C11" s="23">
        <f>IFERROR("☐  "&amp;INDEX('Tareas'!$A$6:$A$155,SMALL('Tareas'!$Q$6:$Q$155,6)-5)&amp;IF(INDEX('Tareas'!$F$6:$F$155,SMALL('Tareas'!$Q$6:$Q$155,6)-5)="","","  ("&amp;INDEX('Tareas'!$F$6:$F$155,SMALL('Tareas'!$Q$6:$Q$155,6)-5)&amp;")"),"")</f>
        <v/>
      </c>
      <c r="D11" s="23">
        <f>IFERROR("☐  "&amp;INDEX('Tareas'!$A$6:$A$155,SMALL('Tareas'!$R$6:$R$155,6)-5)&amp;IF(INDEX('Tareas'!$F$6:$F$155,SMALL('Tareas'!$R$6:$R$155,6)-5)="","","  ("&amp;INDEX('Tareas'!$F$6:$F$155,SMALL('Tareas'!$R$6:$R$155,6)-5)&amp;")"),"")</f>
        <v/>
      </c>
      <c r="E11" s="23">
        <f>IFERROR("☐  "&amp;INDEX('Tareas'!$A$6:$A$155,SMALL('Tareas'!$S$6:$S$155,6)-5)&amp;IF(INDEX('Tareas'!$F$6:$F$155,SMALL('Tareas'!$S$6:$S$155,6)-5)="","","  ("&amp;INDEX('Tareas'!$F$6:$F$155,SMALL('Tareas'!$S$6:$S$155,6)-5)&amp;")"),"")</f>
        <v/>
      </c>
      <c r="F11" s="23">
        <f>IFERROR("☐  "&amp;INDEX('Tareas'!$A$6:$A$155,SMALL('Tareas'!$T$6:$T$155,6)-5)&amp;IF(INDEX('Tareas'!$F$6:$F$155,SMALL('Tareas'!$T$6:$T$155,6)-5)="","","  ("&amp;INDEX('Tareas'!$F$6:$F$155,SMALL('Tareas'!$T$6:$T$155,6)-5)&amp;")"),"")</f>
        <v/>
      </c>
      <c r="G11" s="23">
        <f>IFERROR("☐  "&amp;INDEX('Tareas'!$A$6:$A$155,SMALL('Tareas'!$U$6:$U$155,6)-5)&amp;IF(INDEX('Tareas'!$F$6:$F$155,SMALL('Tareas'!$U$6:$U$155,6)-5)="","","  ("&amp;INDEX('Tareas'!$F$6:$F$155,SMALL('Tareas'!$U$6:$U$155,6)-5)&amp;")"),"")</f>
        <v/>
      </c>
    </row>
    <row r="12" ht="26" customHeight="1">
      <c r="A12" s="23">
        <f>IFERROR("☐  "&amp;INDEX('Tareas'!$A$6:$A$155,SMALL('Tareas'!$O$6:$O$155,7)-5)&amp;IF(INDEX('Tareas'!$F$6:$F$155,SMALL('Tareas'!$O$6:$O$155,7)-5)="","","  ("&amp;INDEX('Tareas'!$F$6:$F$155,SMALL('Tareas'!$O$6:$O$155,7)-5)&amp;")"),"")</f>
        <v/>
      </c>
      <c r="B12" s="23">
        <f>IFERROR("☐  "&amp;INDEX('Tareas'!$A$6:$A$155,SMALL('Tareas'!$P$6:$P$155,7)-5)&amp;IF(INDEX('Tareas'!$F$6:$F$155,SMALL('Tareas'!$P$6:$P$155,7)-5)="","","  ("&amp;INDEX('Tareas'!$F$6:$F$155,SMALL('Tareas'!$P$6:$P$155,7)-5)&amp;")"),"")</f>
        <v/>
      </c>
      <c r="C12" s="23">
        <f>IFERROR("☐  "&amp;INDEX('Tareas'!$A$6:$A$155,SMALL('Tareas'!$Q$6:$Q$155,7)-5)&amp;IF(INDEX('Tareas'!$F$6:$F$155,SMALL('Tareas'!$Q$6:$Q$155,7)-5)="","","  ("&amp;INDEX('Tareas'!$F$6:$F$155,SMALL('Tareas'!$Q$6:$Q$155,7)-5)&amp;")"),"")</f>
        <v/>
      </c>
      <c r="D12" s="23">
        <f>IFERROR("☐  "&amp;INDEX('Tareas'!$A$6:$A$155,SMALL('Tareas'!$R$6:$R$155,7)-5)&amp;IF(INDEX('Tareas'!$F$6:$F$155,SMALL('Tareas'!$R$6:$R$155,7)-5)="","","  ("&amp;INDEX('Tareas'!$F$6:$F$155,SMALL('Tareas'!$R$6:$R$155,7)-5)&amp;")"),"")</f>
        <v/>
      </c>
      <c r="E12" s="23">
        <f>IFERROR("☐  "&amp;INDEX('Tareas'!$A$6:$A$155,SMALL('Tareas'!$S$6:$S$155,7)-5)&amp;IF(INDEX('Tareas'!$F$6:$F$155,SMALL('Tareas'!$S$6:$S$155,7)-5)="","","  ("&amp;INDEX('Tareas'!$F$6:$F$155,SMALL('Tareas'!$S$6:$S$155,7)-5)&amp;")"),"")</f>
        <v/>
      </c>
      <c r="F12" s="23">
        <f>IFERROR("☐  "&amp;INDEX('Tareas'!$A$6:$A$155,SMALL('Tareas'!$T$6:$T$155,7)-5)&amp;IF(INDEX('Tareas'!$F$6:$F$155,SMALL('Tareas'!$T$6:$T$155,7)-5)="","","  ("&amp;INDEX('Tareas'!$F$6:$F$155,SMALL('Tareas'!$T$6:$T$155,7)-5)&amp;")"),"")</f>
        <v/>
      </c>
      <c r="G12" s="23">
        <f>IFERROR("☐  "&amp;INDEX('Tareas'!$A$6:$A$155,SMALL('Tareas'!$U$6:$U$155,7)-5)&amp;IF(INDEX('Tareas'!$F$6:$F$155,SMALL('Tareas'!$U$6:$U$155,7)-5)="","","  ("&amp;INDEX('Tareas'!$F$6:$F$155,SMALL('Tareas'!$U$6:$U$155,7)-5)&amp;")"),"")</f>
        <v/>
      </c>
    </row>
    <row r="13" ht="26" customHeight="1">
      <c r="A13" s="23">
        <f>IFERROR("☐  "&amp;INDEX('Tareas'!$A$6:$A$155,SMALL('Tareas'!$O$6:$O$155,8)-5)&amp;IF(INDEX('Tareas'!$F$6:$F$155,SMALL('Tareas'!$O$6:$O$155,8)-5)="","","  ("&amp;INDEX('Tareas'!$F$6:$F$155,SMALL('Tareas'!$O$6:$O$155,8)-5)&amp;")"),"")</f>
        <v/>
      </c>
      <c r="B13" s="23">
        <f>IFERROR("☐  "&amp;INDEX('Tareas'!$A$6:$A$155,SMALL('Tareas'!$P$6:$P$155,8)-5)&amp;IF(INDEX('Tareas'!$F$6:$F$155,SMALL('Tareas'!$P$6:$P$155,8)-5)="","","  ("&amp;INDEX('Tareas'!$F$6:$F$155,SMALL('Tareas'!$P$6:$P$155,8)-5)&amp;")"),"")</f>
        <v/>
      </c>
      <c r="C13" s="23">
        <f>IFERROR("☐  "&amp;INDEX('Tareas'!$A$6:$A$155,SMALL('Tareas'!$Q$6:$Q$155,8)-5)&amp;IF(INDEX('Tareas'!$F$6:$F$155,SMALL('Tareas'!$Q$6:$Q$155,8)-5)="","","  ("&amp;INDEX('Tareas'!$F$6:$F$155,SMALL('Tareas'!$Q$6:$Q$155,8)-5)&amp;")"),"")</f>
        <v/>
      </c>
      <c r="D13" s="23">
        <f>IFERROR("☐  "&amp;INDEX('Tareas'!$A$6:$A$155,SMALL('Tareas'!$R$6:$R$155,8)-5)&amp;IF(INDEX('Tareas'!$F$6:$F$155,SMALL('Tareas'!$R$6:$R$155,8)-5)="","","  ("&amp;INDEX('Tareas'!$F$6:$F$155,SMALL('Tareas'!$R$6:$R$155,8)-5)&amp;")"),"")</f>
        <v/>
      </c>
      <c r="E13" s="23">
        <f>IFERROR("☐  "&amp;INDEX('Tareas'!$A$6:$A$155,SMALL('Tareas'!$S$6:$S$155,8)-5)&amp;IF(INDEX('Tareas'!$F$6:$F$155,SMALL('Tareas'!$S$6:$S$155,8)-5)="","","  ("&amp;INDEX('Tareas'!$F$6:$F$155,SMALL('Tareas'!$S$6:$S$155,8)-5)&amp;")"),"")</f>
        <v/>
      </c>
      <c r="F13" s="23">
        <f>IFERROR("☐  "&amp;INDEX('Tareas'!$A$6:$A$155,SMALL('Tareas'!$T$6:$T$155,8)-5)&amp;IF(INDEX('Tareas'!$F$6:$F$155,SMALL('Tareas'!$T$6:$T$155,8)-5)="","","  ("&amp;INDEX('Tareas'!$F$6:$F$155,SMALL('Tareas'!$T$6:$T$155,8)-5)&amp;")"),"")</f>
        <v/>
      </c>
      <c r="G13" s="23">
        <f>IFERROR("☐  "&amp;INDEX('Tareas'!$A$6:$A$155,SMALL('Tareas'!$U$6:$U$155,8)-5)&amp;IF(INDEX('Tareas'!$F$6:$F$155,SMALL('Tareas'!$U$6:$U$155,8)-5)="","","  ("&amp;INDEX('Tareas'!$F$6:$F$155,SMALL('Tareas'!$U$6:$U$155,8)-5)&amp;")"),"")</f>
        <v/>
      </c>
    </row>
    <row r="14" ht="26" customHeight="1">
      <c r="A14" s="23">
        <f>IFERROR("☐  "&amp;INDEX('Tareas'!$A$6:$A$155,SMALL('Tareas'!$O$6:$O$155,9)-5)&amp;IF(INDEX('Tareas'!$F$6:$F$155,SMALL('Tareas'!$O$6:$O$155,9)-5)="","","  ("&amp;INDEX('Tareas'!$F$6:$F$155,SMALL('Tareas'!$O$6:$O$155,9)-5)&amp;")"),"")</f>
        <v/>
      </c>
      <c r="B14" s="23">
        <f>IFERROR("☐  "&amp;INDEX('Tareas'!$A$6:$A$155,SMALL('Tareas'!$P$6:$P$155,9)-5)&amp;IF(INDEX('Tareas'!$F$6:$F$155,SMALL('Tareas'!$P$6:$P$155,9)-5)="","","  ("&amp;INDEX('Tareas'!$F$6:$F$155,SMALL('Tareas'!$P$6:$P$155,9)-5)&amp;")"),"")</f>
        <v/>
      </c>
      <c r="C14" s="23">
        <f>IFERROR("☐  "&amp;INDEX('Tareas'!$A$6:$A$155,SMALL('Tareas'!$Q$6:$Q$155,9)-5)&amp;IF(INDEX('Tareas'!$F$6:$F$155,SMALL('Tareas'!$Q$6:$Q$155,9)-5)="","","  ("&amp;INDEX('Tareas'!$F$6:$F$155,SMALL('Tareas'!$Q$6:$Q$155,9)-5)&amp;")"),"")</f>
        <v/>
      </c>
      <c r="D14" s="23">
        <f>IFERROR("☐  "&amp;INDEX('Tareas'!$A$6:$A$155,SMALL('Tareas'!$R$6:$R$155,9)-5)&amp;IF(INDEX('Tareas'!$F$6:$F$155,SMALL('Tareas'!$R$6:$R$155,9)-5)="","","  ("&amp;INDEX('Tareas'!$F$6:$F$155,SMALL('Tareas'!$R$6:$R$155,9)-5)&amp;")"),"")</f>
        <v/>
      </c>
      <c r="E14" s="23">
        <f>IFERROR("☐  "&amp;INDEX('Tareas'!$A$6:$A$155,SMALL('Tareas'!$S$6:$S$155,9)-5)&amp;IF(INDEX('Tareas'!$F$6:$F$155,SMALL('Tareas'!$S$6:$S$155,9)-5)="","","  ("&amp;INDEX('Tareas'!$F$6:$F$155,SMALL('Tareas'!$S$6:$S$155,9)-5)&amp;")"),"")</f>
        <v/>
      </c>
      <c r="F14" s="23">
        <f>IFERROR("☐  "&amp;INDEX('Tareas'!$A$6:$A$155,SMALL('Tareas'!$T$6:$T$155,9)-5)&amp;IF(INDEX('Tareas'!$F$6:$F$155,SMALL('Tareas'!$T$6:$T$155,9)-5)="","","  ("&amp;INDEX('Tareas'!$F$6:$F$155,SMALL('Tareas'!$T$6:$T$155,9)-5)&amp;")"),"")</f>
        <v/>
      </c>
      <c r="G14" s="23">
        <f>IFERROR("☐  "&amp;INDEX('Tareas'!$A$6:$A$155,SMALL('Tareas'!$U$6:$U$155,9)-5)&amp;IF(INDEX('Tareas'!$F$6:$F$155,SMALL('Tareas'!$U$6:$U$155,9)-5)="","","  ("&amp;INDEX('Tareas'!$F$6:$F$155,SMALL('Tareas'!$U$6:$U$155,9)-5)&amp;")"),"")</f>
        <v/>
      </c>
    </row>
    <row r="15" ht="26" customHeight="1">
      <c r="A15" s="23">
        <f>IFERROR("☐  "&amp;INDEX('Tareas'!$A$6:$A$155,SMALL('Tareas'!$O$6:$O$155,10)-5)&amp;IF(INDEX('Tareas'!$F$6:$F$155,SMALL('Tareas'!$O$6:$O$155,10)-5)="","","  ("&amp;INDEX('Tareas'!$F$6:$F$155,SMALL('Tareas'!$O$6:$O$155,10)-5)&amp;")"),"")</f>
        <v/>
      </c>
      <c r="B15" s="23">
        <f>IFERROR("☐  "&amp;INDEX('Tareas'!$A$6:$A$155,SMALL('Tareas'!$P$6:$P$155,10)-5)&amp;IF(INDEX('Tareas'!$F$6:$F$155,SMALL('Tareas'!$P$6:$P$155,10)-5)="","","  ("&amp;INDEX('Tareas'!$F$6:$F$155,SMALL('Tareas'!$P$6:$P$155,10)-5)&amp;")"),"")</f>
        <v/>
      </c>
      <c r="C15" s="23">
        <f>IFERROR("☐  "&amp;INDEX('Tareas'!$A$6:$A$155,SMALL('Tareas'!$Q$6:$Q$155,10)-5)&amp;IF(INDEX('Tareas'!$F$6:$F$155,SMALL('Tareas'!$Q$6:$Q$155,10)-5)="","","  ("&amp;INDEX('Tareas'!$F$6:$F$155,SMALL('Tareas'!$Q$6:$Q$155,10)-5)&amp;")"),"")</f>
        <v/>
      </c>
      <c r="D15" s="23">
        <f>IFERROR("☐  "&amp;INDEX('Tareas'!$A$6:$A$155,SMALL('Tareas'!$R$6:$R$155,10)-5)&amp;IF(INDEX('Tareas'!$F$6:$F$155,SMALL('Tareas'!$R$6:$R$155,10)-5)="","","  ("&amp;INDEX('Tareas'!$F$6:$F$155,SMALL('Tareas'!$R$6:$R$155,10)-5)&amp;")"),"")</f>
        <v/>
      </c>
      <c r="E15" s="23">
        <f>IFERROR("☐  "&amp;INDEX('Tareas'!$A$6:$A$155,SMALL('Tareas'!$S$6:$S$155,10)-5)&amp;IF(INDEX('Tareas'!$F$6:$F$155,SMALL('Tareas'!$S$6:$S$155,10)-5)="","","  ("&amp;INDEX('Tareas'!$F$6:$F$155,SMALL('Tareas'!$S$6:$S$155,10)-5)&amp;")"),"")</f>
        <v/>
      </c>
      <c r="F15" s="23">
        <f>IFERROR("☐  "&amp;INDEX('Tareas'!$A$6:$A$155,SMALL('Tareas'!$T$6:$T$155,10)-5)&amp;IF(INDEX('Tareas'!$F$6:$F$155,SMALL('Tareas'!$T$6:$T$155,10)-5)="","","  ("&amp;INDEX('Tareas'!$F$6:$F$155,SMALL('Tareas'!$T$6:$T$155,10)-5)&amp;")"),"")</f>
        <v/>
      </c>
      <c r="G15" s="23">
        <f>IFERROR("☐  "&amp;INDEX('Tareas'!$A$6:$A$155,SMALL('Tareas'!$U$6:$U$155,10)-5)&amp;IF(INDEX('Tareas'!$F$6:$F$155,SMALL('Tareas'!$U$6:$U$155,10)-5)="","","  ("&amp;INDEX('Tareas'!$F$6:$F$155,SMALL('Tareas'!$U$6:$U$155,10)-5)&amp;")"),"")</f>
        <v/>
      </c>
    </row>
    <row r="16" ht="26" customHeight="1">
      <c r="A16" s="23">
        <f>IFERROR("☐  "&amp;INDEX('Tareas'!$A$6:$A$155,SMALL('Tareas'!$O$6:$O$155,11)-5)&amp;IF(INDEX('Tareas'!$F$6:$F$155,SMALL('Tareas'!$O$6:$O$155,11)-5)="","","  ("&amp;INDEX('Tareas'!$F$6:$F$155,SMALL('Tareas'!$O$6:$O$155,11)-5)&amp;")"),"")</f>
        <v/>
      </c>
      <c r="B16" s="23">
        <f>IFERROR("☐  "&amp;INDEX('Tareas'!$A$6:$A$155,SMALL('Tareas'!$P$6:$P$155,11)-5)&amp;IF(INDEX('Tareas'!$F$6:$F$155,SMALL('Tareas'!$P$6:$P$155,11)-5)="","","  ("&amp;INDEX('Tareas'!$F$6:$F$155,SMALL('Tareas'!$P$6:$P$155,11)-5)&amp;")"),"")</f>
        <v/>
      </c>
      <c r="C16" s="23">
        <f>IFERROR("☐  "&amp;INDEX('Tareas'!$A$6:$A$155,SMALL('Tareas'!$Q$6:$Q$155,11)-5)&amp;IF(INDEX('Tareas'!$F$6:$F$155,SMALL('Tareas'!$Q$6:$Q$155,11)-5)="","","  ("&amp;INDEX('Tareas'!$F$6:$F$155,SMALL('Tareas'!$Q$6:$Q$155,11)-5)&amp;")"),"")</f>
        <v/>
      </c>
      <c r="D16" s="23">
        <f>IFERROR("☐  "&amp;INDEX('Tareas'!$A$6:$A$155,SMALL('Tareas'!$R$6:$R$155,11)-5)&amp;IF(INDEX('Tareas'!$F$6:$F$155,SMALL('Tareas'!$R$6:$R$155,11)-5)="","","  ("&amp;INDEX('Tareas'!$F$6:$F$155,SMALL('Tareas'!$R$6:$R$155,11)-5)&amp;")"),"")</f>
        <v/>
      </c>
      <c r="E16" s="23">
        <f>IFERROR("☐  "&amp;INDEX('Tareas'!$A$6:$A$155,SMALL('Tareas'!$S$6:$S$155,11)-5)&amp;IF(INDEX('Tareas'!$F$6:$F$155,SMALL('Tareas'!$S$6:$S$155,11)-5)="","","  ("&amp;INDEX('Tareas'!$F$6:$F$155,SMALL('Tareas'!$S$6:$S$155,11)-5)&amp;")"),"")</f>
        <v/>
      </c>
      <c r="F16" s="23">
        <f>IFERROR("☐  "&amp;INDEX('Tareas'!$A$6:$A$155,SMALL('Tareas'!$T$6:$T$155,11)-5)&amp;IF(INDEX('Tareas'!$F$6:$F$155,SMALL('Tareas'!$T$6:$T$155,11)-5)="","","  ("&amp;INDEX('Tareas'!$F$6:$F$155,SMALL('Tareas'!$T$6:$T$155,11)-5)&amp;")"),"")</f>
        <v/>
      </c>
      <c r="G16" s="23">
        <f>IFERROR("☐  "&amp;INDEX('Tareas'!$A$6:$A$155,SMALL('Tareas'!$U$6:$U$155,11)-5)&amp;IF(INDEX('Tareas'!$F$6:$F$155,SMALL('Tareas'!$U$6:$U$155,11)-5)="","","  ("&amp;INDEX('Tareas'!$F$6:$F$155,SMALL('Tareas'!$U$6:$U$155,11)-5)&amp;")"),"")</f>
        <v/>
      </c>
    </row>
    <row r="17" ht="26" customHeight="1">
      <c r="A17" s="23">
        <f>IFERROR("☐  "&amp;INDEX('Tareas'!$A$6:$A$155,SMALL('Tareas'!$O$6:$O$155,12)-5)&amp;IF(INDEX('Tareas'!$F$6:$F$155,SMALL('Tareas'!$O$6:$O$155,12)-5)="","","  ("&amp;INDEX('Tareas'!$F$6:$F$155,SMALL('Tareas'!$O$6:$O$155,12)-5)&amp;")"),"")</f>
        <v/>
      </c>
      <c r="B17" s="23">
        <f>IFERROR("☐  "&amp;INDEX('Tareas'!$A$6:$A$155,SMALL('Tareas'!$P$6:$P$155,12)-5)&amp;IF(INDEX('Tareas'!$F$6:$F$155,SMALL('Tareas'!$P$6:$P$155,12)-5)="","","  ("&amp;INDEX('Tareas'!$F$6:$F$155,SMALL('Tareas'!$P$6:$P$155,12)-5)&amp;")"),"")</f>
        <v/>
      </c>
      <c r="C17" s="23">
        <f>IFERROR("☐  "&amp;INDEX('Tareas'!$A$6:$A$155,SMALL('Tareas'!$Q$6:$Q$155,12)-5)&amp;IF(INDEX('Tareas'!$F$6:$F$155,SMALL('Tareas'!$Q$6:$Q$155,12)-5)="","","  ("&amp;INDEX('Tareas'!$F$6:$F$155,SMALL('Tareas'!$Q$6:$Q$155,12)-5)&amp;")"),"")</f>
        <v/>
      </c>
      <c r="D17" s="23">
        <f>IFERROR("☐  "&amp;INDEX('Tareas'!$A$6:$A$155,SMALL('Tareas'!$R$6:$R$155,12)-5)&amp;IF(INDEX('Tareas'!$F$6:$F$155,SMALL('Tareas'!$R$6:$R$155,12)-5)="","","  ("&amp;INDEX('Tareas'!$F$6:$F$155,SMALL('Tareas'!$R$6:$R$155,12)-5)&amp;")"),"")</f>
        <v/>
      </c>
      <c r="E17" s="23">
        <f>IFERROR("☐  "&amp;INDEX('Tareas'!$A$6:$A$155,SMALL('Tareas'!$S$6:$S$155,12)-5)&amp;IF(INDEX('Tareas'!$F$6:$F$155,SMALL('Tareas'!$S$6:$S$155,12)-5)="","","  ("&amp;INDEX('Tareas'!$F$6:$F$155,SMALL('Tareas'!$S$6:$S$155,12)-5)&amp;")"),"")</f>
        <v/>
      </c>
      <c r="F17" s="23">
        <f>IFERROR("☐  "&amp;INDEX('Tareas'!$A$6:$A$155,SMALL('Tareas'!$T$6:$T$155,12)-5)&amp;IF(INDEX('Tareas'!$F$6:$F$155,SMALL('Tareas'!$T$6:$T$155,12)-5)="","","  ("&amp;INDEX('Tareas'!$F$6:$F$155,SMALL('Tareas'!$T$6:$T$155,12)-5)&amp;")"),"")</f>
        <v/>
      </c>
      <c r="G17" s="23">
        <f>IFERROR("☐  "&amp;INDEX('Tareas'!$A$6:$A$155,SMALL('Tareas'!$U$6:$U$155,12)-5)&amp;IF(INDEX('Tareas'!$F$6:$F$155,SMALL('Tareas'!$U$6:$U$155,12)-5)="","","  ("&amp;INDEX('Tareas'!$F$6:$F$155,SMALL('Tareas'!$U$6:$U$155,12)-5)&amp;")"),"")</f>
        <v/>
      </c>
    </row>
    <row r="18">
      <c r="A18" s="24">
        <f>IF(COUNT('Tareas'!$O$6:$O$155)&gt;12,"+ "&amp;(COUNT('Tareas'!$O$6:$O$155)-12)&amp;" más","")</f>
        <v/>
      </c>
      <c r="B18" s="24">
        <f>IF(COUNT('Tareas'!$P$6:$P$155)&gt;12,"+ "&amp;(COUNT('Tareas'!$P$6:$P$155)-12)&amp;" más","")</f>
        <v/>
      </c>
      <c r="C18" s="24">
        <f>IF(COUNT('Tareas'!$Q$6:$Q$155)&gt;12,"+ "&amp;(COUNT('Tareas'!$Q$6:$Q$155)-12)&amp;" más","")</f>
        <v/>
      </c>
      <c r="D18" s="24">
        <f>IF(COUNT('Tareas'!$R$6:$R$155)&gt;12,"+ "&amp;(COUNT('Tareas'!$R$6:$R$155)-12)&amp;" más","")</f>
        <v/>
      </c>
      <c r="E18" s="24">
        <f>IF(COUNT('Tareas'!$S$6:$S$155)&gt;12,"+ "&amp;(COUNT('Tareas'!$S$6:$S$155)-12)&amp;" más","")</f>
        <v/>
      </c>
      <c r="F18" s="24">
        <f>IF(COUNT('Tareas'!$T$6:$T$155)&gt;12,"+ "&amp;(COUNT('Tareas'!$T$6:$T$155)-12)&amp;" más","")</f>
        <v/>
      </c>
      <c r="G18" s="24">
        <f>IF(COUNT('Tareas'!$U$6:$U$155)&gt;12,"+ "&amp;(COUNT('Tareas'!$U$6:$U$155)-12)&amp;" más","")</f>
        <v/>
      </c>
    </row>
    <row r="20">
      <c r="A20" s="25" t="inlineStr">
        <is>
          <t>Notas</t>
        </is>
      </c>
    </row>
    <row r="21" ht="20" customHeight="1">
      <c r="A21" s="26" t="n"/>
      <c r="B21" s="26" t="n"/>
      <c r="C21" s="26" t="n"/>
      <c r="D21" s="26" t="n"/>
      <c r="E21" s="26" t="n"/>
      <c r="F21" s="26" t="n"/>
      <c r="G21" s="26" t="n"/>
    </row>
    <row r="22" ht="20" customHeight="1">
      <c r="A22" s="26" t="n"/>
      <c r="B22" s="26" t="n"/>
      <c r="C22" s="26" t="n"/>
      <c r="D22" s="26" t="n"/>
      <c r="E22" s="26" t="n"/>
      <c r="F22" s="26" t="n"/>
      <c r="G22" s="26" t="n"/>
    </row>
    <row r="23" ht="20" customHeight="1">
      <c r="A23" s="26" t="n"/>
      <c r="B23" s="26" t="n"/>
      <c r="C23" s="26" t="n"/>
      <c r="D23" s="26" t="n"/>
      <c r="E23" s="26" t="n"/>
      <c r="F23" s="26" t="n"/>
      <c r="G23" s="26" t="n"/>
    </row>
  </sheetData>
  <pageMargins left="0.4" right="0.4" top="0.5" bottom="0.5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U155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11" customWidth="1" min="4" max="4"/>
    <col width="9" customWidth="1" min="5" max="5"/>
    <col width="15" customWidth="1" min="6" max="6"/>
    <col width="13" customWidth="1" min="7" max="7"/>
    <col width="9" customWidth="1" min="8" max="8"/>
    <col width="10" customWidth="1" min="9" max="9"/>
    <col width="13" customWidth="1" min="10" max="10"/>
    <col width="10" customWidth="1" min="11" max="11"/>
    <col width="13" customWidth="1" min="12" max="12"/>
    <col hidden="1" width="3" customWidth="1" min="13" max="13"/>
    <col hidden="1" width="3" customWidth="1" min="14" max="14"/>
    <col hidden="1" width="3" customWidth="1" min="15" max="15"/>
    <col hidden="1" width="3" customWidth="1" min="16" max="16"/>
    <col hidden="1" width="3" customWidth="1" min="17" max="17"/>
    <col hidden="1" width="3" customWidth="1" min="18" max="18"/>
    <col hidden="1" width="3" customWidth="1" min="19" max="19"/>
    <col hidden="1" width="3" customWidth="1" min="20" max="20"/>
    <col hidden="1" width="3" customWidth="1" min="21" max="21"/>
  </cols>
  <sheetData>
    <row r="1" ht="28" customHeight="1">
      <c r="A1" s="1" t="inlineStr">
        <is>
          <t>Tareas</t>
        </is>
      </c>
    </row>
    <row r="2">
      <c r="A2" s="2" t="inlineStr">
        <is>
          <t>Una fila por tarea que se repite. Cuando la terminás, anotá la fecha en 'Última vez'; el resto es automático.</t>
        </is>
      </c>
    </row>
    <row r="5" ht="32" customHeight="1">
      <c r="A5" s="10" t="inlineStr">
        <is>
          <t>Tarea</t>
        </is>
      </c>
      <c r="B5" s="10" t="inlineStr">
        <is>
          <t>Ambiente / área</t>
        </is>
      </c>
      <c r="C5" s="10" t="inlineStr">
        <is>
          <t>Cada</t>
        </is>
      </c>
      <c r="D5" s="10" t="inlineStr">
        <is>
          <t>Unidad</t>
        </is>
      </c>
      <c r="E5" s="10" t="inlineStr">
        <is>
          <t>Minutos</t>
        </is>
      </c>
      <c r="F5" s="10" t="inlineStr">
        <is>
          <t>Quién</t>
        </is>
      </c>
      <c r="G5" s="10" t="inlineStr">
        <is>
          <t>Última vez</t>
        </is>
      </c>
      <c r="H5" s="10" t="inlineStr">
        <is>
          <t>Activa</t>
        </is>
      </c>
      <c r="I5" s="10" t="inlineStr">
        <is>
          <t>Intervalo (días)</t>
        </is>
      </c>
      <c r="J5" s="10" t="inlineStr">
        <is>
          <t>Próxima vez</t>
        </is>
      </c>
      <c r="K5" s="10" t="inlineStr">
        <is>
          <t>Días que faltan</t>
        </is>
      </c>
      <c r="L5" s="10" t="inlineStr">
        <is>
          <t>Estado</t>
        </is>
      </c>
      <c r="M5" s="27" t="inlineStr">
        <is>
          <t>key</t>
        </is>
      </c>
      <c r="N5" s="27" t="inlineStr">
        <is>
          <t>wk</t>
        </is>
      </c>
      <c r="O5" s="27" t="inlineStr">
        <is>
          <t>d0</t>
        </is>
      </c>
      <c r="P5" s="27" t="inlineStr">
        <is>
          <t>d1</t>
        </is>
      </c>
      <c r="Q5" s="27" t="inlineStr">
        <is>
          <t>d2</t>
        </is>
      </c>
      <c r="R5" s="27" t="inlineStr">
        <is>
          <t>d3</t>
        </is>
      </c>
      <c r="S5" s="27" t="inlineStr">
        <is>
          <t>d4</t>
        </is>
      </c>
      <c r="T5" s="27" t="inlineStr">
        <is>
          <t>d5</t>
        </is>
      </c>
      <c r="U5" s="27" t="inlineStr">
        <is>
          <t>d6</t>
        </is>
      </c>
    </row>
    <row r="6">
      <c r="A6" s="6" t="inlineStr">
        <is>
          <t>Lavar los platos / usar el lavavajillas</t>
        </is>
      </c>
      <c r="B6" s="6" t="inlineStr">
        <is>
          <t>Cocina</t>
        </is>
      </c>
      <c r="C6" s="28" t="n">
        <v>1</v>
      </c>
      <c r="D6" s="6" t="inlineStr">
        <is>
          <t>Días</t>
        </is>
      </c>
      <c r="E6" s="28" t="n">
        <v>15</v>
      </c>
      <c r="F6" s="6" t="n"/>
      <c r="G6" s="6" t="n"/>
      <c r="H6" s="29" t="inlineStr">
        <is>
          <t>Sí</t>
        </is>
      </c>
      <c r="I6" s="30">
        <f>IFERROR(IF(OR(A6="",C6=""),"",C6*INDEX('Ajustes'!$I$5:$I$8,MATCH(D6,'Ajustes'!$H$5:$H$8,0))),"")</f>
        <v/>
      </c>
      <c r="J6" s="31">
        <f>IFERROR(IF(I6="","",IF(G6="",IF('Ajustes'!$B$5="",TODAY(),'Ajustes'!$B$5)+MOD(ROW()*13,I6),IF(D6='Ajustes'!$H$7,EDATE(G6,C6),IF(D6='Ajustes'!$H$8,EDATE(G6,12*C6),G6+I6)))),"")</f>
        <v/>
      </c>
      <c r="K6" s="30">
        <f>IF(J6="","",J6-TODAY())</f>
        <v/>
      </c>
      <c r="L6" s="32">
        <f>IF(A6="","",IF(H6="No","Pausada",IF(K6="","",IF(K6&lt;0,"Atrasada",IF(K6=0,"Hoy",IF(K6&lt;=7,"Esta semana","Más adelante"))))))</f>
        <v/>
      </c>
      <c r="M6" s="27">
        <f>IFERROR(IF(AND(OR(L6="Atrasada",L6="Hoy",L6="Esta semana"),OR('Hoy'!$B$3='Ajustes'!$D$5,F6='Hoy'!$B$3)),K6+ROW()/100000,""),"")</f>
        <v/>
      </c>
      <c r="N6" s="27">
        <f>IF(OR(A6="",H6="No",I6=""),0,E6*7/I6)</f>
        <v/>
      </c>
      <c r="O6" s="27">
        <f>IFERROR(IF(AND(A6&lt;&gt;"",H6&lt;&gt;"No",I6&lt;&gt;"",OR('Hoy'!$B$3='Ajustes'!$D$5,F6='Hoy'!$B$3),J6&lt;=TODAY()),ROW(),""),"")</f>
        <v/>
      </c>
      <c r="P6" s="27">
        <f>IFERROR(IF(AND(A6&lt;&gt;"",H6&lt;&gt;"No",I6&lt;&gt;"",OR('Hoy'!$B$3='Ajustes'!$D$5,F6='Hoy'!$B$3),OR(J6=TODAY()+1,AND(I6&lt;=7,J6&gt;=TODAY(),J6&lt;TODAY()+1,MOD(TODAY()+1-J6,I6)=0))),ROW(),""),"")</f>
        <v/>
      </c>
      <c r="Q6" s="27">
        <f>IFERROR(IF(AND(A6&lt;&gt;"",H6&lt;&gt;"No",I6&lt;&gt;"",OR('Hoy'!$B$3='Ajustes'!$D$5,F6='Hoy'!$B$3),OR(J6=TODAY()+2,AND(I6&lt;=7,J6&gt;=TODAY(),J6&lt;TODAY()+2,MOD(TODAY()+2-J6,I6)=0))),ROW(),""),"")</f>
        <v/>
      </c>
      <c r="R6" s="27">
        <f>IFERROR(IF(AND(A6&lt;&gt;"",H6&lt;&gt;"No",I6&lt;&gt;"",OR('Hoy'!$B$3='Ajustes'!$D$5,F6='Hoy'!$B$3),OR(J6=TODAY()+3,AND(I6&lt;=7,J6&gt;=TODAY(),J6&lt;TODAY()+3,MOD(TODAY()+3-J6,I6)=0))),ROW(),""),"")</f>
        <v/>
      </c>
      <c r="S6" s="27">
        <f>IFERROR(IF(AND(A6&lt;&gt;"",H6&lt;&gt;"No",I6&lt;&gt;"",OR('Hoy'!$B$3='Ajustes'!$D$5,F6='Hoy'!$B$3),OR(J6=TODAY()+4,AND(I6&lt;=7,J6&gt;=TODAY(),J6&lt;TODAY()+4,MOD(TODAY()+4-J6,I6)=0))),ROW(),""),"")</f>
        <v/>
      </c>
      <c r="T6" s="27">
        <f>IFERROR(IF(AND(A6&lt;&gt;"",H6&lt;&gt;"No",I6&lt;&gt;"",OR('Hoy'!$B$3='Ajustes'!$D$5,F6='Hoy'!$B$3),OR(J6=TODAY()+5,AND(I6&lt;=7,J6&gt;=TODAY(),J6&lt;TODAY()+5,MOD(TODAY()+5-J6,I6)=0))),ROW(),""),"")</f>
        <v/>
      </c>
      <c r="U6" s="27">
        <f>IFERROR(IF(AND(A6&lt;&gt;"",H6&lt;&gt;"No",I6&lt;&gt;"",OR('Hoy'!$B$3='Ajustes'!$D$5,F6='Hoy'!$B$3),OR(J6=TODAY()+6,AND(I6&lt;=7,J6&gt;=TODAY(),J6&lt;TODAY()+6,MOD(TODAY()+6-J6,I6)=0))),ROW(),""),"")</f>
        <v/>
      </c>
    </row>
    <row r="7">
      <c r="A7" s="6" t="inlineStr">
        <is>
          <t>Pasar un trapo por mesada y cocina</t>
        </is>
      </c>
      <c r="B7" s="6" t="inlineStr">
        <is>
          <t>Cocina</t>
        </is>
      </c>
      <c r="C7" s="28" t="n">
        <v>1</v>
      </c>
      <c r="D7" s="6" t="inlineStr">
        <is>
          <t>Días</t>
        </is>
      </c>
      <c r="E7" s="28" t="n">
        <v>5</v>
      </c>
      <c r="F7" s="6" t="n"/>
      <c r="G7" s="6" t="n"/>
      <c r="H7" s="29" t="inlineStr">
        <is>
          <t>Sí</t>
        </is>
      </c>
      <c r="I7" s="30">
        <f>IFERROR(IF(OR(A7="",C7=""),"",C7*INDEX('Ajustes'!$I$5:$I$8,MATCH(D7,'Ajustes'!$H$5:$H$8,0))),"")</f>
        <v/>
      </c>
      <c r="J7" s="31">
        <f>IFERROR(IF(I7="","",IF(G7="",IF('Ajustes'!$B$5="",TODAY(),'Ajustes'!$B$5)+MOD(ROW()*13,I7),IF(D7='Ajustes'!$H$7,EDATE(G7,C7),IF(D7='Ajustes'!$H$8,EDATE(G7,12*C7),G7+I7)))),"")</f>
        <v/>
      </c>
      <c r="K7" s="30">
        <f>IF(J7="","",J7-TODAY())</f>
        <v/>
      </c>
      <c r="L7" s="32">
        <f>IF(A7="","",IF(H7="No","Pausada",IF(K7="","",IF(K7&lt;0,"Atrasada",IF(K7=0,"Hoy",IF(K7&lt;=7,"Esta semana","Más adelante"))))))</f>
        <v/>
      </c>
      <c r="M7" s="27">
        <f>IFERROR(IF(AND(OR(L7="Atrasada",L7="Hoy",L7="Esta semana"),OR('Hoy'!$B$3='Ajustes'!$D$5,F7='Hoy'!$B$3)),K7+ROW()/100000,""),"")</f>
        <v/>
      </c>
      <c r="N7" s="27">
        <f>IF(OR(A7="",H7="No",I7=""),0,E7*7/I7)</f>
        <v/>
      </c>
      <c r="O7" s="27">
        <f>IFERROR(IF(AND(A7&lt;&gt;"",H7&lt;&gt;"No",I7&lt;&gt;"",OR('Hoy'!$B$3='Ajustes'!$D$5,F7='Hoy'!$B$3),J7&lt;=TODAY()),ROW(),""),"")</f>
        <v/>
      </c>
      <c r="P7" s="27">
        <f>IFERROR(IF(AND(A7&lt;&gt;"",H7&lt;&gt;"No",I7&lt;&gt;"",OR('Hoy'!$B$3='Ajustes'!$D$5,F7='Hoy'!$B$3),OR(J7=TODAY()+1,AND(I7&lt;=7,J7&gt;=TODAY(),J7&lt;TODAY()+1,MOD(TODAY()+1-J7,I7)=0))),ROW(),""),"")</f>
        <v/>
      </c>
      <c r="Q7" s="27">
        <f>IFERROR(IF(AND(A7&lt;&gt;"",H7&lt;&gt;"No",I7&lt;&gt;"",OR('Hoy'!$B$3='Ajustes'!$D$5,F7='Hoy'!$B$3),OR(J7=TODAY()+2,AND(I7&lt;=7,J7&gt;=TODAY(),J7&lt;TODAY()+2,MOD(TODAY()+2-J7,I7)=0))),ROW(),""),"")</f>
        <v/>
      </c>
      <c r="R7" s="27">
        <f>IFERROR(IF(AND(A7&lt;&gt;"",H7&lt;&gt;"No",I7&lt;&gt;"",OR('Hoy'!$B$3='Ajustes'!$D$5,F7='Hoy'!$B$3),OR(J7=TODAY()+3,AND(I7&lt;=7,J7&gt;=TODAY(),J7&lt;TODAY()+3,MOD(TODAY()+3-J7,I7)=0))),ROW(),""),"")</f>
        <v/>
      </c>
      <c r="S7" s="27">
        <f>IFERROR(IF(AND(A7&lt;&gt;"",H7&lt;&gt;"No",I7&lt;&gt;"",OR('Hoy'!$B$3='Ajustes'!$D$5,F7='Hoy'!$B$3),OR(J7=TODAY()+4,AND(I7&lt;=7,J7&gt;=TODAY(),J7&lt;TODAY()+4,MOD(TODAY()+4-J7,I7)=0))),ROW(),""),"")</f>
        <v/>
      </c>
      <c r="T7" s="27">
        <f>IFERROR(IF(AND(A7&lt;&gt;"",H7&lt;&gt;"No",I7&lt;&gt;"",OR('Hoy'!$B$3='Ajustes'!$D$5,F7='Hoy'!$B$3),OR(J7=TODAY()+5,AND(I7&lt;=7,J7&gt;=TODAY(),J7&lt;TODAY()+5,MOD(TODAY()+5-J7,I7)=0))),ROW(),""),"")</f>
        <v/>
      </c>
      <c r="U7" s="27">
        <f>IFERROR(IF(AND(A7&lt;&gt;"",H7&lt;&gt;"No",I7&lt;&gt;"",OR('Hoy'!$B$3='Ajustes'!$D$5,F7='Hoy'!$B$3),OR(J7=TODAY()+6,AND(I7&lt;=7,J7&gt;=TODAY(),J7&lt;TODAY()+6,MOD(TODAY()+6-J7,I7)=0))),ROW(),""),"")</f>
        <v/>
      </c>
    </row>
    <row r="8">
      <c r="A8" s="6" t="inlineStr">
        <is>
          <t>Sacar la basura de la cocina</t>
        </is>
      </c>
      <c r="B8" s="6" t="inlineStr">
        <is>
          <t>Cocina</t>
        </is>
      </c>
      <c r="C8" s="28" t="n">
        <v>1</v>
      </c>
      <c r="D8" s="6" t="inlineStr">
        <is>
          <t>Días</t>
        </is>
      </c>
      <c r="E8" s="28" t="n">
        <v>3</v>
      </c>
      <c r="F8" s="6" t="n"/>
      <c r="G8" s="6" t="n"/>
      <c r="H8" s="29" t="inlineStr">
        <is>
          <t>Sí</t>
        </is>
      </c>
      <c r="I8" s="30">
        <f>IFERROR(IF(OR(A8="",C8=""),"",C8*INDEX('Ajustes'!$I$5:$I$8,MATCH(D8,'Ajustes'!$H$5:$H$8,0))),"")</f>
        <v/>
      </c>
      <c r="J8" s="31">
        <f>IFERROR(IF(I8="","",IF(G8="",IF('Ajustes'!$B$5="",TODAY(),'Ajustes'!$B$5)+MOD(ROW()*13,I8),IF(D8='Ajustes'!$H$7,EDATE(G8,C8),IF(D8='Ajustes'!$H$8,EDATE(G8,12*C8),G8+I8)))),"")</f>
        <v/>
      </c>
      <c r="K8" s="30">
        <f>IF(J8="","",J8-TODAY())</f>
        <v/>
      </c>
      <c r="L8" s="32">
        <f>IF(A8="","",IF(H8="No","Pausada",IF(K8="","",IF(K8&lt;0,"Atrasada",IF(K8=0,"Hoy",IF(K8&lt;=7,"Esta semana","Más adelante"))))))</f>
        <v/>
      </c>
      <c r="M8" s="27">
        <f>IFERROR(IF(AND(OR(L8="Atrasada",L8="Hoy",L8="Esta semana"),OR('Hoy'!$B$3='Ajustes'!$D$5,F8='Hoy'!$B$3)),K8+ROW()/100000,""),"")</f>
        <v/>
      </c>
      <c r="N8" s="27">
        <f>IF(OR(A8="",H8="No",I8=""),0,E8*7/I8)</f>
        <v/>
      </c>
      <c r="O8" s="27">
        <f>IFERROR(IF(AND(A8&lt;&gt;"",H8&lt;&gt;"No",I8&lt;&gt;"",OR('Hoy'!$B$3='Ajustes'!$D$5,F8='Hoy'!$B$3),J8&lt;=TODAY()),ROW(),""),"")</f>
        <v/>
      </c>
      <c r="P8" s="27">
        <f>IFERROR(IF(AND(A8&lt;&gt;"",H8&lt;&gt;"No",I8&lt;&gt;"",OR('Hoy'!$B$3='Ajustes'!$D$5,F8='Hoy'!$B$3),OR(J8=TODAY()+1,AND(I8&lt;=7,J8&gt;=TODAY(),J8&lt;TODAY()+1,MOD(TODAY()+1-J8,I8)=0))),ROW(),""),"")</f>
        <v/>
      </c>
      <c r="Q8" s="27">
        <f>IFERROR(IF(AND(A8&lt;&gt;"",H8&lt;&gt;"No",I8&lt;&gt;"",OR('Hoy'!$B$3='Ajustes'!$D$5,F8='Hoy'!$B$3),OR(J8=TODAY()+2,AND(I8&lt;=7,J8&gt;=TODAY(),J8&lt;TODAY()+2,MOD(TODAY()+2-J8,I8)=0))),ROW(),""),"")</f>
        <v/>
      </c>
      <c r="R8" s="27">
        <f>IFERROR(IF(AND(A8&lt;&gt;"",H8&lt;&gt;"No",I8&lt;&gt;"",OR('Hoy'!$B$3='Ajustes'!$D$5,F8='Hoy'!$B$3),OR(J8=TODAY()+3,AND(I8&lt;=7,J8&gt;=TODAY(),J8&lt;TODAY()+3,MOD(TODAY()+3-J8,I8)=0))),ROW(),""),"")</f>
        <v/>
      </c>
      <c r="S8" s="27">
        <f>IFERROR(IF(AND(A8&lt;&gt;"",H8&lt;&gt;"No",I8&lt;&gt;"",OR('Hoy'!$B$3='Ajustes'!$D$5,F8='Hoy'!$B$3),OR(J8=TODAY()+4,AND(I8&lt;=7,J8&gt;=TODAY(),J8&lt;TODAY()+4,MOD(TODAY()+4-J8,I8)=0))),ROW(),""),"")</f>
        <v/>
      </c>
      <c r="T8" s="27">
        <f>IFERROR(IF(AND(A8&lt;&gt;"",H8&lt;&gt;"No",I8&lt;&gt;"",OR('Hoy'!$B$3='Ajustes'!$D$5,F8='Hoy'!$B$3),OR(J8=TODAY()+5,AND(I8&lt;=7,J8&gt;=TODAY(),J8&lt;TODAY()+5,MOD(TODAY()+5-J8,I8)=0))),ROW(),""),"")</f>
        <v/>
      </c>
      <c r="U8" s="27">
        <f>IFERROR(IF(AND(A8&lt;&gt;"",H8&lt;&gt;"No",I8&lt;&gt;"",OR('Hoy'!$B$3='Ajustes'!$D$5,F8='Hoy'!$B$3),OR(J8=TODAY()+6,AND(I8&lt;=7,J8&gt;=TODAY(),J8&lt;TODAY()+6,MOD(TODAY()+6-J8,I8)=0))),ROW(),""),"")</f>
        <v/>
      </c>
    </row>
    <row r="9">
      <c r="A9" s="6" t="inlineStr">
        <is>
          <t>Barrer el piso de la cocina</t>
        </is>
      </c>
      <c r="B9" s="6" t="inlineStr">
        <is>
          <t>Cocina</t>
        </is>
      </c>
      <c r="C9" s="28" t="n">
        <v>2</v>
      </c>
      <c r="D9" s="6" t="inlineStr">
        <is>
          <t>Días</t>
        </is>
      </c>
      <c r="E9" s="28" t="n">
        <v>5</v>
      </c>
      <c r="F9" s="6" t="n"/>
      <c r="G9" s="6" t="n"/>
      <c r="H9" s="29" t="inlineStr">
        <is>
          <t>Sí</t>
        </is>
      </c>
      <c r="I9" s="30">
        <f>IFERROR(IF(OR(A9="",C9=""),"",C9*INDEX('Ajustes'!$I$5:$I$8,MATCH(D9,'Ajustes'!$H$5:$H$8,0))),"")</f>
        <v/>
      </c>
      <c r="J9" s="31">
        <f>IFERROR(IF(I9="","",IF(G9="",IF('Ajustes'!$B$5="",TODAY(),'Ajustes'!$B$5)+MOD(ROW()*13,I9),IF(D9='Ajustes'!$H$7,EDATE(G9,C9),IF(D9='Ajustes'!$H$8,EDATE(G9,12*C9),G9+I9)))),"")</f>
        <v/>
      </c>
      <c r="K9" s="30">
        <f>IF(J9="","",J9-TODAY())</f>
        <v/>
      </c>
      <c r="L9" s="32">
        <f>IF(A9="","",IF(H9="No","Pausada",IF(K9="","",IF(K9&lt;0,"Atrasada",IF(K9=0,"Hoy",IF(K9&lt;=7,"Esta semana","Más adelante"))))))</f>
        <v/>
      </c>
      <c r="M9" s="27">
        <f>IFERROR(IF(AND(OR(L9="Atrasada",L9="Hoy",L9="Esta semana"),OR('Hoy'!$B$3='Ajustes'!$D$5,F9='Hoy'!$B$3)),K9+ROW()/100000,""),"")</f>
        <v/>
      </c>
      <c r="N9" s="27">
        <f>IF(OR(A9="",H9="No",I9=""),0,E9*7/I9)</f>
        <v/>
      </c>
      <c r="O9" s="27">
        <f>IFERROR(IF(AND(A9&lt;&gt;"",H9&lt;&gt;"No",I9&lt;&gt;"",OR('Hoy'!$B$3='Ajustes'!$D$5,F9='Hoy'!$B$3),J9&lt;=TODAY()),ROW(),""),"")</f>
        <v/>
      </c>
      <c r="P9" s="27">
        <f>IFERROR(IF(AND(A9&lt;&gt;"",H9&lt;&gt;"No",I9&lt;&gt;"",OR('Hoy'!$B$3='Ajustes'!$D$5,F9='Hoy'!$B$3),OR(J9=TODAY()+1,AND(I9&lt;=7,J9&gt;=TODAY(),J9&lt;TODAY()+1,MOD(TODAY()+1-J9,I9)=0))),ROW(),""),"")</f>
        <v/>
      </c>
      <c r="Q9" s="27">
        <f>IFERROR(IF(AND(A9&lt;&gt;"",H9&lt;&gt;"No",I9&lt;&gt;"",OR('Hoy'!$B$3='Ajustes'!$D$5,F9='Hoy'!$B$3),OR(J9=TODAY()+2,AND(I9&lt;=7,J9&gt;=TODAY(),J9&lt;TODAY()+2,MOD(TODAY()+2-J9,I9)=0))),ROW(),""),"")</f>
        <v/>
      </c>
      <c r="R9" s="27">
        <f>IFERROR(IF(AND(A9&lt;&gt;"",H9&lt;&gt;"No",I9&lt;&gt;"",OR('Hoy'!$B$3='Ajustes'!$D$5,F9='Hoy'!$B$3),OR(J9=TODAY()+3,AND(I9&lt;=7,J9&gt;=TODAY(),J9&lt;TODAY()+3,MOD(TODAY()+3-J9,I9)=0))),ROW(),""),"")</f>
        <v/>
      </c>
      <c r="S9" s="27">
        <f>IFERROR(IF(AND(A9&lt;&gt;"",H9&lt;&gt;"No",I9&lt;&gt;"",OR('Hoy'!$B$3='Ajustes'!$D$5,F9='Hoy'!$B$3),OR(J9=TODAY()+4,AND(I9&lt;=7,J9&gt;=TODAY(),J9&lt;TODAY()+4,MOD(TODAY()+4-J9,I9)=0))),ROW(),""),"")</f>
        <v/>
      </c>
      <c r="T9" s="27">
        <f>IFERROR(IF(AND(A9&lt;&gt;"",H9&lt;&gt;"No",I9&lt;&gt;"",OR('Hoy'!$B$3='Ajustes'!$D$5,F9='Hoy'!$B$3),OR(J9=TODAY()+5,AND(I9&lt;=7,J9&gt;=TODAY(),J9&lt;TODAY()+5,MOD(TODAY()+5-J9,I9)=0))),ROW(),""),"")</f>
        <v/>
      </c>
      <c r="U9" s="27">
        <f>IFERROR(IF(AND(A9&lt;&gt;"",H9&lt;&gt;"No",I9&lt;&gt;"",OR('Hoy'!$B$3='Ajustes'!$D$5,F9='Hoy'!$B$3),OR(J9=TODAY()+6,AND(I9&lt;=7,J9&gt;=TODAY(),J9&lt;TODAY()+6,MOD(TODAY()+6-J9,I9)=0))),ROW(),""),"")</f>
        <v/>
      </c>
    </row>
    <row r="10">
      <c r="A10" s="6" t="inlineStr">
        <is>
          <t>Trapear el piso de la cocina</t>
        </is>
      </c>
      <c r="B10" s="6" t="inlineStr">
        <is>
          <t>Cocina</t>
        </is>
      </c>
      <c r="C10" s="28" t="n">
        <v>1</v>
      </c>
      <c r="D10" s="6" t="inlineStr">
        <is>
          <t>Semanas</t>
        </is>
      </c>
      <c r="E10" s="28" t="n">
        <v>15</v>
      </c>
      <c r="F10" s="6" t="n"/>
      <c r="G10" s="6" t="n"/>
      <c r="H10" s="29" t="inlineStr">
        <is>
          <t>Sí</t>
        </is>
      </c>
      <c r="I10" s="30">
        <f>IFERROR(IF(OR(A10="",C10=""),"",C10*INDEX('Ajustes'!$I$5:$I$8,MATCH(D10,'Ajustes'!$H$5:$H$8,0))),"")</f>
        <v/>
      </c>
      <c r="J10" s="31">
        <f>IFERROR(IF(I10="","",IF(G10="",IF('Ajustes'!$B$5="",TODAY(),'Ajustes'!$B$5)+MOD(ROW()*13,I10),IF(D10='Ajustes'!$H$7,EDATE(G10,C10),IF(D10='Ajustes'!$H$8,EDATE(G10,12*C10),G10+I10)))),"")</f>
        <v/>
      </c>
      <c r="K10" s="30">
        <f>IF(J10="","",J10-TODAY())</f>
        <v/>
      </c>
      <c r="L10" s="32">
        <f>IF(A10="","",IF(H10="No","Pausada",IF(K10="","",IF(K10&lt;0,"Atrasada",IF(K10=0,"Hoy",IF(K10&lt;=7,"Esta semana","Más adelante"))))))</f>
        <v/>
      </c>
      <c r="M10" s="27">
        <f>IFERROR(IF(AND(OR(L10="Atrasada",L10="Hoy",L10="Esta semana"),OR('Hoy'!$B$3='Ajustes'!$D$5,F10='Hoy'!$B$3)),K10+ROW()/100000,""),"")</f>
        <v/>
      </c>
      <c r="N10" s="27">
        <f>IF(OR(A10="",H10="No",I10=""),0,E10*7/I10)</f>
        <v/>
      </c>
      <c r="O10" s="27">
        <f>IFERROR(IF(AND(A10&lt;&gt;"",H10&lt;&gt;"No",I10&lt;&gt;"",OR('Hoy'!$B$3='Ajustes'!$D$5,F10='Hoy'!$B$3),J10&lt;=TODAY()),ROW(),""),"")</f>
        <v/>
      </c>
      <c r="P10" s="27">
        <f>IFERROR(IF(AND(A10&lt;&gt;"",H10&lt;&gt;"No",I10&lt;&gt;"",OR('Hoy'!$B$3='Ajustes'!$D$5,F10='Hoy'!$B$3),OR(J10=TODAY()+1,AND(I10&lt;=7,J10&gt;=TODAY(),J10&lt;TODAY()+1,MOD(TODAY()+1-J10,I10)=0))),ROW(),""),"")</f>
        <v/>
      </c>
      <c r="Q10" s="27">
        <f>IFERROR(IF(AND(A10&lt;&gt;"",H10&lt;&gt;"No",I10&lt;&gt;"",OR('Hoy'!$B$3='Ajustes'!$D$5,F10='Hoy'!$B$3),OR(J10=TODAY()+2,AND(I10&lt;=7,J10&gt;=TODAY(),J10&lt;TODAY()+2,MOD(TODAY()+2-J10,I10)=0))),ROW(),""),"")</f>
        <v/>
      </c>
      <c r="R10" s="27">
        <f>IFERROR(IF(AND(A10&lt;&gt;"",H10&lt;&gt;"No",I10&lt;&gt;"",OR('Hoy'!$B$3='Ajustes'!$D$5,F10='Hoy'!$B$3),OR(J10=TODAY()+3,AND(I10&lt;=7,J10&gt;=TODAY(),J10&lt;TODAY()+3,MOD(TODAY()+3-J10,I10)=0))),ROW(),""),"")</f>
        <v/>
      </c>
      <c r="S10" s="27">
        <f>IFERROR(IF(AND(A10&lt;&gt;"",H10&lt;&gt;"No",I10&lt;&gt;"",OR('Hoy'!$B$3='Ajustes'!$D$5,F10='Hoy'!$B$3),OR(J10=TODAY()+4,AND(I10&lt;=7,J10&gt;=TODAY(),J10&lt;TODAY()+4,MOD(TODAY()+4-J10,I10)=0))),ROW(),""),"")</f>
        <v/>
      </c>
      <c r="T10" s="27">
        <f>IFERROR(IF(AND(A10&lt;&gt;"",H10&lt;&gt;"No",I10&lt;&gt;"",OR('Hoy'!$B$3='Ajustes'!$D$5,F10='Hoy'!$B$3),OR(J10=TODAY()+5,AND(I10&lt;=7,J10&gt;=TODAY(),J10&lt;TODAY()+5,MOD(TODAY()+5-J10,I10)=0))),ROW(),""),"")</f>
        <v/>
      </c>
      <c r="U10" s="27">
        <f>IFERROR(IF(AND(A10&lt;&gt;"",H10&lt;&gt;"No",I10&lt;&gt;"",OR('Hoy'!$B$3='Ajustes'!$D$5,F10='Hoy'!$B$3),OR(J10=TODAY()+6,AND(I10&lt;=7,J10&gt;=TODAY(),J10&lt;TODAY()+6,MOD(TODAY()+6-J10,I10)=0))),ROW(),""),"")</f>
        <v/>
      </c>
    </row>
    <row r="11">
      <c r="A11" s="6" t="inlineStr">
        <is>
          <t>Limpiar la pileta y el desagüe</t>
        </is>
      </c>
      <c r="B11" s="6" t="inlineStr">
        <is>
          <t>Cocina</t>
        </is>
      </c>
      <c r="C11" s="28" t="n">
        <v>1</v>
      </c>
      <c r="D11" s="6" t="inlineStr">
        <is>
          <t>Semanas</t>
        </is>
      </c>
      <c r="E11" s="28" t="n">
        <v>5</v>
      </c>
      <c r="F11" s="6" t="n"/>
      <c r="G11" s="6" t="n"/>
      <c r="H11" s="29" t="inlineStr">
        <is>
          <t>Sí</t>
        </is>
      </c>
      <c r="I11" s="30">
        <f>IFERROR(IF(OR(A11="",C11=""),"",C11*INDEX('Ajustes'!$I$5:$I$8,MATCH(D11,'Ajustes'!$H$5:$H$8,0))),"")</f>
        <v/>
      </c>
      <c r="J11" s="31">
        <f>IFERROR(IF(I11="","",IF(G11="",IF('Ajustes'!$B$5="",TODAY(),'Ajustes'!$B$5)+MOD(ROW()*13,I11),IF(D11='Ajustes'!$H$7,EDATE(G11,C11),IF(D11='Ajustes'!$H$8,EDATE(G11,12*C11),G11+I11)))),"")</f>
        <v/>
      </c>
      <c r="K11" s="30">
        <f>IF(J11="","",J11-TODAY())</f>
        <v/>
      </c>
      <c r="L11" s="32">
        <f>IF(A11="","",IF(H11="No","Pausada",IF(K11="","",IF(K11&lt;0,"Atrasada",IF(K11=0,"Hoy",IF(K11&lt;=7,"Esta semana","Más adelante"))))))</f>
        <v/>
      </c>
      <c r="M11" s="27">
        <f>IFERROR(IF(AND(OR(L11="Atrasada",L11="Hoy",L11="Esta semana"),OR('Hoy'!$B$3='Ajustes'!$D$5,F11='Hoy'!$B$3)),K11+ROW()/100000,""),"")</f>
        <v/>
      </c>
      <c r="N11" s="27">
        <f>IF(OR(A11="",H11="No",I11=""),0,E11*7/I11)</f>
        <v/>
      </c>
      <c r="O11" s="27">
        <f>IFERROR(IF(AND(A11&lt;&gt;"",H11&lt;&gt;"No",I11&lt;&gt;"",OR('Hoy'!$B$3='Ajustes'!$D$5,F11='Hoy'!$B$3),J11&lt;=TODAY()),ROW(),""),"")</f>
        <v/>
      </c>
      <c r="P11" s="27">
        <f>IFERROR(IF(AND(A11&lt;&gt;"",H11&lt;&gt;"No",I11&lt;&gt;"",OR('Hoy'!$B$3='Ajustes'!$D$5,F11='Hoy'!$B$3),OR(J11=TODAY()+1,AND(I11&lt;=7,J11&gt;=TODAY(),J11&lt;TODAY()+1,MOD(TODAY()+1-J11,I11)=0))),ROW(),""),"")</f>
        <v/>
      </c>
      <c r="Q11" s="27">
        <f>IFERROR(IF(AND(A11&lt;&gt;"",H11&lt;&gt;"No",I11&lt;&gt;"",OR('Hoy'!$B$3='Ajustes'!$D$5,F11='Hoy'!$B$3),OR(J11=TODAY()+2,AND(I11&lt;=7,J11&gt;=TODAY(),J11&lt;TODAY()+2,MOD(TODAY()+2-J11,I11)=0))),ROW(),""),"")</f>
        <v/>
      </c>
      <c r="R11" s="27">
        <f>IFERROR(IF(AND(A11&lt;&gt;"",H11&lt;&gt;"No",I11&lt;&gt;"",OR('Hoy'!$B$3='Ajustes'!$D$5,F11='Hoy'!$B$3),OR(J11=TODAY()+3,AND(I11&lt;=7,J11&gt;=TODAY(),J11&lt;TODAY()+3,MOD(TODAY()+3-J11,I11)=0))),ROW(),""),"")</f>
        <v/>
      </c>
      <c r="S11" s="27">
        <f>IFERROR(IF(AND(A11&lt;&gt;"",H11&lt;&gt;"No",I11&lt;&gt;"",OR('Hoy'!$B$3='Ajustes'!$D$5,F11='Hoy'!$B$3),OR(J11=TODAY()+4,AND(I11&lt;=7,J11&gt;=TODAY(),J11&lt;TODAY()+4,MOD(TODAY()+4-J11,I11)=0))),ROW(),""),"")</f>
        <v/>
      </c>
      <c r="T11" s="27">
        <f>IFERROR(IF(AND(A11&lt;&gt;"",H11&lt;&gt;"No",I11&lt;&gt;"",OR('Hoy'!$B$3='Ajustes'!$D$5,F11='Hoy'!$B$3),OR(J11=TODAY()+5,AND(I11&lt;=7,J11&gt;=TODAY(),J11&lt;TODAY()+5,MOD(TODAY()+5-J11,I11)=0))),ROW(),""),"")</f>
        <v/>
      </c>
      <c r="U11" s="27">
        <f>IFERROR(IF(AND(A11&lt;&gt;"",H11&lt;&gt;"No",I11&lt;&gt;"",OR('Hoy'!$B$3='Ajustes'!$D$5,F11='Hoy'!$B$3),OR(J11=TODAY()+6,AND(I11&lt;=7,J11&gt;=TODAY(),J11&lt;TODAY()+6,MOD(TODAY()+6-J11,I11)=0))),ROW(),""),"")</f>
        <v/>
      </c>
    </row>
    <row r="12">
      <c r="A12" s="6" t="inlineStr">
        <is>
          <t>Limpiar estantes de la heladera y tirar lo vencido</t>
        </is>
      </c>
      <c r="B12" s="6" t="inlineStr">
        <is>
          <t>Cocina</t>
        </is>
      </c>
      <c r="C12" s="28" t="n">
        <v>1</v>
      </c>
      <c r="D12" s="6" t="inlineStr">
        <is>
          <t>Semanas</t>
        </is>
      </c>
      <c r="E12" s="28" t="n">
        <v>10</v>
      </c>
      <c r="F12" s="6" t="n"/>
      <c r="G12" s="6" t="n"/>
      <c r="H12" s="29" t="inlineStr">
        <is>
          <t>Sí</t>
        </is>
      </c>
      <c r="I12" s="30">
        <f>IFERROR(IF(OR(A12="",C12=""),"",C12*INDEX('Ajustes'!$I$5:$I$8,MATCH(D12,'Ajustes'!$H$5:$H$8,0))),"")</f>
        <v/>
      </c>
      <c r="J12" s="31">
        <f>IFERROR(IF(I12="","",IF(G12="",IF('Ajustes'!$B$5="",TODAY(),'Ajustes'!$B$5)+MOD(ROW()*13,I12),IF(D12='Ajustes'!$H$7,EDATE(G12,C12),IF(D12='Ajustes'!$H$8,EDATE(G12,12*C12),G12+I12)))),"")</f>
        <v/>
      </c>
      <c r="K12" s="30">
        <f>IF(J12="","",J12-TODAY())</f>
        <v/>
      </c>
      <c r="L12" s="32">
        <f>IF(A12="","",IF(H12="No","Pausada",IF(K12="","",IF(K12&lt;0,"Atrasada",IF(K12=0,"Hoy",IF(K12&lt;=7,"Esta semana","Más adelante"))))))</f>
        <v/>
      </c>
      <c r="M12" s="27">
        <f>IFERROR(IF(AND(OR(L12="Atrasada",L12="Hoy",L12="Esta semana"),OR('Hoy'!$B$3='Ajustes'!$D$5,F12='Hoy'!$B$3)),K12+ROW()/100000,""),"")</f>
        <v/>
      </c>
      <c r="N12" s="27">
        <f>IF(OR(A12="",H12="No",I12=""),0,E12*7/I12)</f>
        <v/>
      </c>
      <c r="O12" s="27">
        <f>IFERROR(IF(AND(A12&lt;&gt;"",H12&lt;&gt;"No",I12&lt;&gt;"",OR('Hoy'!$B$3='Ajustes'!$D$5,F12='Hoy'!$B$3),J12&lt;=TODAY()),ROW(),""),"")</f>
        <v/>
      </c>
      <c r="P12" s="27">
        <f>IFERROR(IF(AND(A12&lt;&gt;"",H12&lt;&gt;"No",I12&lt;&gt;"",OR('Hoy'!$B$3='Ajustes'!$D$5,F12='Hoy'!$B$3),OR(J12=TODAY()+1,AND(I12&lt;=7,J12&gt;=TODAY(),J12&lt;TODAY()+1,MOD(TODAY()+1-J12,I12)=0))),ROW(),""),"")</f>
        <v/>
      </c>
      <c r="Q12" s="27">
        <f>IFERROR(IF(AND(A12&lt;&gt;"",H12&lt;&gt;"No",I12&lt;&gt;"",OR('Hoy'!$B$3='Ajustes'!$D$5,F12='Hoy'!$B$3),OR(J12=TODAY()+2,AND(I12&lt;=7,J12&gt;=TODAY(),J12&lt;TODAY()+2,MOD(TODAY()+2-J12,I12)=0))),ROW(),""),"")</f>
        <v/>
      </c>
      <c r="R12" s="27">
        <f>IFERROR(IF(AND(A12&lt;&gt;"",H12&lt;&gt;"No",I12&lt;&gt;"",OR('Hoy'!$B$3='Ajustes'!$D$5,F12='Hoy'!$B$3),OR(J12=TODAY()+3,AND(I12&lt;=7,J12&gt;=TODAY(),J12&lt;TODAY()+3,MOD(TODAY()+3-J12,I12)=0))),ROW(),""),"")</f>
        <v/>
      </c>
      <c r="S12" s="27">
        <f>IFERROR(IF(AND(A12&lt;&gt;"",H12&lt;&gt;"No",I12&lt;&gt;"",OR('Hoy'!$B$3='Ajustes'!$D$5,F12='Hoy'!$B$3),OR(J12=TODAY()+4,AND(I12&lt;=7,J12&gt;=TODAY(),J12&lt;TODAY()+4,MOD(TODAY()+4-J12,I12)=0))),ROW(),""),"")</f>
        <v/>
      </c>
      <c r="T12" s="27">
        <f>IFERROR(IF(AND(A12&lt;&gt;"",H12&lt;&gt;"No",I12&lt;&gt;"",OR('Hoy'!$B$3='Ajustes'!$D$5,F12='Hoy'!$B$3),OR(J12=TODAY()+5,AND(I12&lt;=7,J12&gt;=TODAY(),J12&lt;TODAY()+5,MOD(TODAY()+5-J12,I12)=0))),ROW(),""),"")</f>
        <v/>
      </c>
      <c r="U12" s="27">
        <f>IFERROR(IF(AND(A12&lt;&gt;"",H12&lt;&gt;"No",I12&lt;&gt;"",OR('Hoy'!$B$3='Ajustes'!$D$5,F12='Hoy'!$B$3),OR(J12=TODAY()+6,AND(I12&lt;=7,J12&gt;=TODAY(),J12&lt;TODAY()+6,MOD(TODAY()+6-J12,I12)=0))),ROW(),""),"")</f>
        <v/>
      </c>
    </row>
    <row r="13">
      <c r="A13" s="6" t="inlineStr">
        <is>
          <t>Limpiar el microondas por dentro</t>
        </is>
      </c>
      <c r="B13" s="6" t="inlineStr">
        <is>
          <t>Cocina</t>
        </is>
      </c>
      <c r="C13" s="28" t="n">
        <v>2</v>
      </c>
      <c r="D13" s="6" t="inlineStr">
        <is>
          <t>Semanas</t>
        </is>
      </c>
      <c r="E13" s="28" t="n">
        <v>5</v>
      </c>
      <c r="F13" s="6" t="n"/>
      <c r="G13" s="6" t="n"/>
      <c r="H13" s="29" t="inlineStr">
        <is>
          <t>Sí</t>
        </is>
      </c>
      <c r="I13" s="30">
        <f>IFERROR(IF(OR(A13="",C13=""),"",C13*INDEX('Ajustes'!$I$5:$I$8,MATCH(D13,'Ajustes'!$H$5:$H$8,0))),"")</f>
        <v/>
      </c>
      <c r="J13" s="31">
        <f>IFERROR(IF(I13="","",IF(G13="",IF('Ajustes'!$B$5="",TODAY(),'Ajustes'!$B$5)+MOD(ROW()*13,I13),IF(D13='Ajustes'!$H$7,EDATE(G13,C13),IF(D13='Ajustes'!$H$8,EDATE(G13,12*C13),G13+I13)))),"")</f>
        <v/>
      </c>
      <c r="K13" s="30">
        <f>IF(J13="","",J13-TODAY())</f>
        <v/>
      </c>
      <c r="L13" s="32">
        <f>IF(A13="","",IF(H13="No","Pausada",IF(K13="","",IF(K13&lt;0,"Atrasada",IF(K13=0,"Hoy",IF(K13&lt;=7,"Esta semana","Más adelante"))))))</f>
        <v/>
      </c>
      <c r="M13" s="27">
        <f>IFERROR(IF(AND(OR(L13="Atrasada",L13="Hoy",L13="Esta semana"),OR('Hoy'!$B$3='Ajustes'!$D$5,F13='Hoy'!$B$3)),K13+ROW()/100000,""),"")</f>
        <v/>
      </c>
      <c r="N13" s="27">
        <f>IF(OR(A13="",H13="No",I13=""),0,E13*7/I13)</f>
        <v/>
      </c>
      <c r="O13" s="27">
        <f>IFERROR(IF(AND(A13&lt;&gt;"",H13&lt;&gt;"No",I13&lt;&gt;"",OR('Hoy'!$B$3='Ajustes'!$D$5,F13='Hoy'!$B$3),J13&lt;=TODAY()),ROW(),""),"")</f>
        <v/>
      </c>
      <c r="P13" s="27">
        <f>IFERROR(IF(AND(A13&lt;&gt;"",H13&lt;&gt;"No",I13&lt;&gt;"",OR('Hoy'!$B$3='Ajustes'!$D$5,F13='Hoy'!$B$3),OR(J13=TODAY()+1,AND(I13&lt;=7,J13&gt;=TODAY(),J13&lt;TODAY()+1,MOD(TODAY()+1-J13,I13)=0))),ROW(),""),"")</f>
        <v/>
      </c>
      <c r="Q13" s="27">
        <f>IFERROR(IF(AND(A13&lt;&gt;"",H13&lt;&gt;"No",I13&lt;&gt;"",OR('Hoy'!$B$3='Ajustes'!$D$5,F13='Hoy'!$B$3),OR(J13=TODAY()+2,AND(I13&lt;=7,J13&gt;=TODAY(),J13&lt;TODAY()+2,MOD(TODAY()+2-J13,I13)=0))),ROW(),""),"")</f>
        <v/>
      </c>
      <c r="R13" s="27">
        <f>IFERROR(IF(AND(A13&lt;&gt;"",H13&lt;&gt;"No",I13&lt;&gt;"",OR('Hoy'!$B$3='Ajustes'!$D$5,F13='Hoy'!$B$3),OR(J13=TODAY()+3,AND(I13&lt;=7,J13&gt;=TODAY(),J13&lt;TODAY()+3,MOD(TODAY()+3-J13,I13)=0))),ROW(),""),"")</f>
        <v/>
      </c>
      <c r="S13" s="27">
        <f>IFERROR(IF(AND(A13&lt;&gt;"",H13&lt;&gt;"No",I13&lt;&gt;"",OR('Hoy'!$B$3='Ajustes'!$D$5,F13='Hoy'!$B$3),OR(J13=TODAY()+4,AND(I13&lt;=7,J13&gt;=TODAY(),J13&lt;TODAY()+4,MOD(TODAY()+4-J13,I13)=0))),ROW(),""),"")</f>
        <v/>
      </c>
      <c r="T13" s="27">
        <f>IFERROR(IF(AND(A13&lt;&gt;"",H13&lt;&gt;"No",I13&lt;&gt;"",OR('Hoy'!$B$3='Ajustes'!$D$5,F13='Hoy'!$B$3),OR(J13=TODAY()+5,AND(I13&lt;=7,J13&gt;=TODAY(),J13&lt;TODAY()+5,MOD(TODAY()+5-J13,I13)=0))),ROW(),""),"")</f>
        <v/>
      </c>
      <c r="U13" s="27">
        <f>IFERROR(IF(AND(A13&lt;&gt;"",H13&lt;&gt;"No",I13&lt;&gt;"",OR('Hoy'!$B$3='Ajustes'!$D$5,F13='Hoy'!$B$3),OR(J13=TODAY()+6,AND(I13&lt;=7,J13&gt;=TODAY(),J13&lt;TODAY()+6,MOD(TODAY()+6-J13,I13)=0))),ROW(),""),"")</f>
        <v/>
      </c>
    </row>
    <row r="14">
      <c r="A14" s="6" t="inlineStr">
        <is>
          <t>Cambiar la esponja de los platos</t>
        </is>
      </c>
      <c r="B14" s="6" t="inlineStr">
        <is>
          <t>Cocina</t>
        </is>
      </c>
      <c r="C14" s="28" t="n">
        <v>2</v>
      </c>
      <c r="D14" s="6" t="inlineStr">
        <is>
          <t>Semanas</t>
        </is>
      </c>
      <c r="E14" s="28" t="n">
        <v>1</v>
      </c>
      <c r="F14" s="6" t="n"/>
      <c r="G14" s="6" t="n"/>
      <c r="H14" s="29" t="inlineStr">
        <is>
          <t>Sí</t>
        </is>
      </c>
      <c r="I14" s="30">
        <f>IFERROR(IF(OR(A14="",C14=""),"",C14*INDEX('Ajustes'!$I$5:$I$8,MATCH(D14,'Ajustes'!$H$5:$H$8,0))),"")</f>
        <v/>
      </c>
      <c r="J14" s="31">
        <f>IFERROR(IF(I14="","",IF(G14="",IF('Ajustes'!$B$5="",TODAY(),'Ajustes'!$B$5)+MOD(ROW()*13,I14),IF(D14='Ajustes'!$H$7,EDATE(G14,C14),IF(D14='Ajustes'!$H$8,EDATE(G14,12*C14),G14+I14)))),"")</f>
        <v/>
      </c>
      <c r="K14" s="30">
        <f>IF(J14="","",J14-TODAY())</f>
        <v/>
      </c>
      <c r="L14" s="32">
        <f>IF(A14="","",IF(H14="No","Pausada",IF(K14="","",IF(K14&lt;0,"Atrasada",IF(K14=0,"Hoy",IF(K14&lt;=7,"Esta semana","Más adelante"))))))</f>
        <v/>
      </c>
      <c r="M14" s="27">
        <f>IFERROR(IF(AND(OR(L14="Atrasada",L14="Hoy",L14="Esta semana"),OR('Hoy'!$B$3='Ajustes'!$D$5,F14='Hoy'!$B$3)),K14+ROW()/100000,""),"")</f>
        <v/>
      </c>
      <c r="N14" s="27">
        <f>IF(OR(A14="",H14="No",I14=""),0,E14*7/I14)</f>
        <v/>
      </c>
      <c r="O14" s="27">
        <f>IFERROR(IF(AND(A14&lt;&gt;"",H14&lt;&gt;"No",I14&lt;&gt;"",OR('Hoy'!$B$3='Ajustes'!$D$5,F14='Hoy'!$B$3),J14&lt;=TODAY()),ROW(),""),"")</f>
        <v/>
      </c>
      <c r="P14" s="27">
        <f>IFERROR(IF(AND(A14&lt;&gt;"",H14&lt;&gt;"No",I14&lt;&gt;"",OR('Hoy'!$B$3='Ajustes'!$D$5,F14='Hoy'!$B$3),OR(J14=TODAY()+1,AND(I14&lt;=7,J14&gt;=TODAY(),J14&lt;TODAY()+1,MOD(TODAY()+1-J14,I14)=0))),ROW(),""),"")</f>
        <v/>
      </c>
      <c r="Q14" s="27">
        <f>IFERROR(IF(AND(A14&lt;&gt;"",H14&lt;&gt;"No",I14&lt;&gt;"",OR('Hoy'!$B$3='Ajustes'!$D$5,F14='Hoy'!$B$3),OR(J14=TODAY()+2,AND(I14&lt;=7,J14&gt;=TODAY(),J14&lt;TODAY()+2,MOD(TODAY()+2-J14,I14)=0))),ROW(),""),"")</f>
        <v/>
      </c>
      <c r="R14" s="27">
        <f>IFERROR(IF(AND(A14&lt;&gt;"",H14&lt;&gt;"No",I14&lt;&gt;"",OR('Hoy'!$B$3='Ajustes'!$D$5,F14='Hoy'!$B$3),OR(J14=TODAY()+3,AND(I14&lt;=7,J14&gt;=TODAY(),J14&lt;TODAY()+3,MOD(TODAY()+3-J14,I14)=0))),ROW(),""),"")</f>
        <v/>
      </c>
      <c r="S14" s="27">
        <f>IFERROR(IF(AND(A14&lt;&gt;"",H14&lt;&gt;"No",I14&lt;&gt;"",OR('Hoy'!$B$3='Ajustes'!$D$5,F14='Hoy'!$B$3),OR(J14=TODAY()+4,AND(I14&lt;=7,J14&gt;=TODAY(),J14&lt;TODAY()+4,MOD(TODAY()+4-J14,I14)=0))),ROW(),""),"")</f>
        <v/>
      </c>
      <c r="T14" s="27">
        <f>IFERROR(IF(AND(A14&lt;&gt;"",H14&lt;&gt;"No",I14&lt;&gt;"",OR('Hoy'!$B$3='Ajustes'!$D$5,F14='Hoy'!$B$3),OR(J14=TODAY()+5,AND(I14&lt;=7,J14&gt;=TODAY(),J14&lt;TODAY()+5,MOD(TODAY()+5-J14,I14)=0))),ROW(),""),"")</f>
        <v/>
      </c>
      <c r="U14" s="27">
        <f>IFERROR(IF(AND(A14&lt;&gt;"",H14&lt;&gt;"No",I14&lt;&gt;"",OR('Hoy'!$B$3='Ajustes'!$D$5,F14='Hoy'!$B$3),OR(J14=TODAY()+6,AND(I14&lt;=7,J14&gt;=TODAY(),J14&lt;TODAY()+6,MOD(TODAY()+6-J14,I14)=0))),ROW(),""),"")</f>
        <v/>
      </c>
    </row>
    <row r="15">
      <c r="A15" s="6" t="inlineStr">
        <is>
          <t>Descalcificar pava / cafetera</t>
        </is>
      </c>
      <c r="B15" s="6" t="inlineStr">
        <is>
          <t>Cocina</t>
        </is>
      </c>
      <c r="C15" s="28" t="n">
        <v>1</v>
      </c>
      <c r="D15" s="6" t="inlineStr">
        <is>
          <t>Meses</t>
        </is>
      </c>
      <c r="E15" s="28" t="n">
        <v>10</v>
      </c>
      <c r="F15" s="6" t="n"/>
      <c r="G15" s="6" t="n"/>
      <c r="H15" s="29" t="inlineStr">
        <is>
          <t>Sí</t>
        </is>
      </c>
      <c r="I15" s="30">
        <f>IFERROR(IF(OR(A15="",C15=""),"",C15*INDEX('Ajustes'!$I$5:$I$8,MATCH(D15,'Ajustes'!$H$5:$H$8,0))),"")</f>
        <v/>
      </c>
      <c r="J15" s="31">
        <f>IFERROR(IF(I15="","",IF(G15="",IF('Ajustes'!$B$5="",TODAY(),'Ajustes'!$B$5)+MOD(ROW()*13,I15),IF(D15='Ajustes'!$H$7,EDATE(G15,C15),IF(D15='Ajustes'!$H$8,EDATE(G15,12*C15),G15+I15)))),"")</f>
        <v/>
      </c>
      <c r="K15" s="30">
        <f>IF(J15="","",J15-TODAY())</f>
        <v/>
      </c>
      <c r="L15" s="32">
        <f>IF(A15="","",IF(H15="No","Pausada",IF(K15="","",IF(K15&lt;0,"Atrasada",IF(K15=0,"Hoy",IF(K15&lt;=7,"Esta semana","Más adelante"))))))</f>
        <v/>
      </c>
      <c r="M15" s="27">
        <f>IFERROR(IF(AND(OR(L15="Atrasada",L15="Hoy",L15="Esta semana"),OR('Hoy'!$B$3='Ajustes'!$D$5,F15='Hoy'!$B$3)),K15+ROW()/100000,""),"")</f>
        <v/>
      </c>
      <c r="N15" s="27">
        <f>IF(OR(A15="",H15="No",I15=""),0,E15*7/I15)</f>
        <v/>
      </c>
      <c r="O15" s="27">
        <f>IFERROR(IF(AND(A15&lt;&gt;"",H15&lt;&gt;"No",I15&lt;&gt;"",OR('Hoy'!$B$3='Ajustes'!$D$5,F15='Hoy'!$B$3),J15&lt;=TODAY()),ROW(),""),"")</f>
        <v/>
      </c>
      <c r="P15" s="27">
        <f>IFERROR(IF(AND(A15&lt;&gt;"",H15&lt;&gt;"No",I15&lt;&gt;"",OR('Hoy'!$B$3='Ajustes'!$D$5,F15='Hoy'!$B$3),OR(J15=TODAY()+1,AND(I15&lt;=7,J15&gt;=TODAY(),J15&lt;TODAY()+1,MOD(TODAY()+1-J15,I15)=0))),ROW(),""),"")</f>
        <v/>
      </c>
      <c r="Q15" s="27">
        <f>IFERROR(IF(AND(A15&lt;&gt;"",H15&lt;&gt;"No",I15&lt;&gt;"",OR('Hoy'!$B$3='Ajustes'!$D$5,F15='Hoy'!$B$3),OR(J15=TODAY()+2,AND(I15&lt;=7,J15&gt;=TODAY(),J15&lt;TODAY()+2,MOD(TODAY()+2-J15,I15)=0))),ROW(),""),"")</f>
        <v/>
      </c>
      <c r="R15" s="27">
        <f>IFERROR(IF(AND(A15&lt;&gt;"",H15&lt;&gt;"No",I15&lt;&gt;"",OR('Hoy'!$B$3='Ajustes'!$D$5,F15='Hoy'!$B$3),OR(J15=TODAY()+3,AND(I15&lt;=7,J15&gt;=TODAY(),J15&lt;TODAY()+3,MOD(TODAY()+3-J15,I15)=0))),ROW(),""),"")</f>
        <v/>
      </c>
      <c r="S15" s="27">
        <f>IFERROR(IF(AND(A15&lt;&gt;"",H15&lt;&gt;"No",I15&lt;&gt;"",OR('Hoy'!$B$3='Ajustes'!$D$5,F15='Hoy'!$B$3),OR(J15=TODAY()+4,AND(I15&lt;=7,J15&gt;=TODAY(),J15&lt;TODAY()+4,MOD(TODAY()+4-J15,I15)=0))),ROW(),""),"")</f>
        <v/>
      </c>
      <c r="T15" s="27">
        <f>IFERROR(IF(AND(A15&lt;&gt;"",H15&lt;&gt;"No",I15&lt;&gt;"",OR('Hoy'!$B$3='Ajustes'!$D$5,F15='Hoy'!$B$3),OR(J15=TODAY()+5,AND(I15&lt;=7,J15&gt;=TODAY(),J15&lt;TODAY()+5,MOD(TODAY()+5-J15,I15)=0))),ROW(),""),"")</f>
        <v/>
      </c>
      <c r="U15" s="27">
        <f>IFERROR(IF(AND(A15&lt;&gt;"",H15&lt;&gt;"No",I15&lt;&gt;"",OR('Hoy'!$B$3='Ajustes'!$D$5,F15='Hoy'!$B$3),OR(J15=TODAY()+6,AND(I15&lt;=7,J15&gt;=TODAY(),J15&lt;TODAY()+6,MOD(TODAY()+6-J15,I15)=0))),ROW(),""),"")</f>
        <v/>
      </c>
    </row>
    <row r="16">
      <c r="A16" s="6" t="inlineStr">
        <is>
          <t>Limpiar frentes y manijas de alacenas</t>
        </is>
      </c>
      <c r="B16" s="6" t="inlineStr">
        <is>
          <t>Cocina</t>
        </is>
      </c>
      <c r="C16" s="28" t="n">
        <v>1</v>
      </c>
      <c r="D16" s="6" t="inlineStr">
        <is>
          <t>Meses</t>
        </is>
      </c>
      <c r="E16" s="28" t="n">
        <v>15</v>
      </c>
      <c r="F16" s="6" t="n"/>
      <c r="G16" s="6" t="n"/>
      <c r="H16" s="29" t="inlineStr">
        <is>
          <t>Sí</t>
        </is>
      </c>
      <c r="I16" s="30">
        <f>IFERROR(IF(OR(A16="",C16=""),"",C16*INDEX('Ajustes'!$I$5:$I$8,MATCH(D16,'Ajustes'!$H$5:$H$8,0))),"")</f>
        <v/>
      </c>
      <c r="J16" s="31">
        <f>IFERROR(IF(I16="","",IF(G16="",IF('Ajustes'!$B$5="",TODAY(),'Ajustes'!$B$5)+MOD(ROW()*13,I16),IF(D16='Ajustes'!$H$7,EDATE(G16,C16),IF(D16='Ajustes'!$H$8,EDATE(G16,12*C16),G16+I16)))),"")</f>
        <v/>
      </c>
      <c r="K16" s="30">
        <f>IF(J16="","",J16-TODAY())</f>
        <v/>
      </c>
      <c r="L16" s="32">
        <f>IF(A16="","",IF(H16="No","Pausada",IF(K16="","",IF(K16&lt;0,"Atrasada",IF(K16=0,"Hoy",IF(K16&lt;=7,"Esta semana","Más adelante"))))))</f>
        <v/>
      </c>
      <c r="M16" s="27">
        <f>IFERROR(IF(AND(OR(L16="Atrasada",L16="Hoy",L16="Esta semana"),OR('Hoy'!$B$3='Ajustes'!$D$5,F16='Hoy'!$B$3)),K16+ROW()/100000,""),"")</f>
        <v/>
      </c>
      <c r="N16" s="27">
        <f>IF(OR(A16="",H16="No",I16=""),0,E16*7/I16)</f>
        <v/>
      </c>
      <c r="O16" s="27">
        <f>IFERROR(IF(AND(A16&lt;&gt;"",H16&lt;&gt;"No",I16&lt;&gt;"",OR('Hoy'!$B$3='Ajustes'!$D$5,F16='Hoy'!$B$3),J16&lt;=TODAY()),ROW(),""),"")</f>
        <v/>
      </c>
      <c r="P16" s="27">
        <f>IFERROR(IF(AND(A16&lt;&gt;"",H16&lt;&gt;"No",I16&lt;&gt;"",OR('Hoy'!$B$3='Ajustes'!$D$5,F16='Hoy'!$B$3),OR(J16=TODAY()+1,AND(I16&lt;=7,J16&gt;=TODAY(),J16&lt;TODAY()+1,MOD(TODAY()+1-J16,I16)=0))),ROW(),""),"")</f>
        <v/>
      </c>
      <c r="Q16" s="27">
        <f>IFERROR(IF(AND(A16&lt;&gt;"",H16&lt;&gt;"No",I16&lt;&gt;"",OR('Hoy'!$B$3='Ajustes'!$D$5,F16='Hoy'!$B$3),OR(J16=TODAY()+2,AND(I16&lt;=7,J16&gt;=TODAY(),J16&lt;TODAY()+2,MOD(TODAY()+2-J16,I16)=0))),ROW(),""),"")</f>
        <v/>
      </c>
      <c r="R16" s="27">
        <f>IFERROR(IF(AND(A16&lt;&gt;"",H16&lt;&gt;"No",I16&lt;&gt;"",OR('Hoy'!$B$3='Ajustes'!$D$5,F16='Hoy'!$B$3),OR(J16=TODAY()+3,AND(I16&lt;=7,J16&gt;=TODAY(),J16&lt;TODAY()+3,MOD(TODAY()+3-J16,I16)=0))),ROW(),""),"")</f>
        <v/>
      </c>
      <c r="S16" s="27">
        <f>IFERROR(IF(AND(A16&lt;&gt;"",H16&lt;&gt;"No",I16&lt;&gt;"",OR('Hoy'!$B$3='Ajustes'!$D$5,F16='Hoy'!$B$3),OR(J16=TODAY()+4,AND(I16&lt;=7,J16&gt;=TODAY(),J16&lt;TODAY()+4,MOD(TODAY()+4-J16,I16)=0))),ROW(),""),"")</f>
        <v/>
      </c>
      <c r="T16" s="27">
        <f>IFERROR(IF(AND(A16&lt;&gt;"",H16&lt;&gt;"No",I16&lt;&gt;"",OR('Hoy'!$B$3='Ajustes'!$D$5,F16='Hoy'!$B$3),OR(J16=TODAY()+5,AND(I16&lt;=7,J16&gt;=TODAY(),J16&lt;TODAY()+5,MOD(TODAY()+5-J16,I16)=0))),ROW(),""),"")</f>
        <v/>
      </c>
      <c r="U16" s="27">
        <f>IFERROR(IF(AND(A16&lt;&gt;"",H16&lt;&gt;"No",I16&lt;&gt;"",OR('Hoy'!$B$3='Ajustes'!$D$5,F16='Hoy'!$B$3),OR(J16=TODAY()+6,AND(I16&lt;=7,J16&gt;=TODAY(),J16&lt;TODAY()+6,MOD(TODAY()+6-J16,I16)=0))),ROW(),""),"")</f>
        <v/>
      </c>
    </row>
    <row r="17">
      <c r="A17" s="6" t="inlineStr">
        <is>
          <t>Limpieza profunda de la heladera</t>
        </is>
      </c>
      <c r="B17" s="6" t="inlineStr">
        <is>
          <t>Cocina</t>
        </is>
      </c>
      <c r="C17" s="28" t="n">
        <v>3</v>
      </c>
      <c r="D17" s="6" t="inlineStr">
        <is>
          <t>Meses</t>
        </is>
      </c>
      <c r="E17" s="28" t="n">
        <v>30</v>
      </c>
      <c r="F17" s="6" t="n"/>
      <c r="G17" s="6" t="n"/>
      <c r="H17" s="29" t="inlineStr">
        <is>
          <t>Sí</t>
        </is>
      </c>
      <c r="I17" s="30">
        <f>IFERROR(IF(OR(A17="",C17=""),"",C17*INDEX('Ajustes'!$I$5:$I$8,MATCH(D17,'Ajustes'!$H$5:$H$8,0))),"")</f>
        <v/>
      </c>
      <c r="J17" s="31">
        <f>IFERROR(IF(I17="","",IF(G17="",IF('Ajustes'!$B$5="",TODAY(),'Ajustes'!$B$5)+MOD(ROW()*13,I17),IF(D17='Ajustes'!$H$7,EDATE(G17,C17),IF(D17='Ajustes'!$H$8,EDATE(G17,12*C17),G17+I17)))),"")</f>
        <v/>
      </c>
      <c r="K17" s="30">
        <f>IF(J17="","",J17-TODAY())</f>
        <v/>
      </c>
      <c r="L17" s="32">
        <f>IF(A17="","",IF(H17="No","Pausada",IF(K17="","",IF(K17&lt;0,"Atrasada",IF(K17=0,"Hoy",IF(K17&lt;=7,"Esta semana","Más adelante"))))))</f>
        <v/>
      </c>
      <c r="M17" s="27">
        <f>IFERROR(IF(AND(OR(L17="Atrasada",L17="Hoy",L17="Esta semana"),OR('Hoy'!$B$3='Ajustes'!$D$5,F17='Hoy'!$B$3)),K17+ROW()/100000,""),"")</f>
        <v/>
      </c>
      <c r="N17" s="27">
        <f>IF(OR(A17="",H17="No",I17=""),0,E17*7/I17)</f>
        <v/>
      </c>
      <c r="O17" s="27">
        <f>IFERROR(IF(AND(A17&lt;&gt;"",H17&lt;&gt;"No",I17&lt;&gt;"",OR('Hoy'!$B$3='Ajustes'!$D$5,F17='Hoy'!$B$3),J17&lt;=TODAY()),ROW(),""),"")</f>
        <v/>
      </c>
      <c r="P17" s="27">
        <f>IFERROR(IF(AND(A17&lt;&gt;"",H17&lt;&gt;"No",I17&lt;&gt;"",OR('Hoy'!$B$3='Ajustes'!$D$5,F17='Hoy'!$B$3),OR(J17=TODAY()+1,AND(I17&lt;=7,J17&gt;=TODAY(),J17&lt;TODAY()+1,MOD(TODAY()+1-J17,I17)=0))),ROW(),""),"")</f>
        <v/>
      </c>
      <c r="Q17" s="27">
        <f>IFERROR(IF(AND(A17&lt;&gt;"",H17&lt;&gt;"No",I17&lt;&gt;"",OR('Hoy'!$B$3='Ajustes'!$D$5,F17='Hoy'!$B$3),OR(J17=TODAY()+2,AND(I17&lt;=7,J17&gt;=TODAY(),J17&lt;TODAY()+2,MOD(TODAY()+2-J17,I17)=0))),ROW(),""),"")</f>
        <v/>
      </c>
      <c r="R17" s="27">
        <f>IFERROR(IF(AND(A17&lt;&gt;"",H17&lt;&gt;"No",I17&lt;&gt;"",OR('Hoy'!$B$3='Ajustes'!$D$5,F17='Hoy'!$B$3),OR(J17=TODAY()+3,AND(I17&lt;=7,J17&gt;=TODAY(),J17&lt;TODAY()+3,MOD(TODAY()+3-J17,I17)=0))),ROW(),""),"")</f>
        <v/>
      </c>
      <c r="S17" s="27">
        <f>IFERROR(IF(AND(A17&lt;&gt;"",H17&lt;&gt;"No",I17&lt;&gt;"",OR('Hoy'!$B$3='Ajustes'!$D$5,F17='Hoy'!$B$3),OR(J17=TODAY()+4,AND(I17&lt;=7,J17&gt;=TODAY(),J17&lt;TODAY()+4,MOD(TODAY()+4-J17,I17)=0))),ROW(),""),"")</f>
        <v/>
      </c>
      <c r="T17" s="27">
        <f>IFERROR(IF(AND(A17&lt;&gt;"",H17&lt;&gt;"No",I17&lt;&gt;"",OR('Hoy'!$B$3='Ajustes'!$D$5,F17='Hoy'!$B$3),OR(J17=TODAY()+5,AND(I17&lt;=7,J17&gt;=TODAY(),J17&lt;TODAY()+5,MOD(TODAY()+5-J17,I17)=0))),ROW(),""),"")</f>
        <v/>
      </c>
      <c r="U17" s="27">
        <f>IFERROR(IF(AND(A17&lt;&gt;"",H17&lt;&gt;"No",I17&lt;&gt;"",OR('Hoy'!$B$3='Ajustes'!$D$5,F17='Hoy'!$B$3),OR(J17=TODAY()+6,AND(I17&lt;=7,J17&gt;=TODAY(),J17&lt;TODAY()+6,MOD(TODAY()+6-J17,I17)=0))),ROW(),""),"")</f>
        <v/>
      </c>
    </row>
    <row r="18">
      <c r="A18" s="6" t="inlineStr">
        <is>
          <t>Limpiar el horno</t>
        </is>
      </c>
      <c r="B18" s="6" t="inlineStr">
        <is>
          <t>Cocina</t>
        </is>
      </c>
      <c r="C18" s="28" t="n">
        <v>3</v>
      </c>
      <c r="D18" s="6" t="inlineStr">
        <is>
          <t>Meses</t>
        </is>
      </c>
      <c r="E18" s="28" t="n">
        <v>30</v>
      </c>
      <c r="F18" s="6" t="n"/>
      <c r="G18" s="6" t="n"/>
      <c r="H18" s="29" t="inlineStr">
        <is>
          <t>Sí</t>
        </is>
      </c>
      <c r="I18" s="30">
        <f>IFERROR(IF(OR(A18="",C18=""),"",C18*INDEX('Ajustes'!$I$5:$I$8,MATCH(D18,'Ajustes'!$H$5:$H$8,0))),"")</f>
        <v/>
      </c>
      <c r="J18" s="31">
        <f>IFERROR(IF(I18="","",IF(G18="",IF('Ajustes'!$B$5="",TODAY(),'Ajustes'!$B$5)+MOD(ROW()*13,I18),IF(D18='Ajustes'!$H$7,EDATE(G18,C18),IF(D18='Ajustes'!$H$8,EDATE(G18,12*C18),G18+I18)))),"")</f>
        <v/>
      </c>
      <c r="K18" s="30">
        <f>IF(J18="","",J18-TODAY())</f>
        <v/>
      </c>
      <c r="L18" s="32">
        <f>IF(A18="","",IF(H18="No","Pausada",IF(K18="","",IF(K18&lt;0,"Atrasada",IF(K18=0,"Hoy",IF(K18&lt;=7,"Esta semana","Más adelante"))))))</f>
        <v/>
      </c>
      <c r="M18" s="27">
        <f>IFERROR(IF(AND(OR(L18="Atrasada",L18="Hoy",L18="Esta semana"),OR('Hoy'!$B$3='Ajustes'!$D$5,F18='Hoy'!$B$3)),K18+ROW()/100000,""),"")</f>
        <v/>
      </c>
      <c r="N18" s="27">
        <f>IF(OR(A18="",H18="No",I18=""),0,E18*7/I18)</f>
        <v/>
      </c>
      <c r="O18" s="27">
        <f>IFERROR(IF(AND(A18&lt;&gt;"",H18&lt;&gt;"No",I18&lt;&gt;"",OR('Hoy'!$B$3='Ajustes'!$D$5,F18='Hoy'!$B$3),J18&lt;=TODAY()),ROW(),""),"")</f>
        <v/>
      </c>
      <c r="P18" s="27">
        <f>IFERROR(IF(AND(A18&lt;&gt;"",H18&lt;&gt;"No",I18&lt;&gt;"",OR('Hoy'!$B$3='Ajustes'!$D$5,F18='Hoy'!$B$3),OR(J18=TODAY()+1,AND(I18&lt;=7,J18&gt;=TODAY(),J18&lt;TODAY()+1,MOD(TODAY()+1-J18,I18)=0))),ROW(),""),"")</f>
        <v/>
      </c>
      <c r="Q18" s="27">
        <f>IFERROR(IF(AND(A18&lt;&gt;"",H18&lt;&gt;"No",I18&lt;&gt;"",OR('Hoy'!$B$3='Ajustes'!$D$5,F18='Hoy'!$B$3),OR(J18=TODAY()+2,AND(I18&lt;=7,J18&gt;=TODAY(),J18&lt;TODAY()+2,MOD(TODAY()+2-J18,I18)=0))),ROW(),""),"")</f>
        <v/>
      </c>
      <c r="R18" s="27">
        <f>IFERROR(IF(AND(A18&lt;&gt;"",H18&lt;&gt;"No",I18&lt;&gt;"",OR('Hoy'!$B$3='Ajustes'!$D$5,F18='Hoy'!$B$3),OR(J18=TODAY()+3,AND(I18&lt;=7,J18&gt;=TODAY(),J18&lt;TODAY()+3,MOD(TODAY()+3-J18,I18)=0))),ROW(),""),"")</f>
        <v/>
      </c>
      <c r="S18" s="27">
        <f>IFERROR(IF(AND(A18&lt;&gt;"",H18&lt;&gt;"No",I18&lt;&gt;"",OR('Hoy'!$B$3='Ajustes'!$D$5,F18='Hoy'!$B$3),OR(J18=TODAY()+4,AND(I18&lt;=7,J18&gt;=TODAY(),J18&lt;TODAY()+4,MOD(TODAY()+4-J18,I18)=0))),ROW(),""),"")</f>
        <v/>
      </c>
      <c r="T18" s="27">
        <f>IFERROR(IF(AND(A18&lt;&gt;"",H18&lt;&gt;"No",I18&lt;&gt;"",OR('Hoy'!$B$3='Ajustes'!$D$5,F18='Hoy'!$B$3),OR(J18=TODAY()+5,AND(I18&lt;=7,J18&gt;=TODAY(),J18&lt;TODAY()+5,MOD(TODAY()+5-J18,I18)=0))),ROW(),""),"")</f>
        <v/>
      </c>
      <c r="U18" s="27">
        <f>IFERROR(IF(AND(A18&lt;&gt;"",H18&lt;&gt;"No",I18&lt;&gt;"",OR('Hoy'!$B$3='Ajustes'!$D$5,F18='Hoy'!$B$3),OR(J18=TODAY()+6,AND(I18&lt;=7,J18&gt;=TODAY(),J18&lt;TODAY()+6,MOD(TODAY()+6-J18,I18)=0))),ROW(),""),"")</f>
        <v/>
      </c>
    </row>
    <row r="19">
      <c r="A19" s="6" t="inlineStr">
        <is>
          <t>Descongelar el freezer</t>
        </is>
      </c>
      <c r="B19" s="6" t="inlineStr">
        <is>
          <t>Cocina</t>
        </is>
      </c>
      <c r="C19" s="28" t="n">
        <v>6</v>
      </c>
      <c r="D19" s="6" t="inlineStr">
        <is>
          <t>Meses</t>
        </is>
      </c>
      <c r="E19" s="28" t="n">
        <v>45</v>
      </c>
      <c r="F19" s="6" t="n"/>
      <c r="G19" s="6" t="n"/>
      <c r="H19" s="29" t="inlineStr">
        <is>
          <t>Sí</t>
        </is>
      </c>
      <c r="I19" s="30">
        <f>IFERROR(IF(OR(A19="",C19=""),"",C19*INDEX('Ajustes'!$I$5:$I$8,MATCH(D19,'Ajustes'!$H$5:$H$8,0))),"")</f>
        <v/>
      </c>
      <c r="J19" s="31">
        <f>IFERROR(IF(I19="","",IF(G19="",IF('Ajustes'!$B$5="",TODAY(),'Ajustes'!$B$5)+MOD(ROW()*13,I19),IF(D19='Ajustes'!$H$7,EDATE(G19,C19),IF(D19='Ajustes'!$H$8,EDATE(G19,12*C19),G19+I19)))),"")</f>
        <v/>
      </c>
      <c r="K19" s="30">
        <f>IF(J19="","",J19-TODAY())</f>
        <v/>
      </c>
      <c r="L19" s="32">
        <f>IF(A19="","",IF(H19="No","Pausada",IF(K19="","",IF(K19&lt;0,"Atrasada",IF(K19=0,"Hoy",IF(K19&lt;=7,"Esta semana","Más adelante"))))))</f>
        <v/>
      </c>
      <c r="M19" s="27">
        <f>IFERROR(IF(AND(OR(L19="Atrasada",L19="Hoy",L19="Esta semana"),OR('Hoy'!$B$3='Ajustes'!$D$5,F19='Hoy'!$B$3)),K19+ROW()/100000,""),"")</f>
        <v/>
      </c>
      <c r="N19" s="27">
        <f>IF(OR(A19="",H19="No",I19=""),0,E19*7/I19)</f>
        <v/>
      </c>
      <c r="O19" s="27">
        <f>IFERROR(IF(AND(A19&lt;&gt;"",H19&lt;&gt;"No",I19&lt;&gt;"",OR('Hoy'!$B$3='Ajustes'!$D$5,F19='Hoy'!$B$3),J19&lt;=TODAY()),ROW(),""),"")</f>
        <v/>
      </c>
      <c r="P19" s="27">
        <f>IFERROR(IF(AND(A19&lt;&gt;"",H19&lt;&gt;"No",I19&lt;&gt;"",OR('Hoy'!$B$3='Ajustes'!$D$5,F19='Hoy'!$B$3),OR(J19=TODAY()+1,AND(I19&lt;=7,J19&gt;=TODAY(),J19&lt;TODAY()+1,MOD(TODAY()+1-J19,I19)=0))),ROW(),""),"")</f>
        <v/>
      </c>
      <c r="Q19" s="27">
        <f>IFERROR(IF(AND(A19&lt;&gt;"",H19&lt;&gt;"No",I19&lt;&gt;"",OR('Hoy'!$B$3='Ajustes'!$D$5,F19='Hoy'!$B$3),OR(J19=TODAY()+2,AND(I19&lt;=7,J19&gt;=TODAY(),J19&lt;TODAY()+2,MOD(TODAY()+2-J19,I19)=0))),ROW(),""),"")</f>
        <v/>
      </c>
      <c r="R19" s="27">
        <f>IFERROR(IF(AND(A19&lt;&gt;"",H19&lt;&gt;"No",I19&lt;&gt;"",OR('Hoy'!$B$3='Ajustes'!$D$5,F19='Hoy'!$B$3),OR(J19=TODAY()+3,AND(I19&lt;=7,J19&gt;=TODAY(),J19&lt;TODAY()+3,MOD(TODAY()+3-J19,I19)=0))),ROW(),""),"")</f>
        <v/>
      </c>
      <c r="S19" s="27">
        <f>IFERROR(IF(AND(A19&lt;&gt;"",H19&lt;&gt;"No",I19&lt;&gt;"",OR('Hoy'!$B$3='Ajustes'!$D$5,F19='Hoy'!$B$3),OR(J19=TODAY()+4,AND(I19&lt;=7,J19&gt;=TODAY(),J19&lt;TODAY()+4,MOD(TODAY()+4-J19,I19)=0))),ROW(),""),"")</f>
        <v/>
      </c>
      <c r="T19" s="27">
        <f>IFERROR(IF(AND(A19&lt;&gt;"",H19&lt;&gt;"No",I19&lt;&gt;"",OR('Hoy'!$B$3='Ajustes'!$D$5,F19='Hoy'!$B$3),OR(J19=TODAY()+5,AND(I19&lt;=7,J19&gt;=TODAY(),J19&lt;TODAY()+5,MOD(TODAY()+5-J19,I19)=0))),ROW(),""),"")</f>
        <v/>
      </c>
      <c r="U19" s="27">
        <f>IFERROR(IF(AND(A19&lt;&gt;"",H19&lt;&gt;"No",I19&lt;&gt;"",OR('Hoy'!$B$3='Ajustes'!$D$5,F19='Hoy'!$B$3),OR(J19=TODAY()+6,AND(I19&lt;=7,J19&gt;=TODAY(),J19&lt;TODAY()+6,MOD(TODAY()+6-J19,I19)=0))),ROW(),""),"")</f>
        <v/>
      </c>
    </row>
    <row r="20">
      <c r="A20" s="6" t="inlineStr">
        <is>
          <t>Vaciar el cesto del baño</t>
        </is>
      </c>
      <c r="B20" s="6" t="inlineStr">
        <is>
          <t>Baño</t>
        </is>
      </c>
      <c r="C20" s="28" t="n">
        <v>3</v>
      </c>
      <c r="D20" s="6" t="inlineStr">
        <is>
          <t>Días</t>
        </is>
      </c>
      <c r="E20" s="28" t="n">
        <v>2</v>
      </c>
      <c r="F20" s="6" t="n"/>
      <c r="G20" s="6" t="n"/>
      <c r="H20" s="29" t="inlineStr">
        <is>
          <t>Sí</t>
        </is>
      </c>
      <c r="I20" s="30">
        <f>IFERROR(IF(OR(A20="",C20=""),"",C20*INDEX('Ajustes'!$I$5:$I$8,MATCH(D20,'Ajustes'!$H$5:$H$8,0))),"")</f>
        <v/>
      </c>
      <c r="J20" s="31">
        <f>IFERROR(IF(I20="","",IF(G20="",IF('Ajustes'!$B$5="",TODAY(),'Ajustes'!$B$5)+MOD(ROW()*13,I20),IF(D20='Ajustes'!$H$7,EDATE(G20,C20),IF(D20='Ajustes'!$H$8,EDATE(G20,12*C20),G20+I20)))),"")</f>
        <v/>
      </c>
      <c r="K20" s="30">
        <f>IF(J20="","",J20-TODAY())</f>
        <v/>
      </c>
      <c r="L20" s="32">
        <f>IF(A20="","",IF(H20="No","Pausada",IF(K20="","",IF(K20&lt;0,"Atrasada",IF(K20=0,"Hoy",IF(K20&lt;=7,"Esta semana","Más adelante"))))))</f>
        <v/>
      </c>
      <c r="M20" s="27">
        <f>IFERROR(IF(AND(OR(L20="Atrasada",L20="Hoy",L20="Esta semana"),OR('Hoy'!$B$3='Ajustes'!$D$5,F20='Hoy'!$B$3)),K20+ROW()/100000,""),"")</f>
        <v/>
      </c>
      <c r="N20" s="27">
        <f>IF(OR(A20="",H20="No",I20=""),0,E20*7/I20)</f>
        <v/>
      </c>
      <c r="O20" s="27">
        <f>IFERROR(IF(AND(A20&lt;&gt;"",H20&lt;&gt;"No",I20&lt;&gt;"",OR('Hoy'!$B$3='Ajustes'!$D$5,F20='Hoy'!$B$3),J20&lt;=TODAY()),ROW(),""),"")</f>
        <v/>
      </c>
      <c r="P20" s="27">
        <f>IFERROR(IF(AND(A20&lt;&gt;"",H20&lt;&gt;"No",I20&lt;&gt;"",OR('Hoy'!$B$3='Ajustes'!$D$5,F20='Hoy'!$B$3),OR(J20=TODAY()+1,AND(I20&lt;=7,J20&gt;=TODAY(),J20&lt;TODAY()+1,MOD(TODAY()+1-J20,I20)=0))),ROW(),""),"")</f>
        <v/>
      </c>
      <c r="Q20" s="27">
        <f>IFERROR(IF(AND(A20&lt;&gt;"",H20&lt;&gt;"No",I20&lt;&gt;"",OR('Hoy'!$B$3='Ajustes'!$D$5,F20='Hoy'!$B$3),OR(J20=TODAY()+2,AND(I20&lt;=7,J20&gt;=TODAY(),J20&lt;TODAY()+2,MOD(TODAY()+2-J20,I20)=0))),ROW(),""),"")</f>
        <v/>
      </c>
      <c r="R20" s="27">
        <f>IFERROR(IF(AND(A20&lt;&gt;"",H20&lt;&gt;"No",I20&lt;&gt;"",OR('Hoy'!$B$3='Ajustes'!$D$5,F20='Hoy'!$B$3),OR(J20=TODAY()+3,AND(I20&lt;=7,J20&gt;=TODAY(),J20&lt;TODAY()+3,MOD(TODAY()+3-J20,I20)=0))),ROW(),""),"")</f>
        <v/>
      </c>
      <c r="S20" s="27">
        <f>IFERROR(IF(AND(A20&lt;&gt;"",H20&lt;&gt;"No",I20&lt;&gt;"",OR('Hoy'!$B$3='Ajustes'!$D$5,F20='Hoy'!$B$3),OR(J20=TODAY()+4,AND(I20&lt;=7,J20&gt;=TODAY(),J20&lt;TODAY()+4,MOD(TODAY()+4-J20,I20)=0))),ROW(),""),"")</f>
        <v/>
      </c>
      <c r="T20" s="27">
        <f>IFERROR(IF(AND(A20&lt;&gt;"",H20&lt;&gt;"No",I20&lt;&gt;"",OR('Hoy'!$B$3='Ajustes'!$D$5,F20='Hoy'!$B$3),OR(J20=TODAY()+5,AND(I20&lt;=7,J20&gt;=TODAY(),J20&lt;TODAY()+5,MOD(TODAY()+5-J20,I20)=0))),ROW(),""),"")</f>
        <v/>
      </c>
      <c r="U20" s="27">
        <f>IFERROR(IF(AND(A20&lt;&gt;"",H20&lt;&gt;"No",I20&lt;&gt;"",OR('Hoy'!$B$3='Ajustes'!$D$5,F20='Hoy'!$B$3),OR(J20=TODAY()+6,AND(I20&lt;=7,J20&gt;=TODAY(),J20&lt;TODAY()+6,MOD(TODAY()+6-J20,I20)=0))),ROW(),""),"")</f>
        <v/>
      </c>
    </row>
    <row r="21">
      <c r="A21" s="6" t="inlineStr">
        <is>
          <t>Poner una toalla de manos limpia</t>
        </is>
      </c>
      <c r="B21" s="6" t="inlineStr">
        <is>
          <t>Baño</t>
        </is>
      </c>
      <c r="C21" s="28" t="n">
        <v>3</v>
      </c>
      <c r="D21" s="6" t="inlineStr">
        <is>
          <t>Días</t>
        </is>
      </c>
      <c r="E21" s="28" t="n">
        <v>2</v>
      </c>
      <c r="F21" s="6" t="n"/>
      <c r="G21" s="6" t="n"/>
      <c r="H21" s="29" t="inlineStr">
        <is>
          <t>Sí</t>
        </is>
      </c>
      <c r="I21" s="30">
        <f>IFERROR(IF(OR(A21="",C21=""),"",C21*INDEX('Ajustes'!$I$5:$I$8,MATCH(D21,'Ajustes'!$H$5:$H$8,0))),"")</f>
        <v/>
      </c>
      <c r="J21" s="31">
        <f>IFERROR(IF(I21="","",IF(G21="",IF('Ajustes'!$B$5="",TODAY(),'Ajustes'!$B$5)+MOD(ROW()*13,I21),IF(D21='Ajustes'!$H$7,EDATE(G21,C21),IF(D21='Ajustes'!$H$8,EDATE(G21,12*C21),G21+I21)))),"")</f>
        <v/>
      </c>
      <c r="K21" s="30">
        <f>IF(J21="","",J21-TODAY())</f>
        <v/>
      </c>
      <c r="L21" s="32">
        <f>IF(A21="","",IF(H21="No","Pausada",IF(K21="","",IF(K21&lt;0,"Atrasada",IF(K21=0,"Hoy",IF(K21&lt;=7,"Esta semana","Más adelante"))))))</f>
        <v/>
      </c>
      <c r="M21" s="27">
        <f>IFERROR(IF(AND(OR(L21="Atrasada",L21="Hoy",L21="Esta semana"),OR('Hoy'!$B$3='Ajustes'!$D$5,F21='Hoy'!$B$3)),K21+ROW()/100000,""),"")</f>
        <v/>
      </c>
      <c r="N21" s="27">
        <f>IF(OR(A21="",H21="No",I21=""),0,E21*7/I21)</f>
        <v/>
      </c>
      <c r="O21" s="27">
        <f>IFERROR(IF(AND(A21&lt;&gt;"",H21&lt;&gt;"No",I21&lt;&gt;"",OR('Hoy'!$B$3='Ajustes'!$D$5,F21='Hoy'!$B$3),J21&lt;=TODAY()),ROW(),""),"")</f>
        <v/>
      </c>
      <c r="P21" s="27">
        <f>IFERROR(IF(AND(A21&lt;&gt;"",H21&lt;&gt;"No",I21&lt;&gt;"",OR('Hoy'!$B$3='Ajustes'!$D$5,F21='Hoy'!$B$3),OR(J21=TODAY()+1,AND(I21&lt;=7,J21&gt;=TODAY(),J21&lt;TODAY()+1,MOD(TODAY()+1-J21,I21)=0))),ROW(),""),"")</f>
        <v/>
      </c>
      <c r="Q21" s="27">
        <f>IFERROR(IF(AND(A21&lt;&gt;"",H21&lt;&gt;"No",I21&lt;&gt;"",OR('Hoy'!$B$3='Ajustes'!$D$5,F21='Hoy'!$B$3),OR(J21=TODAY()+2,AND(I21&lt;=7,J21&gt;=TODAY(),J21&lt;TODAY()+2,MOD(TODAY()+2-J21,I21)=0))),ROW(),""),"")</f>
        <v/>
      </c>
      <c r="R21" s="27">
        <f>IFERROR(IF(AND(A21&lt;&gt;"",H21&lt;&gt;"No",I21&lt;&gt;"",OR('Hoy'!$B$3='Ajustes'!$D$5,F21='Hoy'!$B$3),OR(J21=TODAY()+3,AND(I21&lt;=7,J21&gt;=TODAY(),J21&lt;TODAY()+3,MOD(TODAY()+3-J21,I21)=0))),ROW(),""),"")</f>
        <v/>
      </c>
      <c r="S21" s="27">
        <f>IFERROR(IF(AND(A21&lt;&gt;"",H21&lt;&gt;"No",I21&lt;&gt;"",OR('Hoy'!$B$3='Ajustes'!$D$5,F21='Hoy'!$B$3),OR(J21=TODAY()+4,AND(I21&lt;=7,J21&gt;=TODAY(),J21&lt;TODAY()+4,MOD(TODAY()+4-J21,I21)=0))),ROW(),""),"")</f>
        <v/>
      </c>
      <c r="T21" s="27">
        <f>IFERROR(IF(AND(A21&lt;&gt;"",H21&lt;&gt;"No",I21&lt;&gt;"",OR('Hoy'!$B$3='Ajustes'!$D$5,F21='Hoy'!$B$3),OR(J21=TODAY()+5,AND(I21&lt;=7,J21&gt;=TODAY(),J21&lt;TODAY()+5,MOD(TODAY()+5-J21,I21)=0))),ROW(),""),"")</f>
        <v/>
      </c>
      <c r="U21" s="27">
        <f>IFERROR(IF(AND(A21&lt;&gt;"",H21&lt;&gt;"No",I21&lt;&gt;"",OR('Hoy'!$B$3='Ajustes'!$D$5,F21='Hoy'!$B$3),OR(J21=TODAY()+6,AND(I21&lt;=7,J21&gt;=TODAY(),J21&lt;TODAY()+6,MOD(TODAY()+6-J21,I21)=0))),ROW(),""),"")</f>
        <v/>
      </c>
    </row>
    <row r="22">
      <c r="A22" s="6" t="inlineStr">
        <is>
          <t>Limpiar el inodoro</t>
        </is>
      </c>
      <c r="B22" s="6" t="inlineStr">
        <is>
          <t>Baño</t>
        </is>
      </c>
      <c r="C22" s="28" t="n">
        <v>1</v>
      </c>
      <c r="D22" s="6" t="inlineStr">
        <is>
          <t>Semanas</t>
        </is>
      </c>
      <c r="E22" s="28" t="n">
        <v>8</v>
      </c>
      <c r="F22" s="6" t="n"/>
      <c r="G22" s="6" t="n"/>
      <c r="H22" s="29" t="inlineStr">
        <is>
          <t>Sí</t>
        </is>
      </c>
      <c r="I22" s="30">
        <f>IFERROR(IF(OR(A22="",C22=""),"",C22*INDEX('Ajustes'!$I$5:$I$8,MATCH(D22,'Ajustes'!$H$5:$H$8,0))),"")</f>
        <v/>
      </c>
      <c r="J22" s="31">
        <f>IFERROR(IF(I22="","",IF(G22="",IF('Ajustes'!$B$5="",TODAY(),'Ajustes'!$B$5)+MOD(ROW()*13,I22),IF(D22='Ajustes'!$H$7,EDATE(G22,C22),IF(D22='Ajustes'!$H$8,EDATE(G22,12*C22),G22+I22)))),"")</f>
        <v/>
      </c>
      <c r="K22" s="30">
        <f>IF(J22="","",J22-TODAY())</f>
        <v/>
      </c>
      <c r="L22" s="32">
        <f>IF(A22="","",IF(H22="No","Pausada",IF(K22="","",IF(K22&lt;0,"Atrasada",IF(K22=0,"Hoy",IF(K22&lt;=7,"Esta semana","Más adelante"))))))</f>
        <v/>
      </c>
      <c r="M22" s="27">
        <f>IFERROR(IF(AND(OR(L22="Atrasada",L22="Hoy",L22="Esta semana"),OR('Hoy'!$B$3='Ajustes'!$D$5,F22='Hoy'!$B$3)),K22+ROW()/100000,""),"")</f>
        <v/>
      </c>
      <c r="N22" s="27">
        <f>IF(OR(A22="",H22="No",I22=""),0,E22*7/I22)</f>
        <v/>
      </c>
      <c r="O22" s="27">
        <f>IFERROR(IF(AND(A22&lt;&gt;"",H22&lt;&gt;"No",I22&lt;&gt;"",OR('Hoy'!$B$3='Ajustes'!$D$5,F22='Hoy'!$B$3),J22&lt;=TODAY()),ROW(),""),"")</f>
        <v/>
      </c>
      <c r="P22" s="27">
        <f>IFERROR(IF(AND(A22&lt;&gt;"",H22&lt;&gt;"No",I22&lt;&gt;"",OR('Hoy'!$B$3='Ajustes'!$D$5,F22='Hoy'!$B$3),OR(J22=TODAY()+1,AND(I22&lt;=7,J22&gt;=TODAY(),J22&lt;TODAY()+1,MOD(TODAY()+1-J22,I22)=0))),ROW(),""),"")</f>
        <v/>
      </c>
      <c r="Q22" s="27">
        <f>IFERROR(IF(AND(A22&lt;&gt;"",H22&lt;&gt;"No",I22&lt;&gt;"",OR('Hoy'!$B$3='Ajustes'!$D$5,F22='Hoy'!$B$3),OR(J22=TODAY()+2,AND(I22&lt;=7,J22&gt;=TODAY(),J22&lt;TODAY()+2,MOD(TODAY()+2-J22,I22)=0))),ROW(),""),"")</f>
        <v/>
      </c>
      <c r="R22" s="27">
        <f>IFERROR(IF(AND(A22&lt;&gt;"",H22&lt;&gt;"No",I22&lt;&gt;"",OR('Hoy'!$B$3='Ajustes'!$D$5,F22='Hoy'!$B$3),OR(J22=TODAY()+3,AND(I22&lt;=7,J22&gt;=TODAY(),J22&lt;TODAY()+3,MOD(TODAY()+3-J22,I22)=0))),ROW(),""),"")</f>
        <v/>
      </c>
      <c r="S22" s="27">
        <f>IFERROR(IF(AND(A22&lt;&gt;"",H22&lt;&gt;"No",I22&lt;&gt;"",OR('Hoy'!$B$3='Ajustes'!$D$5,F22='Hoy'!$B$3),OR(J22=TODAY()+4,AND(I22&lt;=7,J22&gt;=TODAY(),J22&lt;TODAY()+4,MOD(TODAY()+4-J22,I22)=0))),ROW(),""),"")</f>
        <v/>
      </c>
      <c r="T22" s="27">
        <f>IFERROR(IF(AND(A22&lt;&gt;"",H22&lt;&gt;"No",I22&lt;&gt;"",OR('Hoy'!$B$3='Ajustes'!$D$5,F22='Hoy'!$B$3),OR(J22=TODAY()+5,AND(I22&lt;=7,J22&gt;=TODAY(),J22&lt;TODAY()+5,MOD(TODAY()+5-J22,I22)=0))),ROW(),""),"")</f>
        <v/>
      </c>
      <c r="U22" s="27">
        <f>IFERROR(IF(AND(A22&lt;&gt;"",H22&lt;&gt;"No",I22&lt;&gt;"",OR('Hoy'!$B$3='Ajustes'!$D$5,F22='Hoy'!$B$3),OR(J22=TODAY()+6,AND(I22&lt;=7,J22&gt;=TODAY(),J22&lt;TODAY()+6,MOD(TODAY()+6-J22,I22)=0))),ROW(),""),"")</f>
        <v/>
      </c>
    </row>
    <row r="23">
      <c r="A23" s="6" t="inlineStr">
        <is>
          <t>Limpiar lavatorio y espejo</t>
        </is>
      </c>
      <c r="B23" s="6" t="inlineStr">
        <is>
          <t>Baño</t>
        </is>
      </c>
      <c r="C23" s="28" t="n">
        <v>1</v>
      </c>
      <c r="D23" s="6" t="inlineStr">
        <is>
          <t>Semanas</t>
        </is>
      </c>
      <c r="E23" s="28" t="n">
        <v>8</v>
      </c>
      <c r="F23" s="6" t="n"/>
      <c r="G23" s="6" t="n"/>
      <c r="H23" s="29" t="inlineStr">
        <is>
          <t>Sí</t>
        </is>
      </c>
      <c r="I23" s="30">
        <f>IFERROR(IF(OR(A23="",C23=""),"",C23*INDEX('Ajustes'!$I$5:$I$8,MATCH(D23,'Ajustes'!$H$5:$H$8,0))),"")</f>
        <v/>
      </c>
      <c r="J23" s="31">
        <f>IFERROR(IF(I23="","",IF(G23="",IF('Ajustes'!$B$5="",TODAY(),'Ajustes'!$B$5)+MOD(ROW()*13,I23),IF(D23='Ajustes'!$H$7,EDATE(G23,C23),IF(D23='Ajustes'!$H$8,EDATE(G23,12*C23),G23+I23)))),"")</f>
        <v/>
      </c>
      <c r="K23" s="30">
        <f>IF(J23="","",J23-TODAY())</f>
        <v/>
      </c>
      <c r="L23" s="32">
        <f>IF(A23="","",IF(H23="No","Pausada",IF(K23="","",IF(K23&lt;0,"Atrasada",IF(K23=0,"Hoy",IF(K23&lt;=7,"Esta semana","Más adelante"))))))</f>
        <v/>
      </c>
      <c r="M23" s="27">
        <f>IFERROR(IF(AND(OR(L23="Atrasada",L23="Hoy",L23="Esta semana"),OR('Hoy'!$B$3='Ajustes'!$D$5,F23='Hoy'!$B$3)),K23+ROW()/100000,""),"")</f>
        <v/>
      </c>
      <c r="N23" s="27">
        <f>IF(OR(A23="",H23="No",I23=""),0,E23*7/I23)</f>
        <v/>
      </c>
      <c r="O23" s="27">
        <f>IFERROR(IF(AND(A23&lt;&gt;"",H23&lt;&gt;"No",I23&lt;&gt;"",OR('Hoy'!$B$3='Ajustes'!$D$5,F23='Hoy'!$B$3),J23&lt;=TODAY()),ROW(),""),"")</f>
        <v/>
      </c>
      <c r="P23" s="27">
        <f>IFERROR(IF(AND(A23&lt;&gt;"",H23&lt;&gt;"No",I23&lt;&gt;"",OR('Hoy'!$B$3='Ajustes'!$D$5,F23='Hoy'!$B$3),OR(J23=TODAY()+1,AND(I23&lt;=7,J23&gt;=TODAY(),J23&lt;TODAY()+1,MOD(TODAY()+1-J23,I23)=0))),ROW(),""),"")</f>
        <v/>
      </c>
      <c r="Q23" s="27">
        <f>IFERROR(IF(AND(A23&lt;&gt;"",H23&lt;&gt;"No",I23&lt;&gt;"",OR('Hoy'!$B$3='Ajustes'!$D$5,F23='Hoy'!$B$3),OR(J23=TODAY()+2,AND(I23&lt;=7,J23&gt;=TODAY(),J23&lt;TODAY()+2,MOD(TODAY()+2-J23,I23)=0))),ROW(),""),"")</f>
        <v/>
      </c>
      <c r="R23" s="27">
        <f>IFERROR(IF(AND(A23&lt;&gt;"",H23&lt;&gt;"No",I23&lt;&gt;"",OR('Hoy'!$B$3='Ajustes'!$D$5,F23='Hoy'!$B$3),OR(J23=TODAY()+3,AND(I23&lt;=7,J23&gt;=TODAY(),J23&lt;TODAY()+3,MOD(TODAY()+3-J23,I23)=0))),ROW(),""),"")</f>
        <v/>
      </c>
      <c r="S23" s="27">
        <f>IFERROR(IF(AND(A23&lt;&gt;"",H23&lt;&gt;"No",I23&lt;&gt;"",OR('Hoy'!$B$3='Ajustes'!$D$5,F23='Hoy'!$B$3),OR(J23=TODAY()+4,AND(I23&lt;=7,J23&gt;=TODAY(),J23&lt;TODAY()+4,MOD(TODAY()+4-J23,I23)=0))),ROW(),""),"")</f>
        <v/>
      </c>
      <c r="T23" s="27">
        <f>IFERROR(IF(AND(A23&lt;&gt;"",H23&lt;&gt;"No",I23&lt;&gt;"",OR('Hoy'!$B$3='Ajustes'!$D$5,F23='Hoy'!$B$3),OR(J23=TODAY()+5,AND(I23&lt;=7,J23&gt;=TODAY(),J23&lt;TODAY()+5,MOD(TODAY()+5-J23,I23)=0))),ROW(),""),"")</f>
        <v/>
      </c>
      <c r="U23" s="27">
        <f>IFERROR(IF(AND(A23&lt;&gt;"",H23&lt;&gt;"No",I23&lt;&gt;"",OR('Hoy'!$B$3='Ajustes'!$D$5,F23='Hoy'!$B$3),OR(J23=TODAY()+6,AND(I23&lt;=7,J23&gt;=TODAY(),J23&lt;TODAY()+6,MOD(TODAY()+6-J23,I23)=0))),ROW(),""),"")</f>
        <v/>
      </c>
    </row>
    <row r="24">
      <c r="A24" s="6" t="inlineStr">
        <is>
          <t>Fregar ducha / bañera</t>
        </is>
      </c>
      <c r="B24" s="6" t="inlineStr">
        <is>
          <t>Baño</t>
        </is>
      </c>
      <c r="C24" s="28" t="n">
        <v>1</v>
      </c>
      <c r="D24" s="6" t="inlineStr">
        <is>
          <t>Semanas</t>
        </is>
      </c>
      <c r="E24" s="28" t="n">
        <v>15</v>
      </c>
      <c r="F24" s="6" t="n"/>
      <c r="G24" s="6" t="n"/>
      <c r="H24" s="29" t="inlineStr">
        <is>
          <t>Sí</t>
        </is>
      </c>
      <c r="I24" s="30">
        <f>IFERROR(IF(OR(A24="",C24=""),"",C24*INDEX('Ajustes'!$I$5:$I$8,MATCH(D24,'Ajustes'!$H$5:$H$8,0))),"")</f>
        <v/>
      </c>
      <c r="J24" s="31">
        <f>IFERROR(IF(I24="","",IF(G24="",IF('Ajustes'!$B$5="",TODAY(),'Ajustes'!$B$5)+MOD(ROW()*13,I24),IF(D24='Ajustes'!$H$7,EDATE(G24,C24),IF(D24='Ajustes'!$H$8,EDATE(G24,12*C24),G24+I24)))),"")</f>
        <v/>
      </c>
      <c r="K24" s="30">
        <f>IF(J24="","",J24-TODAY())</f>
        <v/>
      </c>
      <c r="L24" s="32">
        <f>IF(A24="","",IF(H24="No","Pausada",IF(K24="","",IF(K24&lt;0,"Atrasada",IF(K24=0,"Hoy",IF(K24&lt;=7,"Esta semana","Más adelante"))))))</f>
        <v/>
      </c>
      <c r="M24" s="27">
        <f>IFERROR(IF(AND(OR(L24="Atrasada",L24="Hoy",L24="Esta semana"),OR('Hoy'!$B$3='Ajustes'!$D$5,F24='Hoy'!$B$3)),K24+ROW()/100000,""),"")</f>
        <v/>
      </c>
      <c r="N24" s="27">
        <f>IF(OR(A24="",H24="No",I24=""),0,E24*7/I24)</f>
        <v/>
      </c>
      <c r="O24" s="27">
        <f>IFERROR(IF(AND(A24&lt;&gt;"",H24&lt;&gt;"No",I24&lt;&gt;"",OR('Hoy'!$B$3='Ajustes'!$D$5,F24='Hoy'!$B$3),J24&lt;=TODAY()),ROW(),""),"")</f>
        <v/>
      </c>
      <c r="P24" s="27">
        <f>IFERROR(IF(AND(A24&lt;&gt;"",H24&lt;&gt;"No",I24&lt;&gt;"",OR('Hoy'!$B$3='Ajustes'!$D$5,F24='Hoy'!$B$3),OR(J24=TODAY()+1,AND(I24&lt;=7,J24&gt;=TODAY(),J24&lt;TODAY()+1,MOD(TODAY()+1-J24,I24)=0))),ROW(),""),"")</f>
        <v/>
      </c>
      <c r="Q24" s="27">
        <f>IFERROR(IF(AND(A24&lt;&gt;"",H24&lt;&gt;"No",I24&lt;&gt;"",OR('Hoy'!$B$3='Ajustes'!$D$5,F24='Hoy'!$B$3),OR(J24=TODAY()+2,AND(I24&lt;=7,J24&gt;=TODAY(),J24&lt;TODAY()+2,MOD(TODAY()+2-J24,I24)=0))),ROW(),""),"")</f>
        <v/>
      </c>
      <c r="R24" s="27">
        <f>IFERROR(IF(AND(A24&lt;&gt;"",H24&lt;&gt;"No",I24&lt;&gt;"",OR('Hoy'!$B$3='Ajustes'!$D$5,F24='Hoy'!$B$3),OR(J24=TODAY()+3,AND(I24&lt;=7,J24&gt;=TODAY(),J24&lt;TODAY()+3,MOD(TODAY()+3-J24,I24)=0))),ROW(),""),"")</f>
        <v/>
      </c>
      <c r="S24" s="27">
        <f>IFERROR(IF(AND(A24&lt;&gt;"",H24&lt;&gt;"No",I24&lt;&gt;"",OR('Hoy'!$B$3='Ajustes'!$D$5,F24='Hoy'!$B$3),OR(J24=TODAY()+4,AND(I24&lt;=7,J24&gt;=TODAY(),J24&lt;TODAY()+4,MOD(TODAY()+4-J24,I24)=0))),ROW(),""),"")</f>
        <v/>
      </c>
      <c r="T24" s="27">
        <f>IFERROR(IF(AND(A24&lt;&gt;"",H24&lt;&gt;"No",I24&lt;&gt;"",OR('Hoy'!$B$3='Ajustes'!$D$5,F24='Hoy'!$B$3),OR(J24=TODAY()+5,AND(I24&lt;=7,J24&gt;=TODAY(),J24&lt;TODAY()+5,MOD(TODAY()+5-J24,I24)=0))),ROW(),""),"")</f>
        <v/>
      </c>
      <c r="U24" s="27">
        <f>IFERROR(IF(AND(A24&lt;&gt;"",H24&lt;&gt;"No",I24&lt;&gt;"",OR('Hoy'!$B$3='Ajustes'!$D$5,F24='Hoy'!$B$3),OR(J24=TODAY()+6,AND(I24&lt;=7,J24&gt;=TODAY(),J24&lt;TODAY()+6,MOD(TODAY()+6-J24,I24)=0))),ROW(),""),"")</f>
        <v/>
      </c>
    </row>
    <row r="25">
      <c r="A25" s="6" t="inlineStr">
        <is>
          <t>Trapear el piso del baño</t>
        </is>
      </c>
      <c r="B25" s="6" t="inlineStr">
        <is>
          <t>Baño</t>
        </is>
      </c>
      <c r="C25" s="28" t="n">
        <v>1</v>
      </c>
      <c r="D25" s="6" t="inlineStr">
        <is>
          <t>Semanas</t>
        </is>
      </c>
      <c r="E25" s="28" t="n">
        <v>10</v>
      </c>
      <c r="F25" s="6" t="n"/>
      <c r="G25" s="6" t="n"/>
      <c r="H25" s="29" t="inlineStr">
        <is>
          <t>Sí</t>
        </is>
      </c>
      <c r="I25" s="30">
        <f>IFERROR(IF(OR(A25="",C25=""),"",C25*INDEX('Ajustes'!$I$5:$I$8,MATCH(D25,'Ajustes'!$H$5:$H$8,0))),"")</f>
        <v/>
      </c>
      <c r="J25" s="31">
        <f>IFERROR(IF(I25="","",IF(G25="",IF('Ajustes'!$B$5="",TODAY(),'Ajustes'!$B$5)+MOD(ROW()*13,I25),IF(D25='Ajustes'!$H$7,EDATE(G25,C25),IF(D25='Ajustes'!$H$8,EDATE(G25,12*C25),G25+I25)))),"")</f>
        <v/>
      </c>
      <c r="K25" s="30">
        <f>IF(J25="","",J25-TODAY())</f>
        <v/>
      </c>
      <c r="L25" s="32">
        <f>IF(A25="","",IF(H25="No","Pausada",IF(K25="","",IF(K25&lt;0,"Atrasada",IF(K25=0,"Hoy",IF(K25&lt;=7,"Esta semana","Más adelante"))))))</f>
        <v/>
      </c>
      <c r="M25" s="27">
        <f>IFERROR(IF(AND(OR(L25="Atrasada",L25="Hoy",L25="Esta semana"),OR('Hoy'!$B$3='Ajustes'!$D$5,F25='Hoy'!$B$3)),K25+ROW()/100000,""),"")</f>
        <v/>
      </c>
      <c r="N25" s="27">
        <f>IF(OR(A25="",H25="No",I25=""),0,E25*7/I25)</f>
        <v/>
      </c>
      <c r="O25" s="27">
        <f>IFERROR(IF(AND(A25&lt;&gt;"",H25&lt;&gt;"No",I25&lt;&gt;"",OR('Hoy'!$B$3='Ajustes'!$D$5,F25='Hoy'!$B$3),J25&lt;=TODAY()),ROW(),""),"")</f>
        <v/>
      </c>
      <c r="P25" s="27">
        <f>IFERROR(IF(AND(A25&lt;&gt;"",H25&lt;&gt;"No",I25&lt;&gt;"",OR('Hoy'!$B$3='Ajustes'!$D$5,F25='Hoy'!$B$3),OR(J25=TODAY()+1,AND(I25&lt;=7,J25&gt;=TODAY(),J25&lt;TODAY()+1,MOD(TODAY()+1-J25,I25)=0))),ROW(),""),"")</f>
        <v/>
      </c>
      <c r="Q25" s="27">
        <f>IFERROR(IF(AND(A25&lt;&gt;"",H25&lt;&gt;"No",I25&lt;&gt;"",OR('Hoy'!$B$3='Ajustes'!$D$5,F25='Hoy'!$B$3),OR(J25=TODAY()+2,AND(I25&lt;=7,J25&gt;=TODAY(),J25&lt;TODAY()+2,MOD(TODAY()+2-J25,I25)=0))),ROW(),""),"")</f>
        <v/>
      </c>
      <c r="R25" s="27">
        <f>IFERROR(IF(AND(A25&lt;&gt;"",H25&lt;&gt;"No",I25&lt;&gt;"",OR('Hoy'!$B$3='Ajustes'!$D$5,F25='Hoy'!$B$3),OR(J25=TODAY()+3,AND(I25&lt;=7,J25&gt;=TODAY(),J25&lt;TODAY()+3,MOD(TODAY()+3-J25,I25)=0))),ROW(),""),"")</f>
        <v/>
      </c>
      <c r="S25" s="27">
        <f>IFERROR(IF(AND(A25&lt;&gt;"",H25&lt;&gt;"No",I25&lt;&gt;"",OR('Hoy'!$B$3='Ajustes'!$D$5,F25='Hoy'!$B$3),OR(J25=TODAY()+4,AND(I25&lt;=7,J25&gt;=TODAY(),J25&lt;TODAY()+4,MOD(TODAY()+4-J25,I25)=0))),ROW(),""),"")</f>
        <v/>
      </c>
      <c r="T25" s="27">
        <f>IFERROR(IF(AND(A25&lt;&gt;"",H25&lt;&gt;"No",I25&lt;&gt;"",OR('Hoy'!$B$3='Ajustes'!$D$5,F25='Hoy'!$B$3),OR(J25=TODAY()+5,AND(I25&lt;=7,J25&gt;=TODAY(),J25&lt;TODAY()+5,MOD(TODAY()+5-J25,I25)=0))),ROW(),""),"")</f>
        <v/>
      </c>
      <c r="U25" s="27">
        <f>IFERROR(IF(AND(A25&lt;&gt;"",H25&lt;&gt;"No",I25&lt;&gt;"",OR('Hoy'!$B$3='Ajustes'!$D$5,F25='Hoy'!$B$3),OR(J25=TODAY()+6,AND(I25&lt;=7,J25&gt;=TODAY(),J25&lt;TODAY()+6,MOD(TODAY()+6-J25,I25)=0))),ROW(),""),"")</f>
        <v/>
      </c>
    </row>
    <row r="26">
      <c r="A26" s="6" t="inlineStr">
        <is>
          <t>Lavar la alfombrita y la cortina de ducha</t>
        </is>
      </c>
      <c r="B26" s="6" t="inlineStr">
        <is>
          <t>Baño</t>
        </is>
      </c>
      <c r="C26" s="28" t="n">
        <v>1</v>
      </c>
      <c r="D26" s="6" t="inlineStr">
        <is>
          <t>Meses</t>
        </is>
      </c>
      <c r="E26" s="28" t="n">
        <v>10</v>
      </c>
      <c r="F26" s="6" t="n"/>
      <c r="G26" s="6" t="n"/>
      <c r="H26" s="29" t="inlineStr">
        <is>
          <t>Sí</t>
        </is>
      </c>
      <c r="I26" s="30">
        <f>IFERROR(IF(OR(A26="",C26=""),"",C26*INDEX('Ajustes'!$I$5:$I$8,MATCH(D26,'Ajustes'!$H$5:$H$8,0))),"")</f>
        <v/>
      </c>
      <c r="J26" s="31">
        <f>IFERROR(IF(I26="","",IF(G26="",IF('Ajustes'!$B$5="",TODAY(),'Ajustes'!$B$5)+MOD(ROW()*13,I26),IF(D26='Ajustes'!$H$7,EDATE(G26,C26),IF(D26='Ajustes'!$H$8,EDATE(G26,12*C26),G26+I26)))),"")</f>
        <v/>
      </c>
      <c r="K26" s="30">
        <f>IF(J26="","",J26-TODAY())</f>
        <v/>
      </c>
      <c r="L26" s="32">
        <f>IF(A26="","",IF(H26="No","Pausada",IF(K26="","",IF(K26&lt;0,"Atrasada",IF(K26=0,"Hoy",IF(K26&lt;=7,"Esta semana","Más adelante"))))))</f>
        <v/>
      </c>
      <c r="M26" s="27">
        <f>IFERROR(IF(AND(OR(L26="Atrasada",L26="Hoy",L26="Esta semana"),OR('Hoy'!$B$3='Ajustes'!$D$5,F26='Hoy'!$B$3)),K26+ROW()/100000,""),"")</f>
        <v/>
      </c>
      <c r="N26" s="27">
        <f>IF(OR(A26="",H26="No",I26=""),0,E26*7/I26)</f>
        <v/>
      </c>
      <c r="O26" s="27">
        <f>IFERROR(IF(AND(A26&lt;&gt;"",H26&lt;&gt;"No",I26&lt;&gt;"",OR('Hoy'!$B$3='Ajustes'!$D$5,F26='Hoy'!$B$3),J26&lt;=TODAY()),ROW(),""),"")</f>
        <v/>
      </c>
      <c r="P26" s="27">
        <f>IFERROR(IF(AND(A26&lt;&gt;"",H26&lt;&gt;"No",I26&lt;&gt;"",OR('Hoy'!$B$3='Ajustes'!$D$5,F26='Hoy'!$B$3),OR(J26=TODAY()+1,AND(I26&lt;=7,J26&gt;=TODAY(),J26&lt;TODAY()+1,MOD(TODAY()+1-J26,I26)=0))),ROW(),""),"")</f>
        <v/>
      </c>
      <c r="Q26" s="27">
        <f>IFERROR(IF(AND(A26&lt;&gt;"",H26&lt;&gt;"No",I26&lt;&gt;"",OR('Hoy'!$B$3='Ajustes'!$D$5,F26='Hoy'!$B$3),OR(J26=TODAY()+2,AND(I26&lt;=7,J26&gt;=TODAY(),J26&lt;TODAY()+2,MOD(TODAY()+2-J26,I26)=0))),ROW(),""),"")</f>
        <v/>
      </c>
      <c r="R26" s="27">
        <f>IFERROR(IF(AND(A26&lt;&gt;"",H26&lt;&gt;"No",I26&lt;&gt;"",OR('Hoy'!$B$3='Ajustes'!$D$5,F26='Hoy'!$B$3),OR(J26=TODAY()+3,AND(I26&lt;=7,J26&gt;=TODAY(),J26&lt;TODAY()+3,MOD(TODAY()+3-J26,I26)=0))),ROW(),""),"")</f>
        <v/>
      </c>
      <c r="S26" s="27">
        <f>IFERROR(IF(AND(A26&lt;&gt;"",H26&lt;&gt;"No",I26&lt;&gt;"",OR('Hoy'!$B$3='Ajustes'!$D$5,F26='Hoy'!$B$3),OR(J26=TODAY()+4,AND(I26&lt;=7,J26&gt;=TODAY(),J26&lt;TODAY()+4,MOD(TODAY()+4-J26,I26)=0))),ROW(),""),"")</f>
        <v/>
      </c>
      <c r="T26" s="27">
        <f>IFERROR(IF(AND(A26&lt;&gt;"",H26&lt;&gt;"No",I26&lt;&gt;"",OR('Hoy'!$B$3='Ajustes'!$D$5,F26='Hoy'!$B$3),OR(J26=TODAY()+5,AND(I26&lt;=7,J26&gt;=TODAY(),J26&lt;TODAY()+5,MOD(TODAY()+5-J26,I26)=0))),ROW(),""),"")</f>
        <v/>
      </c>
      <c r="U26" s="27">
        <f>IFERROR(IF(AND(A26&lt;&gt;"",H26&lt;&gt;"No",I26&lt;&gt;"",OR('Hoy'!$B$3='Ajustes'!$D$5,F26='Hoy'!$B$3),OR(J26=TODAY()+6,AND(I26&lt;=7,J26&gt;=TODAY(),J26&lt;TODAY()+6,MOD(TODAY()+6-J26,I26)=0))),ROW(),""),"")</f>
        <v/>
      </c>
    </row>
    <row r="27">
      <c r="A27" s="6" t="inlineStr">
        <is>
          <t>Descalcificar la ducha</t>
        </is>
      </c>
      <c r="B27" s="6" t="inlineStr">
        <is>
          <t>Baño</t>
        </is>
      </c>
      <c r="C27" s="28" t="n">
        <v>3</v>
      </c>
      <c r="D27" s="6" t="inlineStr">
        <is>
          <t>Meses</t>
        </is>
      </c>
      <c r="E27" s="28" t="n">
        <v>15</v>
      </c>
      <c r="F27" s="6" t="n"/>
      <c r="G27" s="6" t="n"/>
      <c r="H27" s="29" t="inlineStr">
        <is>
          <t>Sí</t>
        </is>
      </c>
      <c r="I27" s="30">
        <f>IFERROR(IF(OR(A27="",C27=""),"",C27*INDEX('Ajustes'!$I$5:$I$8,MATCH(D27,'Ajustes'!$H$5:$H$8,0))),"")</f>
        <v/>
      </c>
      <c r="J27" s="31">
        <f>IFERROR(IF(I27="","",IF(G27="",IF('Ajustes'!$B$5="",TODAY(),'Ajustes'!$B$5)+MOD(ROW()*13,I27),IF(D27='Ajustes'!$H$7,EDATE(G27,C27),IF(D27='Ajustes'!$H$8,EDATE(G27,12*C27),G27+I27)))),"")</f>
        <v/>
      </c>
      <c r="K27" s="30">
        <f>IF(J27="","",J27-TODAY())</f>
        <v/>
      </c>
      <c r="L27" s="32">
        <f>IF(A27="","",IF(H27="No","Pausada",IF(K27="","",IF(K27&lt;0,"Atrasada",IF(K27=0,"Hoy",IF(K27&lt;=7,"Esta semana","Más adelante"))))))</f>
        <v/>
      </c>
      <c r="M27" s="27">
        <f>IFERROR(IF(AND(OR(L27="Atrasada",L27="Hoy",L27="Esta semana"),OR('Hoy'!$B$3='Ajustes'!$D$5,F27='Hoy'!$B$3)),K27+ROW()/100000,""),"")</f>
        <v/>
      </c>
      <c r="N27" s="27">
        <f>IF(OR(A27="",H27="No",I27=""),0,E27*7/I27)</f>
        <v/>
      </c>
      <c r="O27" s="27">
        <f>IFERROR(IF(AND(A27&lt;&gt;"",H27&lt;&gt;"No",I27&lt;&gt;"",OR('Hoy'!$B$3='Ajustes'!$D$5,F27='Hoy'!$B$3),J27&lt;=TODAY()),ROW(),""),"")</f>
        <v/>
      </c>
      <c r="P27" s="27">
        <f>IFERROR(IF(AND(A27&lt;&gt;"",H27&lt;&gt;"No",I27&lt;&gt;"",OR('Hoy'!$B$3='Ajustes'!$D$5,F27='Hoy'!$B$3),OR(J27=TODAY()+1,AND(I27&lt;=7,J27&gt;=TODAY(),J27&lt;TODAY()+1,MOD(TODAY()+1-J27,I27)=0))),ROW(),""),"")</f>
        <v/>
      </c>
      <c r="Q27" s="27">
        <f>IFERROR(IF(AND(A27&lt;&gt;"",H27&lt;&gt;"No",I27&lt;&gt;"",OR('Hoy'!$B$3='Ajustes'!$D$5,F27='Hoy'!$B$3),OR(J27=TODAY()+2,AND(I27&lt;=7,J27&gt;=TODAY(),J27&lt;TODAY()+2,MOD(TODAY()+2-J27,I27)=0))),ROW(),""),"")</f>
        <v/>
      </c>
      <c r="R27" s="27">
        <f>IFERROR(IF(AND(A27&lt;&gt;"",H27&lt;&gt;"No",I27&lt;&gt;"",OR('Hoy'!$B$3='Ajustes'!$D$5,F27='Hoy'!$B$3),OR(J27=TODAY()+3,AND(I27&lt;=7,J27&gt;=TODAY(),J27&lt;TODAY()+3,MOD(TODAY()+3-J27,I27)=0))),ROW(),""),"")</f>
        <v/>
      </c>
      <c r="S27" s="27">
        <f>IFERROR(IF(AND(A27&lt;&gt;"",H27&lt;&gt;"No",I27&lt;&gt;"",OR('Hoy'!$B$3='Ajustes'!$D$5,F27='Hoy'!$B$3),OR(J27=TODAY()+4,AND(I27&lt;=7,J27&gt;=TODAY(),J27&lt;TODAY()+4,MOD(TODAY()+4-J27,I27)=0))),ROW(),""),"")</f>
        <v/>
      </c>
      <c r="T27" s="27">
        <f>IFERROR(IF(AND(A27&lt;&gt;"",H27&lt;&gt;"No",I27&lt;&gt;"",OR('Hoy'!$B$3='Ajustes'!$D$5,F27='Hoy'!$B$3),OR(J27=TODAY()+5,AND(I27&lt;=7,J27&gt;=TODAY(),J27&lt;TODAY()+5,MOD(TODAY()+5-J27,I27)=0))),ROW(),""),"")</f>
        <v/>
      </c>
      <c r="U27" s="27">
        <f>IFERROR(IF(AND(A27&lt;&gt;"",H27&lt;&gt;"No",I27&lt;&gt;"",OR('Hoy'!$B$3='Ajustes'!$D$5,F27='Hoy'!$B$3),OR(J27=TODAY()+6,AND(I27&lt;=7,J27&gt;=TODAY(),J27&lt;TODAY()+6,MOD(TODAY()+6-J27,I27)=0))),ROW(),""),"")</f>
        <v/>
      </c>
    </row>
    <row r="28">
      <c r="A28" s="6" t="inlineStr">
        <is>
          <t>Tender la cama</t>
        </is>
      </c>
      <c r="B28" s="6" t="inlineStr">
        <is>
          <t>Dormitorio</t>
        </is>
      </c>
      <c r="C28" s="28" t="n">
        <v>1</v>
      </c>
      <c r="D28" s="6" t="inlineStr">
        <is>
          <t>Días</t>
        </is>
      </c>
      <c r="E28" s="28" t="n">
        <v>2</v>
      </c>
      <c r="F28" s="6" t="n"/>
      <c r="G28" s="6" t="n"/>
      <c r="H28" s="29" t="inlineStr">
        <is>
          <t>Sí</t>
        </is>
      </c>
      <c r="I28" s="30">
        <f>IFERROR(IF(OR(A28="",C28=""),"",C28*INDEX('Ajustes'!$I$5:$I$8,MATCH(D28,'Ajustes'!$H$5:$H$8,0))),"")</f>
        <v/>
      </c>
      <c r="J28" s="31">
        <f>IFERROR(IF(I28="","",IF(G28="",IF('Ajustes'!$B$5="",TODAY(),'Ajustes'!$B$5)+MOD(ROW()*13,I28),IF(D28='Ajustes'!$H$7,EDATE(G28,C28),IF(D28='Ajustes'!$H$8,EDATE(G28,12*C28),G28+I28)))),"")</f>
        <v/>
      </c>
      <c r="K28" s="30">
        <f>IF(J28="","",J28-TODAY())</f>
        <v/>
      </c>
      <c r="L28" s="32">
        <f>IF(A28="","",IF(H28="No","Pausada",IF(K28="","",IF(K28&lt;0,"Atrasada",IF(K28=0,"Hoy",IF(K28&lt;=7,"Esta semana","Más adelante"))))))</f>
        <v/>
      </c>
      <c r="M28" s="27">
        <f>IFERROR(IF(AND(OR(L28="Atrasada",L28="Hoy",L28="Esta semana"),OR('Hoy'!$B$3='Ajustes'!$D$5,F28='Hoy'!$B$3)),K28+ROW()/100000,""),"")</f>
        <v/>
      </c>
      <c r="N28" s="27">
        <f>IF(OR(A28="",H28="No",I28=""),0,E28*7/I28)</f>
        <v/>
      </c>
      <c r="O28" s="27">
        <f>IFERROR(IF(AND(A28&lt;&gt;"",H28&lt;&gt;"No",I28&lt;&gt;"",OR('Hoy'!$B$3='Ajustes'!$D$5,F28='Hoy'!$B$3),J28&lt;=TODAY()),ROW(),""),"")</f>
        <v/>
      </c>
      <c r="P28" s="27">
        <f>IFERROR(IF(AND(A28&lt;&gt;"",H28&lt;&gt;"No",I28&lt;&gt;"",OR('Hoy'!$B$3='Ajustes'!$D$5,F28='Hoy'!$B$3),OR(J28=TODAY()+1,AND(I28&lt;=7,J28&gt;=TODAY(),J28&lt;TODAY()+1,MOD(TODAY()+1-J28,I28)=0))),ROW(),""),"")</f>
        <v/>
      </c>
      <c r="Q28" s="27">
        <f>IFERROR(IF(AND(A28&lt;&gt;"",H28&lt;&gt;"No",I28&lt;&gt;"",OR('Hoy'!$B$3='Ajustes'!$D$5,F28='Hoy'!$B$3),OR(J28=TODAY()+2,AND(I28&lt;=7,J28&gt;=TODAY(),J28&lt;TODAY()+2,MOD(TODAY()+2-J28,I28)=0))),ROW(),""),"")</f>
        <v/>
      </c>
      <c r="R28" s="27">
        <f>IFERROR(IF(AND(A28&lt;&gt;"",H28&lt;&gt;"No",I28&lt;&gt;"",OR('Hoy'!$B$3='Ajustes'!$D$5,F28='Hoy'!$B$3),OR(J28=TODAY()+3,AND(I28&lt;=7,J28&gt;=TODAY(),J28&lt;TODAY()+3,MOD(TODAY()+3-J28,I28)=0))),ROW(),""),"")</f>
        <v/>
      </c>
      <c r="S28" s="27">
        <f>IFERROR(IF(AND(A28&lt;&gt;"",H28&lt;&gt;"No",I28&lt;&gt;"",OR('Hoy'!$B$3='Ajustes'!$D$5,F28='Hoy'!$B$3),OR(J28=TODAY()+4,AND(I28&lt;=7,J28&gt;=TODAY(),J28&lt;TODAY()+4,MOD(TODAY()+4-J28,I28)=0))),ROW(),""),"")</f>
        <v/>
      </c>
      <c r="T28" s="27">
        <f>IFERROR(IF(AND(A28&lt;&gt;"",H28&lt;&gt;"No",I28&lt;&gt;"",OR('Hoy'!$B$3='Ajustes'!$D$5,F28='Hoy'!$B$3),OR(J28=TODAY()+5,AND(I28&lt;=7,J28&gt;=TODAY(),J28&lt;TODAY()+5,MOD(TODAY()+5-J28,I28)=0))),ROW(),""),"")</f>
        <v/>
      </c>
      <c r="U28" s="27">
        <f>IFERROR(IF(AND(A28&lt;&gt;"",H28&lt;&gt;"No",I28&lt;&gt;"",OR('Hoy'!$B$3='Ajustes'!$D$5,F28='Hoy'!$B$3),OR(J28=TODAY()+6,AND(I28&lt;=7,J28&gt;=TODAY(),J28&lt;TODAY()+6,MOD(TODAY()+6-J28,I28)=0))),ROW(),""),"")</f>
        <v/>
      </c>
    </row>
    <row r="29">
      <c r="A29" s="6" t="inlineStr">
        <is>
          <t>Cambiar las sábanas</t>
        </is>
      </c>
      <c r="B29" s="6" t="inlineStr">
        <is>
          <t>Dormitorio</t>
        </is>
      </c>
      <c r="C29" s="28" t="n">
        <v>1</v>
      </c>
      <c r="D29" s="6" t="inlineStr">
        <is>
          <t>Semanas</t>
        </is>
      </c>
      <c r="E29" s="28" t="n">
        <v>15</v>
      </c>
      <c r="F29" s="6" t="n"/>
      <c r="G29" s="6" t="n"/>
      <c r="H29" s="29" t="inlineStr">
        <is>
          <t>Sí</t>
        </is>
      </c>
      <c r="I29" s="30">
        <f>IFERROR(IF(OR(A29="",C29=""),"",C29*INDEX('Ajustes'!$I$5:$I$8,MATCH(D29,'Ajustes'!$H$5:$H$8,0))),"")</f>
        <v/>
      </c>
      <c r="J29" s="31">
        <f>IFERROR(IF(I29="","",IF(G29="",IF('Ajustes'!$B$5="",TODAY(),'Ajustes'!$B$5)+MOD(ROW()*13,I29),IF(D29='Ajustes'!$H$7,EDATE(G29,C29),IF(D29='Ajustes'!$H$8,EDATE(G29,12*C29),G29+I29)))),"")</f>
        <v/>
      </c>
      <c r="K29" s="30">
        <f>IF(J29="","",J29-TODAY())</f>
        <v/>
      </c>
      <c r="L29" s="32">
        <f>IF(A29="","",IF(H29="No","Pausada",IF(K29="","",IF(K29&lt;0,"Atrasada",IF(K29=0,"Hoy",IF(K29&lt;=7,"Esta semana","Más adelante"))))))</f>
        <v/>
      </c>
      <c r="M29" s="27">
        <f>IFERROR(IF(AND(OR(L29="Atrasada",L29="Hoy",L29="Esta semana"),OR('Hoy'!$B$3='Ajustes'!$D$5,F29='Hoy'!$B$3)),K29+ROW()/100000,""),"")</f>
        <v/>
      </c>
      <c r="N29" s="27">
        <f>IF(OR(A29="",H29="No",I29=""),0,E29*7/I29)</f>
        <v/>
      </c>
      <c r="O29" s="27">
        <f>IFERROR(IF(AND(A29&lt;&gt;"",H29&lt;&gt;"No",I29&lt;&gt;"",OR('Hoy'!$B$3='Ajustes'!$D$5,F29='Hoy'!$B$3),J29&lt;=TODAY()),ROW(),""),"")</f>
        <v/>
      </c>
      <c r="P29" s="27">
        <f>IFERROR(IF(AND(A29&lt;&gt;"",H29&lt;&gt;"No",I29&lt;&gt;"",OR('Hoy'!$B$3='Ajustes'!$D$5,F29='Hoy'!$B$3),OR(J29=TODAY()+1,AND(I29&lt;=7,J29&gt;=TODAY(),J29&lt;TODAY()+1,MOD(TODAY()+1-J29,I29)=0))),ROW(),""),"")</f>
        <v/>
      </c>
      <c r="Q29" s="27">
        <f>IFERROR(IF(AND(A29&lt;&gt;"",H29&lt;&gt;"No",I29&lt;&gt;"",OR('Hoy'!$B$3='Ajustes'!$D$5,F29='Hoy'!$B$3),OR(J29=TODAY()+2,AND(I29&lt;=7,J29&gt;=TODAY(),J29&lt;TODAY()+2,MOD(TODAY()+2-J29,I29)=0))),ROW(),""),"")</f>
        <v/>
      </c>
      <c r="R29" s="27">
        <f>IFERROR(IF(AND(A29&lt;&gt;"",H29&lt;&gt;"No",I29&lt;&gt;"",OR('Hoy'!$B$3='Ajustes'!$D$5,F29='Hoy'!$B$3),OR(J29=TODAY()+3,AND(I29&lt;=7,J29&gt;=TODAY(),J29&lt;TODAY()+3,MOD(TODAY()+3-J29,I29)=0))),ROW(),""),"")</f>
        <v/>
      </c>
      <c r="S29" s="27">
        <f>IFERROR(IF(AND(A29&lt;&gt;"",H29&lt;&gt;"No",I29&lt;&gt;"",OR('Hoy'!$B$3='Ajustes'!$D$5,F29='Hoy'!$B$3),OR(J29=TODAY()+4,AND(I29&lt;=7,J29&gt;=TODAY(),J29&lt;TODAY()+4,MOD(TODAY()+4-J29,I29)=0))),ROW(),""),"")</f>
        <v/>
      </c>
      <c r="T29" s="27">
        <f>IFERROR(IF(AND(A29&lt;&gt;"",H29&lt;&gt;"No",I29&lt;&gt;"",OR('Hoy'!$B$3='Ajustes'!$D$5,F29='Hoy'!$B$3),OR(J29=TODAY()+5,AND(I29&lt;=7,J29&gt;=TODAY(),J29&lt;TODAY()+5,MOD(TODAY()+5-J29,I29)=0))),ROW(),""),"")</f>
        <v/>
      </c>
      <c r="U29" s="27">
        <f>IFERROR(IF(AND(A29&lt;&gt;"",H29&lt;&gt;"No",I29&lt;&gt;"",OR('Hoy'!$B$3='Ajustes'!$D$5,F29='Hoy'!$B$3),OR(J29=TODAY()+6,AND(I29&lt;=7,J29&gt;=TODAY(),J29&lt;TODAY()+6,MOD(TODAY()+6-J29,I29)=0))),ROW(),""),"")</f>
        <v/>
      </c>
    </row>
    <row r="30">
      <c r="A30" s="6" t="inlineStr">
        <is>
          <t>Sacar el polvo de muebles y mesas de luz</t>
        </is>
      </c>
      <c r="B30" s="6" t="inlineStr">
        <is>
          <t>Dormitorio</t>
        </is>
      </c>
      <c r="C30" s="28" t="n">
        <v>1</v>
      </c>
      <c r="D30" s="6" t="inlineStr">
        <is>
          <t>Semanas</t>
        </is>
      </c>
      <c r="E30" s="28" t="n">
        <v>10</v>
      </c>
      <c r="F30" s="6" t="n"/>
      <c r="G30" s="6" t="n"/>
      <c r="H30" s="29" t="inlineStr">
        <is>
          <t>Sí</t>
        </is>
      </c>
      <c r="I30" s="30">
        <f>IFERROR(IF(OR(A30="",C30=""),"",C30*INDEX('Ajustes'!$I$5:$I$8,MATCH(D30,'Ajustes'!$H$5:$H$8,0))),"")</f>
        <v/>
      </c>
      <c r="J30" s="31">
        <f>IFERROR(IF(I30="","",IF(G30="",IF('Ajustes'!$B$5="",TODAY(),'Ajustes'!$B$5)+MOD(ROW()*13,I30),IF(D30='Ajustes'!$H$7,EDATE(G30,C30),IF(D30='Ajustes'!$H$8,EDATE(G30,12*C30),G30+I30)))),"")</f>
        <v/>
      </c>
      <c r="K30" s="30">
        <f>IF(J30="","",J30-TODAY())</f>
        <v/>
      </c>
      <c r="L30" s="32">
        <f>IF(A30="","",IF(H30="No","Pausada",IF(K30="","",IF(K30&lt;0,"Atrasada",IF(K30=0,"Hoy",IF(K30&lt;=7,"Esta semana","Más adelante"))))))</f>
        <v/>
      </c>
      <c r="M30" s="27">
        <f>IFERROR(IF(AND(OR(L30="Atrasada",L30="Hoy",L30="Esta semana"),OR('Hoy'!$B$3='Ajustes'!$D$5,F30='Hoy'!$B$3)),K30+ROW()/100000,""),"")</f>
        <v/>
      </c>
      <c r="N30" s="27">
        <f>IF(OR(A30="",H30="No",I30=""),0,E30*7/I30)</f>
        <v/>
      </c>
      <c r="O30" s="27">
        <f>IFERROR(IF(AND(A30&lt;&gt;"",H30&lt;&gt;"No",I30&lt;&gt;"",OR('Hoy'!$B$3='Ajustes'!$D$5,F30='Hoy'!$B$3),J30&lt;=TODAY()),ROW(),""),"")</f>
        <v/>
      </c>
      <c r="P30" s="27">
        <f>IFERROR(IF(AND(A30&lt;&gt;"",H30&lt;&gt;"No",I30&lt;&gt;"",OR('Hoy'!$B$3='Ajustes'!$D$5,F30='Hoy'!$B$3),OR(J30=TODAY()+1,AND(I30&lt;=7,J30&gt;=TODAY(),J30&lt;TODAY()+1,MOD(TODAY()+1-J30,I30)=0))),ROW(),""),"")</f>
        <v/>
      </c>
      <c r="Q30" s="27">
        <f>IFERROR(IF(AND(A30&lt;&gt;"",H30&lt;&gt;"No",I30&lt;&gt;"",OR('Hoy'!$B$3='Ajustes'!$D$5,F30='Hoy'!$B$3),OR(J30=TODAY()+2,AND(I30&lt;=7,J30&gt;=TODAY(),J30&lt;TODAY()+2,MOD(TODAY()+2-J30,I30)=0))),ROW(),""),"")</f>
        <v/>
      </c>
      <c r="R30" s="27">
        <f>IFERROR(IF(AND(A30&lt;&gt;"",H30&lt;&gt;"No",I30&lt;&gt;"",OR('Hoy'!$B$3='Ajustes'!$D$5,F30='Hoy'!$B$3),OR(J30=TODAY()+3,AND(I30&lt;=7,J30&gt;=TODAY(),J30&lt;TODAY()+3,MOD(TODAY()+3-J30,I30)=0))),ROW(),""),"")</f>
        <v/>
      </c>
      <c r="S30" s="27">
        <f>IFERROR(IF(AND(A30&lt;&gt;"",H30&lt;&gt;"No",I30&lt;&gt;"",OR('Hoy'!$B$3='Ajustes'!$D$5,F30='Hoy'!$B$3),OR(J30=TODAY()+4,AND(I30&lt;=7,J30&gt;=TODAY(),J30&lt;TODAY()+4,MOD(TODAY()+4-J30,I30)=0))),ROW(),""),"")</f>
        <v/>
      </c>
      <c r="T30" s="27">
        <f>IFERROR(IF(AND(A30&lt;&gt;"",H30&lt;&gt;"No",I30&lt;&gt;"",OR('Hoy'!$B$3='Ajustes'!$D$5,F30='Hoy'!$B$3),OR(J30=TODAY()+5,AND(I30&lt;=7,J30&gt;=TODAY(),J30&lt;TODAY()+5,MOD(TODAY()+5-J30,I30)=0))),ROW(),""),"")</f>
        <v/>
      </c>
      <c r="U30" s="27">
        <f>IFERROR(IF(AND(A30&lt;&gt;"",H30&lt;&gt;"No",I30&lt;&gt;"",OR('Hoy'!$B$3='Ajustes'!$D$5,F30='Hoy'!$B$3),OR(J30=TODAY()+6,AND(I30&lt;=7,J30&gt;=TODAY(),J30&lt;TODAY()+6,MOD(TODAY()+6-J30,I30)=0))),ROW(),""),"")</f>
        <v/>
      </c>
    </row>
    <row r="31">
      <c r="A31" s="6" t="inlineStr">
        <is>
          <t>Aspirar / barrer el dormitorio</t>
        </is>
      </c>
      <c r="B31" s="6" t="inlineStr">
        <is>
          <t>Dormitorio</t>
        </is>
      </c>
      <c r="C31" s="28" t="n">
        <v>1</v>
      </c>
      <c r="D31" s="6" t="inlineStr">
        <is>
          <t>Semanas</t>
        </is>
      </c>
      <c r="E31" s="28" t="n">
        <v>15</v>
      </c>
      <c r="F31" s="6" t="n"/>
      <c r="G31" s="6" t="n"/>
      <c r="H31" s="29" t="inlineStr">
        <is>
          <t>Sí</t>
        </is>
      </c>
      <c r="I31" s="30">
        <f>IFERROR(IF(OR(A31="",C31=""),"",C31*INDEX('Ajustes'!$I$5:$I$8,MATCH(D31,'Ajustes'!$H$5:$H$8,0))),"")</f>
        <v/>
      </c>
      <c r="J31" s="31">
        <f>IFERROR(IF(I31="","",IF(G31="",IF('Ajustes'!$B$5="",TODAY(),'Ajustes'!$B$5)+MOD(ROW()*13,I31),IF(D31='Ajustes'!$H$7,EDATE(G31,C31),IF(D31='Ajustes'!$H$8,EDATE(G31,12*C31),G31+I31)))),"")</f>
        <v/>
      </c>
      <c r="K31" s="30">
        <f>IF(J31="","",J31-TODAY())</f>
        <v/>
      </c>
      <c r="L31" s="32">
        <f>IF(A31="","",IF(H31="No","Pausada",IF(K31="","",IF(K31&lt;0,"Atrasada",IF(K31=0,"Hoy",IF(K31&lt;=7,"Esta semana","Más adelante"))))))</f>
        <v/>
      </c>
      <c r="M31" s="27">
        <f>IFERROR(IF(AND(OR(L31="Atrasada",L31="Hoy",L31="Esta semana"),OR('Hoy'!$B$3='Ajustes'!$D$5,F31='Hoy'!$B$3)),K31+ROW()/100000,""),"")</f>
        <v/>
      </c>
      <c r="N31" s="27">
        <f>IF(OR(A31="",H31="No",I31=""),0,E31*7/I31)</f>
        <v/>
      </c>
      <c r="O31" s="27">
        <f>IFERROR(IF(AND(A31&lt;&gt;"",H31&lt;&gt;"No",I31&lt;&gt;"",OR('Hoy'!$B$3='Ajustes'!$D$5,F31='Hoy'!$B$3),J31&lt;=TODAY()),ROW(),""),"")</f>
        <v/>
      </c>
      <c r="P31" s="27">
        <f>IFERROR(IF(AND(A31&lt;&gt;"",H31&lt;&gt;"No",I31&lt;&gt;"",OR('Hoy'!$B$3='Ajustes'!$D$5,F31='Hoy'!$B$3),OR(J31=TODAY()+1,AND(I31&lt;=7,J31&gt;=TODAY(),J31&lt;TODAY()+1,MOD(TODAY()+1-J31,I31)=0))),ROW(),""),"")</f>
        <v/>
      </c>
      <c r="Q31" s="27">
        <f>IFERROR(IF(AND(A31&lt;&gt;"",H31&lt;&gt;"No",I31&lt;&gt;"",OR('Hoy'!$B$3='Ajustes'!$D$5,F31='Hoy'!$B$3),OR(J31=TODAY()+2,AND(I31&lt;=7,J31&gt;=TODAY(),J31&lt;TODAY()+2,MOD(TODAY()+2-J31,I31)=0))),ROW(),""),"")</f>
        <v/>
      </c>
      <c r="R31" s="27">
        <f>IFERROR(IF(AND(A31&lt;&gt;"",H31&lt;&gt;"No",I31&lt;&gt;"",OR('Hoy'!$B$3='Ajustes'!$D$5,F31='Hoy'!$B$3),OR(J31=TODAY()+3,AND(I31&lt;=7,J31&gt;=TODAY(),J31&lt;TODAY()+3,MOD(TODAY()+3-J31,I31)=0))),ROW(),""),"")</f>
        <v/>
      </c>
      <c r="S31" s="27">
        <f>IFERROR(IF(AND(A31&lt;&gt;"",H31&lt;&gt;"No",I31&lt;&gt;"",OR('Hoy'!$B$3='Ajustes'!$D$5,F31='Hoy'!$B$3),OR(J31=TODAY()+4,AND(I31&lt;=7,J31&gt;=TODAY(),J31&lt;TODAY()+4,MOD(TODAY()+4-J31,I31)=0))),ROW(),""),"")</f>
        <v/>
      </c>
      <c r="T31" s="27">
        <f>IFERROR(IF(AND(A31&lt;&gt;"",H31&lt;&gt;"No",I31&lt;&gt;"",OR('Hoy'!$B$3='Ajustes'!$D$5,F31='Hoy'!$B$3),OR(J31=TODAY()+5,AND(I31&lt;=7,J31&gt;=TODAY(),J31&lt;TODAY()+5,MOD(TODAY()+5-J31,I31)=0))),ROW(),""),"")</f>
        <v/>
      </c>
      <c r="U31" s="27">
        <f>IFERROR(IF(AND(A31&lt;&gt;"",H31&lt;&gt;"No",I31&lt;&gt;"",OR('Hoy'!$B$3='Ajustes'!$D$5,F31='Hoy'!$B$3),OR(J31=TODAY()+6,AND(I31&lt;=7,J31&gt;=TODAY(),J31&lt;TODAY()+6,MOD(TODAY()+6-J31,I31)=0))),ROW(),""),"")</f>
        <v/>
      </c>
    </row>
    <row r="32">
      <c r="A32" s="6" t="inlineStr">
        <is>
          <t>Lavar almohadas y acolchado</t>
        </is>
      </c>
      <c r="B32" s="6" t="inlineStr">
        <is>
          <t>Dormitorio</t>
        </is>
      </c>
      <c r="C32" s="28" t="n">
        <v>3</v>
      </c>
      <c r="D32" s="6" t="inlineStr">
        <is>
          <t>Meses</t>
        </is>
      </c>
      <c r="E32" s="28" t="n">
        <v>20</v>
      </c>
      <c r="F32" s="6" t="n"/>
      <c r="G32" s="6" t="n"/>
      <c r="H32" s="29" t="inlineStr">
        <is>
          <t>Sí</t>
        </is>
      </c>
      <c r="I32" s="30">
        <f>IFERROR(IF(OR(A32="",C32=""),"",C32*INDEX('Ajustes'!$I$5:$I$8,MATCH(D32,'Ajustes'!$H$5:$H$8,0))),"")</f>
        <v/>
      </c>
      <c r="J32" s="31">
        <f>IFERROR(IF(I32="","",IF(G32="",IF('Ajustes'!$B$5="",TODAY(),'Ajustes'!$B$5)+MOD(ROW()*13,I32),IF(D32='Ajustes'!$H$7,EDATE(G32,C32),IF(D32='Ajustes'!$H$8,EDATE(G32,12*C32),G32+I32)))),"")</f>
        <v/>
      </c>
      <c r="K32" s="30">
        <f>IF(J32="","",J32-TODAY())</f>
        <v/>
      </c>
      <c r="L32" s="32">
        <f>IF(A32="","",IF(H32="No","Pausada",IF(K32="","",IF(K32&lt;0,"Atrasada",IF(K32=0,"Hoy",IF(K32&lt;=7,"Esta semana","Más adelante"))))))</f>
        <v/>
      </c>
      <c r="M32" s="27">
        <f>IFERROR(IF(AND(OR(L32="Atrasada",L32="Hoy",L32="Esta semana"),OR('Hoy'!$B$3='Ajustes'!$D$5,F32='Hoy'!$B$3)),K32+ROW()/100000,""),"")</f>
        <v/>
      </c>
      <c r="N32" s="27">
        <f>IF(OR(A32="",H32="No",I32=""),0,E32*7/I32)</f>
        <v/>
      </c>
      <c r="O32" s="27">
        <f>IFERROR(IF(AND(A32&lt;&gt;"",H32&lt;&gt;"No",I32&lt;&gt;"",OR('Hoy'!$B$3='Ajustes'!$D$5,F32='Hoy'!$B$3),J32&lt;=TODAY()),ROW(),""),"")</f>
        <v/>
      </c>
      <c r="P32" s="27">
        <f>IFERROR(IF(AND(A32&lt;&gt;"",H32&lt;&gt;"No",I32&lt;&gt;"",OR('Hoy'!$B$3='Ajustes'!$D$5,F32='Hoy'!$B$3),OR(J32=TODAY()+1,AND(I32&lt;=7,J32&gt;=TODAY(),J32&lt;TODAY()+1,MOD(TODAY()+1-J32,I32)=0))),ROW(),""),"")</f>
        <v/>
      </c>
      <c r="Q32" s="27">
        <f>IFERROR(IF(AND(A32&lt;&gt;"",H32&lt;&gt;"No",I32&lt;&gt;"",OR('Hoy'!$B$3='Ajustes'!$D$5,F32='Hoy'!$B$3),OR(J32=TODAY()+2,AND(I32&lt;=7,J32&gt;=TODAY(),J32&lt;TODAY()+2,MOD(TODAY()+2-J32,I32)=0))),ROW(),""),"")</f>
        <v/>
      </c>
      <c r="R32" s="27">
        <f>IFERROR(IF(AND(A32&lt;&gt;"",H32&lt;&gt;"No",I32&lt;&gt;"",OR('Hoy'!$B$3='Ajustes'!$D$5,F32='Hoy'!$B$3),OR(J32=TODAY()+3,AND(I32&lt;=7,J32&gt;=TODAY(),J32&lt;TODAY()+3,MOD(TODAY()+3-J32,I32)=0))),ROW(),""),"")</f>
        <v/>
      </c>
      <c r="S32" s="27">
        <f>IFERROR(IF(AND(A32&lt;&gt;"",H32&lt;&gt;"No",I32&lt;&gt;"",OR('Hoy'!$B$3='Ajustes'!$D$5,F32='Hoy'!$B$3),OR(J32=TODAY()+4,AND(I32&lt;=7,J32&gt;=TODAY(),J32&lt;TODAY()+4,MOD(TODAY()+4-J32,I32)=0))),ROW(),""),"")</f>
        <v/>
      </c>
      <c r="T32" s="27">
        <f>IFERROR(IF(AND(A32&lt;&gt;"",H32&lt;&gt;"No",I32&lt;&gt;"",OR('Hoy'!$B$3='Ajustes'!$D$5,F32='Hoy'!$B$3),OR(J32=TODAY()+5,AND(I32&lt;=7,J32&gt;=TODAY(),J32&lt;TODAY()+5,MOD(TODAY()+5-J32,I32)=0))),ROW(),""),"")</f>
        <v/>
      </c>
      <c r="U32" s="27">
        <f>IFERROR(IF(AND(A32&lt;&gt;"",H32&lt;&gt;"No",I32&lt;&gt;"",OR('Hoy'!$B$3='Ajustes'!$D$5,F32='Hoy'!$B$3),OR(J32=TODAY()+6,AND(I32&lt;=7,J32&gt;=TODAY(),J32&lt;TODAY()+6,MOD(TODAY()+6-J32,I32)=0))),ROW(),""),"")</f>
        <v/>
      </c>
    </row>
    <row r="33">
      <c r="A33" s="6" t="inlineStr">
        <is>
          <t>Dar vuelta el colchón</t>
        </is>
      </c>
      <c r="B33" s="6" t="inlineStr">
        <is>
          <t>Dormitorio</t>
        </is>
      </c>
      <c r="C33" s="28" t="n">
        <v>6</v>
      </c>
      <c r="D33" s="6" t="inlineStr">
        <is>
          <t>Meses</t>
        </is>
      </c>
      <c r="E33" s="28" t="n">
        <v>10</v>
      </c>
      <c r="F33" s="6" t="n"/>
      <c r="G33" s="6" t="n"/>
      <c r="H33" s="29" t="inlineStr">
        <is>
          <t>Sí</t>
        </is>
      </c>
      <c r="I33" s="30">
        <f>IFERROR(IF(OR(A33="",C33=""),"",C33*INDEX('Ajustes'!$I$5:$I$8,MATCH(D33,'Ajustes'!$H$5:$H$8,0))),"")</f>
        <v/>
      </c>
      <c r="J33" s="31">
        <f>IFERROR(IF(I33="","",IF(G33="",IF('Ajustes'!$B$5="",TODAY(),'Ajustes'!$B$5)+MOD(ROW()*13,I33),IF(D33='Ajustes'!$H$7,EDATE(G33,C33),IF(D33='Ajustes'!$H$8,EDATE(G33,12*C33),G33+I33)))),"")</f>
        <v/>
      </c>
      <c r="K33" s="30">
        <f>IF(J33="","",J33-TODAY())</f>
        <v/>
      </c>
      <c r="L33" s="32">
        <f>IF(A33="","",IF(H33="No","Pausada",IF(K33="","",IF(K33&lt;0,"Atrasada",IF(K33=0,"Hoy",IF(K33&lt;=7,"Esta semana","Más adelante"))))))</f>
        <v/>
      </c>
      <c r="M33" s="27">
        <f>IFERROR(IF(AND(OR(L33="Atrasada",L33="Hoy",L33="Esta semana"),OR('Hoy'!$B$3='Ajustes'!$D$5,F33='Hoy'!$B$3)),K33+ROW()/100000,""),"")</f>
        <v/>
      </c>
      <c r="N33" s="27">
        <f>IF(OR(A33="",H33="No",I33=""),0,E33*7/I33)</f>
        <v/>
      </c>
      <c r="O33" s="27">
        <f>IFERROR(IF(AND(A33&lt;&gt;"",H33&lt;&gt;"No",I33&lt;&gt;"",OR('Hoy'!$B$3='Ajustes'!$D$5,F33='Hoy'!$B$3),J33&lt;=TODAY()),ROW(),""),"")</f>
        <v/>
      </c>
      <c r="P33" s="27">
        <f>IFERROR(IF(AND(A33&lt;&gt;"",H33&lt;&gt;"No",I33&lt;&gt;"",OR('Hoy'!$B$3='Ajustes'!$D$5,F33='Hoy'!$B$3),OR(J33=TODAY()+1,AND(I33&lt;=7,J33&gt;=TODAY(),J33&lt;TODAY()+1,MOD(TODAY()+1-J33,I33)=0))),ROW(),""),"")</f>
        <v/>
      </c>
      <c r="Q33" s="27">
        <f>IFERROR(IF(AND(A33&lt;&gt;"",H33&lt;&gt;"No",I33&lt;&gt;"",OR('Hoy'!$B$3='Ajustes'!$D$5,F33='Hoy'!$B$3),OR(J33=TODAY()+2,AND(I33&lt;=7,J33&gt;=TODAY(),J33&lt;TODAY()+2,MOD(TODAY()+2-J33,I33)=0))),ROW(),""),"")</f>
        <v/>
      </c>
      <c r="R33" s="27">
        <f>IFERROR(IF(AND(A33&lt;&gt;"",H33&lt;&gt;"No",I33&lt;&gt;"",OR('Hoy'!$B$3='Ajustes'!$D$5,F33='Hoy'!$B$3),OR(J33=TODAY()+3,AND(I33&lt;=7,J33&gt;=TODAY(),J33&lt;TODAY()+3,MOD(TODAY()+3-J33,I33)=0))),ROW(),""),"")</f>
        <v/>
      </c>
      <c r="S33" s="27">
        <f>IFERROR(IF(AND(A33&lt;&gt;"",H33&lt;&gt;"No",I33&lt;&gt;"",OR('Hoy'!$B$3='Ajustes'!$D$5,F33='Hoy'!$B$3),OR(J33=TODAY()+4,AND(I33&lt;=7,J33&gt;=TODAY(),J33&lt;TODAY()+4,MOD(TODAY()+4-J33,I33)=0))),ROW(),""),"")</f>
        <v/>
      </c>
      <c r="T33" s="27">
        <f>IFERROR(IF(AND(A33&lt;&gt;"",H33&lt;&gt;"No",I33&lt;&gt;"",OR('Hoy'!$B$3='Ajustes'!$D$5,F33='Hoy'!$B$3),OR(J33=TODAY()+5,AND(I33&lt;=7,J33&gt;=TODAY(),J33&lt;TODAY()+5,MOD(TODAY()+5-J33,I33)=0))),ROW(),""),"")</f>
        <v/>
      </c>
      <c r="U33" s="27">
        <f>IFERROR(IF(AND(A33&lt;&gt;"",H33&lt;&gt;"No",I33&lt;&gt;"",OR('Hoy'!$B$3='Ajustes'!$D$5,F33='Hoy'!$B$3),OR(J33=TODAY()+6,AND(I33&lt;=7,J33&gt;=TODAY(),J33&lt;TODAY()+6,MOD(TODAY()+6-J33,I33)=0))),ROW(),""),"")</f>
        <v/>
      </c>
    </row>
    <row r="34">
      <c r="A34" s="6" t="inlineStr">
        <is>
          <t>Ordenar el placard y separar ropa para donar</t>
        </is>
      </c>
      <c r="B34" s="6" t="inlineStr">
        <is>
          <t>Dormitorio</t>
        </is>
      </c>
      <c r="C34" s="28" t="n">
        <v>6</v>
      </c>
      <c r="D34" s="6" t="inlineStr">
        <is>
          <t>Meses</t>
        </is>
      </c>
      <c r="E34" s="28" t="n">
        <v>60</v>
      </c>
      <c r="F34" s="6" t="n"/>
      <c r="G34" s="6" t="n"/>
      <c r="H34" s="29" t="inlineStr">
        <is>
          <t>Sí</t>
        </is>
      </c>
      <c r="I34" s="30">
        <f>IFERROR(IF(OR(A34="",C34=""),"",C34*INDEX('Ajustes'!$I$5:$I$8,MATCH(D34,'Ajustes'!$H$5:$H$8,0))),"")</f>
        <v/>
      </c>
      <c r="J34" s="31">
        <f>IFERROR(IF(I34="","",IF(G34="",IF('Ajustes'!$B$5="",TODAY(),'Ajustes'!$B$5)+MOD(ROW()*13,I34),IF(D34='Ajustes'!$H$7,EDATE(G34,C34),IF(D34='Ajustes'!$H$8,EDATE(G34,12*C34),G34+I34)))),"")</f>
        <v/>
      </c>
      <c r="K34" s="30">
        <f>IF(J34="","",J34-TODAY())</f>
        <v/>
      </c>
      <c r="L34" s="32">
        <f>IF(A34="","",IF(H34="No","Pausada",IF(K34="","",IF(K34&lt;0,"Atrasada",IF(K34=0,"Hoy",IF(K34&lt;=7,"Esta semana","Más adelante"))))))</f>
        <v/>
      </c>
      <c r="M34" s="27">
        <f>IFERROR(IF(AND(OR(L34="Atrasada",L34="Hoy",L34="Esta semana"),OR('Hoy'!$B$3='Ajustes'!$D$5,F34='Hoy'!$B$3)),K34+ROW()/100000,""),"")</f>
        <v/>
      </c>
      <c r="N34" s="27">
        <f>IF(OR(A34="",H34="No",I34=""),0,E34*7/I34)</f>
        <v/>
      </c>
      <c r="O34" s="27">
        <f>IFERROR(IF(AND(A34&lt;&gt;"",H34&lt;&gt;"No",I34&lt;&gt;"",OR('Hoy'!$B$3='Ajustes'!$D$5,F34='Hoy'!$B$3),J34&lt;=TODAY()),ROW(),""),"")</f>
        <v/>
      </c>
      <c r="P34" s="27">
        <f>IFERROR(IF(AND(A34&lt;&gt;"",H34&lt;&gt;"No",I34&lt;&gt;"",OR('Hoy'!$B$3='Ajustes'!$D$5,F34='Hoy'!$B$3),OR(J34=TODAY()+1,AND(I34&lt;=7,J34&gt;=TODAY(),J34&lt;TODAY()+1,MOD(TODAY()+1-J34,I34)=0))),ROW(),""),"")</f>
        <v/>
      </c>
      <c r="Q34" s="27">
        <f>IFERROR(IF(AND(A34&lt;&gt;"",H34&lt;&gt;"No",I34&lt;&gt;"",OR('Hoy'!$B$3='Ajustes'!$D$5,F34='Hoy'!$B$3),OR(J34=TODAY()+2,AND(I34&lt;=7,J34&gt;=TODAY(),J34&lt;TODAY()+2,MOD(TODAY()+2-J34,I34)=0))),ROW(),""),"")</f>
        <v/>
      </c>
      <c r="R34" s="27">
        <f>IFERROR(IF(AND(A34&lt;&gt;"",H34&lt;&gt;"No",I34&lt;&gt;"",OR('Hoy'!$B$3='Ajustes'!$D$5,F34='Hoy'!$B$3),OR(J34=TODAY()+3,AND(I34&lt;=7,J34&gt;=TODAY(),J34&lt;TODAY()+3,MOD(TODAY()+3-J34,I34)=0))),ROW(),""),"")</f>
        <v/>
      </c>
      <c r="S34" s="27">
        <f>IFERROR(IF(AND(A34&lt;&gt;"",H34&lt;&gt;"No",I34&lt;&gt;"",OR('Hoy'!$B$3='Ajustes'!$D$5,F34='Hoy'!$B$3),OR(J34=TODAY()+4,AND(I34&lt;=7,J34&gt;=TODAY(),J34&lt;TODAY()+4,MOD(TODAY()+4-J34,I34)=0))),ROW(),""),"")</f>
        <v/>
      </c>
      <c r="T34" s="27">
        <f>IFERROR(IF(AND(A34&lt;&gt;"",H34&lt;&gt;"No",I34&lt;&gt;"",OR('Hoy'!$B$3='Ajustes'!$D$5,F34='Hoy'!$B$3),OR(J34=TODAY()+5,AND(I34&lt;=7,J34&gt;=TODAY(),J34&lt;TODAY()+5,MOD(TODAY()+5-J34,I34)=0))),ROW(),""),"")</f>
        <v/>
      </c>
      <c r="U34" s="27">
        <f>IFERROR(IF(AND(A34&lt;&gt;"",H34&lt;&gt;"No",I34&lt;&gt;"",OR('Hoy'!$B$3='Ajustes'!$D$5,F34='Hoy'!$B$3),OR(J34=TODAY()+6,AND(I34&lt;=7,J34&gt;=TODAY(),J34&lt;TODAY()+6,MOD(TODAY()+6-J34,I34)=0))),ROW(),""),"")</f>
        <v/>
      </c>
    </row>
    <row r="35">
      <c r="A35" s="6" t="inlineStr">
        <is>
          <t>Reordenar el living (5 minutos)</t>
        </is>
      </c>
      <c r="B35" s="6" t="inlineStr">
        <is>
          <t>Living</t>
        </is>
      </c>
      <c r="C35" s="28" t="n">
        <v>1</v>
      </c>
      <c r="D35" s="6" t="inlineStr">
        <is>
          <t>Días</t>
        </is>
      </c>
      <c r="E35" s="28" t="n">
        <v>5</v>
      </c>
      <c r="F35" s="6" t="n"/>
      <c r="G35" s="6" t="n"/>
      <c r="H35" s="29" t="inlineStr">
        <is>
          <t>Sí</t>
        </is>
      </c>
      <c r="I35" s="30">
        <f>IFERROR(IF(OR(A35="",C35=""),"",C35*INDEX('Ajustes'!$I$5:$I$8,MATCH(D35,'Ajustes'!$H$5:$H$8,0))),"")</f>
        <v/>
      </c>
      <c r="J35" s="31">
        <f>IFERROR(IF(I35="","",IF(G35="",IF('Ajustes'!$B$5="",TODAY(),'Ajustes'!$B$5)+MOD(ROW()*13,I35),IF(D35='Ajustes'!$H$7,EDATE(G35,C35),IF(D35='Ajustes'!$H$8,EDATE(G35,12*C35),G35+I35)))),"")</f>
        <v/>
      </c>
      <c r="K35" s="30">
        <f>IF(J35="","",J35-TODAY())</f>
        <v/>
      </c>
      <c r="L35" s="32">
        <f>IF(A35="","",IF(H35="No","Pausada",IF(K35="","",IF(K35&lt;0,"Atrasada",IF(K35=0,"Hoy",IF(K35&lt;=7,"Esta semana","Más adelante"))))))</f>
        <v/>
      </c>
      <c r="M35" s="27">
        <f>IFERROR(IF(AND(OR(L35="Atrasada",L35="Hoy",L35="Esta semana"),OR('Hoy'!$B$3='Ajustes'!$D$5,F35='Hoy'!$B$3)),K35+ROW()/100000,""),"")</f>
        <v/>
      </c>
      <c r="N35" s="27">
        <f>IF(OR(A35="",H35="No",I35=""),0,E35*7/I35)</f>
        <v/>
      </c>
      <c r="O35" s="27">
        <f>IFERROR(IF(AND(A35&lt;&gt;"",H35&lt;&gt;"No",I35&lt;&gt;"",OR('Hoy'!$B$3='Ajustes'!$D$5,F35='Hoy'!$B$3),J35&lt;=TODAY()),ROW(),""),"")</f>
        <v/>
      </c>
      <c r="P35" s="27">
        <f>IFERROR(IF(AND(A35&lt;&gt;"",H35&lt;&gt;"No",I35&lt;&gt;"",OR('Hoy'!$B$3='Ajustes'!$D$5,F35='Hoy'!$B$3),OR(J35=TODAY()+1,AND(I35&lt;=7,J35&gt;=TODAY(),J35&lt;TODAY()+1,MOD(TODAY()+1-J35,I35)=0))),ROW(),""),"")</f>
        <v/>
      </c>
      <c r="Q35" s="27">
        <f>IFERROR(IF(AND(A35&lt;&gt;"",H35&lt;&gt;"No",I35&lt;&gt;"",OR('Hoy'!$B$3='Ajustes'!$D$5,F35='Hoy'!$B$3),OR(J35=TODAY()+2,AND(I35&lt;=7,J35&gt;=TODAY(),J35&lt;TODAY()+2,MOD(TODAY()+2-J35,I35)=0))),ROW(),""),"")</f>
        <v/>
      </c>
      <c r="R35" s="27">
        <f>IFERROR(IF(AND(A35&lt;&gt;"",H35&lt;&gt;"No",I35&lt;&gt;"",OR('Hoy'!$B$3='Ajustes'!$D$5,F35='Hoy'!$B$3),OR(J35=TODAY()+3,AND(I35&lt;=7,J35&gt;=TODAY(),J35&lt;TODAY()+3,MOD(TODAY()+3-J35,I35)=0))),ROW(),""),"")</f>
        <v/>
      </c>
      <c r="S35" s="27">
        <f>IFERROR(IF(AND(A35&lt;&gt;"",H35&lt;&gt;"No",I35&lt;&gt;"",OR('Hoy'!$B$3='Ajustes'!$D$5,F35='Hoy'!$B$3),OR(J35=TODAY()+4,AND(I35&lt;=7,J35&gt;=TODAY(),J35&lt;TODAY()+4,MOD(TODAY()+4-J35,I35)=0))),ROW(),""),"")</f>
        <v/>
      </c>
      <c r="T35" s="27">
        <f>IFERROR(IF(AND(A35&lt;&gt;"",H35&lt;&gt;"No",I35&lt;&gt;"",OR('Hoy'!$B$3='Ajustes'!$D$5,F35='Hoy'!$B$3),OR(J35=TODAY()+5,AND(I35&lt;=7,J35&gt;=TODAY(),J35&lt;TODAY()+5,MOD(TODAY()+5-J35,I35)=0))),ROW(),""),"")</f>
        <v/>
      </c>
      <c r="U35" s="27">
        <f>IFERROR(IF(AND(A35&lt;&gt;"",H35&lt;&gt;"No",I35&lt;&gt;"",OR('Hoy'!$B$3='Ajustes'!$D$5,F35='Hoy'!$B$3),OR(J35=TODAY()+6,AND(I35&lt;=7,J35&gt;=TODAY(),J35&lt;TODAY()+6,MOD(TODAY()+6-J35,I35)=0))),ROW(),""),"")</f>
        <v/>
      </c>
    </row>
    <row r="36">
      <c r="A36" s="6" t="inlineStr">
        <is>
          <t>Aspirar pisos y alfombras</t>
        </is>
      </c>
      <c r="B36" s="6" t="inlineStr">
        <is>
          <t>Living</t>
        </is>
      </c>
      <c r="C36" s="28" t="n">
        <v>1</v>
      </c>
      <c r="D36" s="6" t="inlineStr">
        <is>
          <t>Semanas</t>
        </is>
      </c>
      <c r="E36" s="28" t="n">
        <v>20</v>
      </c>
      <c r="F36" s="6" t="n"/>
      <c r="G36" s="6" t="n"/>
      <c r="H36" s="29" t="inlineStr">
        <is>
          <t>Sí</t>
        </is>
      </c>
      <c r="I36" s="30">
        <f>IFERROR(IF(OR(A36="",C36=""),"",C36*INDEX('Ajustes'!$I$5:$I$8,MATCH(D36,'Ajustes'!$H$5:$H$8,0))),"")</f>
        <v/>
      </c>
      <c r="J36" s="31">
        <f>IFERROR(IF(I36="","",IF(G36="",IF('Ajustes'!$B$5="",TODAY(),'Ajustes'!$B$5)+MOD(ROW()*13,I36),IF(D36='Ajustes'!$H$7,EDATE(G36,C36),IF(D36='Ajustes'!$H$8,EDATE(G36,12*C36),G36+I36)))),"")</f>
        <v/>
      </c>
      <c r="K36" s="30">
        <f>IF(J36="","",J36-TODAY())</f>
        <v/>
      </c>
      <c r="L36" s="32">
        <f>IF(A36="","",IF(H36="No","Pausada",IF(K36="","",IF(K36&lt;0,"Atrasada",IF(K36=0,"Hoy",IF(K36&lt;=7,"Esta semana","Más adelante"))))))</f>
        <v/>
      </c>
      <c r="M36" s="27">
        <f>IFERROR(IF(AND(OR(L36="Atrasada",L36="Hoy",L36="Esta semana"),OR('Hoy'!$B$3='Ajustes'!$D$5,F36='Hoy'!$B$3)),K36+ROW()/100000,""),"")</f>
        <v/>
      </c>
      <c r="N36" s="27">
        <f>IF(OR(A36="",H36="No",I36=""),0,E36*7/I36)</f>
        <v/>
      </c>
      <c r="O36" s="27">
        <f>IFERROR(IF(AND(A36&lt;&gt;"",H36&lt;&gt;"No",I36&lt;&gt;"",OR('Hoy'!$B$3='Ajustes'!$D$5,F36='Hoy'!$B$3),J36&lt;=TODAY()),ROW(),""),"")</f>
        <v/>
      </c>
      <c r="P36" s="27">
        <f>IFERROR(IF(AND(A36&lt;&gt;"",H36&lt;&gt;"No",I36&lt;&gt;"",OR('Hoy'!$B$3='Ajustes'!$D$5,F36='Hoy'!$B$3),OR(J36=TODAY()+1,AND(I36&lt;=7,J36&gt;=TODAY(),J36&lt;TODAY()+1,MOD(TODAY()+1-J36,I36)=0))),ROW(),""),"")</f>
        <v/>
      </c>
      <c r="Q36" s="27">
        <f>IFERROR(IF(AND(A36&lt;&gt;"",H36&lt;&gt;"No",I36&lt;&gt;"",OR('Hoy'!$B$3='Ajustes'!$D$5,F36='Hoy'!$B$3),OR(J36=TODAY()+2,AND(I36&lt;=7,J36&gt;=TODAY(),J36&lt;TODAY()+2,MOD(TODAY()+2-J36,I36)=0))),ROW(),""),"")</f>
        <v/>
      </c>
      <c r="R36" s="27">
        <f>IFERROR(IF(AND(A36&lt;&gt;"",H36&lt;&gt;"No",I36&lt;&gt;"",OR('Hoy'!$B$3='Ajustes'!$D$5,F36='Hoy'!$B$3),OR(J36=TODAY()+3,AND(I36&lt;=7,J36&gt;=TODAY(),J36&lt;TODAY()+3,MOD(TODAY()+3-J36,I36)=0))),ROW(),""),"")</f>
        <v/>
      </c>
      <c r="S36" s="27">
        <f>IFERROR(IF(AND(A36&lt;&gt;"",H36&lt;&gt;"No",I36&lt;&gt;"",OR('Hoy'!$B$3='Ajustes'!$D$5,F36='Hoy'!$B$3),OR(J36=TODAY()+4,AND(I36&lt;=7,J36&gt;=TODAY(),J36&lt;TODAY()+4,MOD(TODAY()+4-J36,I36)=0))),ROW(),""),"")</f>
        <v/>
      </c>
      <c r="T36" s="27">
        <f>IFERROR(IF(AND(A36&lt;&gt;"",H36&lt;&gt;"No",I36&lt;&gt;"",OR('Hoy'!$B$3='Ajustes'!$D$5,F36='Hoy'!$B$3),OR(J36=TODAY()+5,AND(I36&lt;=7,J36&gt;=TODAY(),J36&lt;TODAY()+5,MOD(TODAY()+5-J36,I36)=0))),ROW(),""),"")</f>
        <v/>
      </c>
      <c r="U36" s="27">
        <f>IFERROR(IF(AND(A36&lt;&gt;"",H36&lt;&gt;"No",I36&lt;&gt;"",OR('Hoy'!$B$3='Ajustes'!$D$5,F36='Hoy'!$B$3),OR(J36=TODAY()+6,AND(I36&lt;=7,J36&gt;=TODAY(),J36&lt;TODAY()+6,MOD(TODAY()+6-J36,I36)=0))),ROW(),""),"")</f>
        <v/>
      </c>
    </row>
    <row r="37">
      <c r="A37" s="6" t="inlineStr">
        <is>
          <t>Sacar el polvo de estantes y TV</t>
        </is>
      </c>
      <c r="B37" s="6" t="inlineStr">
        <is>
          <t>Living</t>
        </is>
      </c>
      <c r="C37" s="28" t="n">
        <v>1</v>
      </c>
      <c r="D37" s="6" t="inlineStr">
        <is>
          <t>Semanas</t>
        </is>
      </c>
      <c r="E37" s="28" t="n">
        <v>10</v>
      </c>
      <c r="F37" s="6" t="n"/>
      <c r="G37" s="6" t="n"/>
      <c r="H37" s="29" t="inlineStr">
        <is>
          <t>Sí</t>
        </is>
      </c>
      <c r="I37" s="30">
        <f>IFERROR(IF(OR(A37="",C37=""),"",C37*INDEX('Ajustes'!$I$5:$I$8,MATCH(D37,'Ajustes'!$H$5:$H$8,0))),"")</f>
        <v/>
      </c>
      <c r="J37" s="31">
        <f>IFERROR(IF(I37="","",IF(G37="",IF('Ajustes'!$B$5="",TODAY(),'Ajustes'!$B$5)+MOD(ROW()*13,I37),IF(D37='Ajustes'!$H$7,EDATE(G37,C37),IF(D37='Ajustes'!$H$8,EDATE(G37,12*C37),G37+I37)))),"")</f>
        <v/>
      </c>
      <c r="K37" s="30">
        <f>IF(J37="","",J37-TODAY())</f>
        <v/>
      </c>
      <c r="L37" s="32">
        <f>IF(A37="","",IF(H37="No","Pausada",IF(K37="","",IF(K37&lt;0,"Atrasada",IF(K37=0,"Hoy",IF(K37&lt;=7,"Esta semana","Más adelante"))))))</f>
        <v/>
      </c>
      <c r="M37" s="27">
        <f>IFERROR(IF(AND(OR(L37="Atrasada",L37="Hoy",L37="Esta semana"),OR('Hoy'!$B$3='Ajustes'!$D$5,F37='Hoy'!$B$3)),K37+ROW()/100000,""),"")</f>
        <v/>
      </c>
      <c r="N37" s="27">
        <f>IF(OR(A37="",H37="No",I37=""),0,E37*7/I37)</f>
        <v/>
      </c>
      <c r="O37" s="27">
        <f>IFERROR(IF(AND(A37&lt;&gt;"",H37&lt;&gt;"No",I37&lt;&gt;"",OR('Hoy'!$B$3='Ajustes'!$D$5,F37='Hoy'!$B$3),J37&lt;=TODAY()),ROW(),""),"")</f>
        <v/>
      </c>
      <c r="P37" s="27">
        <f>IFERROR(IF(AND(A37&lt;&gt;"",H37&lt;&gt;"No",I37&lt;&gt;"",OR('Hoy'!$B$3='Ajustes'!$D$5,F37='Hoy'!$B$3),OR(J37=TODAY()+1,AND(I37&lt;=7,J37&gt;=TODAY(),J37&lt;TODAY()+1,MOD(TODAY()+1-J37,I37)=0))),ROW(),""),"")</f>
        <v/>
      </c>
      <c r="Q37" s="27">
        <f>IFERROR(IF(AND(A37&lt;&gt;"",H37&lt;&gt;"No",I37&lt;&gt;"",OR('Hoy'!$B$3='Ajustes'!$D$5,F37='Hoy'!$B$3),OR(J37=TODAY()+2,AND(I37&lt;=7,J37&gt;=TODAY(),J37&lt;TODAY()+2,MOD(TODAY()+2-J37,I37)=0))),ROW(),""),"")</f>
        <v/>
      </c>
      <c r="R37" s="27">
        <f>IFERROR(IF(AND(A37&lt;&gt;"",H37&lt;&gt;"No",I37&lt;&gt;"",OR('Hoy'!$B$3='Ajustes'!$D$5,F37='Hoy'!$B$3),OR(J37=TODAY()+3,AND(I37&lt;=7,J37&gt;=TODAY(),J37&lt;TODAY()+3,MOD(TODAY()+3-J37,I37)=0))),ROW(),""),"")</f>
        <v/>
      </c>
      <c r="S37" s="27">
        <f>IFERROR(IF(AND(A37&lt;&gt;"",H37&lt;&gt;"No",I37&lt;&gt;"",OR('Hoy'!$B$3='Ajustes'!$D$5,F37='Hoy'!$B$3),OR(J37=TODAY()+4,AND(I37&lt;=7,J37&gt;=TODAY(),J37&lt;TODAY()+4,MOD(TODAY()+4-J37,I37)=0))),ROW(),""),"")</f>
        <v/>
      </c>
      <c r="T37" s="27">
        <f>IFERROR(IF(AND(A37&lt;&gt;"",H37&lt;&gt;"No",I37&lt;&gt;"",OR('Hoy'!$B$3='Ajustes'!$D$5,F37='Hoy'!$B$3),OR(J37=TODAY()+5,AND(I37&lt;=7,J37&gt;=TODAY(),J37&lt;TODAY()+5,MOD(TODAY()+5-J37,I37)=0))),ROW(),""),"")</f>
        <v/>
      </c>
      <c r="U37" s="27">
        <f>IFERROR(IF(AND(A37&lt;&gt;"",H37&lt;&gt;"No",I37&lt;&gt;"",OR('Hoy'!$B$3='Ajustes'!$D$5,F37='Hoy'!$B$3),OR(J37=TODAY()+6,AND(I37&lt;=7,J37&gt;=TODAY(),J37&lt;TODAY()+6,MOD(TODAY()+6-J37,I37)=0))),ROW(),""),"")</f>
        <v/>
      </c>
    </row>
    <row r="38">
      <c r="A38" s="6" t="inlineStr">
        <is>
          <t>Aspirar el sillón</t>
        </is>
      </c>
      <c r="B38" s="6" t="inlineStr">
        <is>
          <t>Living</t>
        </is>
      </c>
      <c r="C38" s="28" t="n">
        <v>2</v>
      </c>
      <c r="D38" s="6" t="inlineStr">
        <is>
          <t>Semanas</t>
        </is>
      </c>
      <c r="E38" s="28" t="n">
        <v>10</v>
      </c>
      <c r="F38" s="6" t="n"/>
      <c r="G38" s="6" t="n"/>
      <c r="H38" s="29" t="inlineStr">
        <is>
          <t>Sí</t>
        </is>
      </c>
      <c r="I38" s="30">
        <f>IFERROR(IF(OR(A38="",C38=""),"",C38*INDEX('Ajustes'!$I$5:$I$8,MATCH(D38,'Ajustes'!$H$5:$H$8,0))),"")</f>
        <v/>
      </c>
      <c r="J38" s="31">
        <f>IFERROR(IF(I38="","",IF(G38="",IF('Ajustes'!$B$5="",TODAY(),'Ajustes'!$B$5)+MOD(ROW()*13,I38),IF(D38='Ajustes'!$H$7,EDATE(G38,C38),IF(D38='Ajustes'!$H$8,EDATE(G38,12*C38),G38+I38)))),"")</f>
        <v/>
      </c>
      <c r="K38" s="30">
        <f>IF(J38="","",J38-TODAY())</f>
        <v/>
      </c>
      <c r="L38" s="32">
        <f>IF(A38="","",IF(H38="No","Pausada",IF(K38="","",IF(K38&lt;0,"Atrasada",IF(K38=0,"Hoy",IF(K38&lt;=7,"Esta semana","Más adelante"))))))</f>
        <v/>
      </c>
      <c r="M38" s="27">
        <f>IFERROR(IF(AND(OR(L38="Atrasada",L38="Hoy",L38="Esta semana"),OR('Hoy'!$B$3='Ajustes'!$D$5,F38='Hoy'!$B$3)),K38+ROW()/100000,""),"")</f>
        <v/>
      </c>
      <c r="N38" s="27">
        <f>IF(OR(A38="",H38="No",I38=""),0,E38*7/I38)</f>
        <v/>
      </c>
      <c r="O38" s="27">
        <f>IFERROR(IF(AND(A38&lt;&gt;"",H38&lt;&gt;"No",I38&lt;&gt;"",OR('Hoy'!$B$3='Ajustes'!$D$5,F38='Hoy'!$B$3),J38&lt;=TODAY()),ROW(),""),"")</f>
        <v/>
      </c>
      <c r="P38" s="27">
        <f>IFERROR(IF(AND(A38&lt;&gt;"",H38&lt;&gt;"No",I38&lt;&gt;"",OR('Hoy'!$B$3='Ajustes'!$D$5,F38='Hoy'!$B$3),OR(J38=TODAY()+1,AND(I38&lt;=7,J38&gt;=TODAY(),J38&lt;TODAY()+1,MOD(TODAY()+1-J38,I38)=0))),ROW(),""),"")</f>
        <v/>
      </c>
      <c r="Q38" s="27">
        <f>IFERROR(IF(AND(A38&lt;&gt;"",H38&lt;&gt;"No",I38&lt;&gt;"",OR('Hoy'!$B$3='Ajustes'!$D$5,F38='Hoy'!$B$3),OR(J38=TODAY()+2,AND(I38&lt;=7,J38&gt;=TODAY(),J38&lt;TODAY()+2,MOD(TODAY()+2-J38,I38)=0))),ROW(),""),"")</f>
        <v/>
      </c>
      <c r="R38" s="27">
        <f>IFERROR(IF(AND(A38&lt;&gt;"",H38&lt;&gt;"No",I38&lt;&gt;"",OR('Hoy'!$B$3='Ajustes'!$D$5,F38='Hoy'!$B$3),OR(J38=TODAY()+3,AND(I38&lt;=7,J38&gt;=TODAY(),J38&lt;TODAY()+3,MOD(TODAY()+3-J38,I38)=0))),ROW(),""),"")</f>
        <v/>
      </c>
      <c r="S38" s="27">
        <f>IFERROR(IF(AND(A38&lt;&gt;"",H38&lt;&gt;"No",I38&lt;&gt;"",OR('Hoy'!$B$3='Ajustes'!$D$5,F38='Hoy'!$B$3),OR(J38=TODAY()+4,AND(I38&lt;=7,J38&gt;=TODAY(),J38&lt;TODAY()+4,MOD(TODAY()+4-J38,I38)=0))),ROW(),""),"")</f>
        <v/>
      </c>
      <c r="T38" s="27">
        <f>IFERROR(IF(AND(A38&lt;&gt;"",H38&lt;&gt;"No",I38&lt;&gt;"",OR('Hoy'!$B$3='Ajustes'!$D$5,F38='Hoy'!$B$3),OR(J38=TODAY()+5,AND(I38&lt;=7,J38&gt;=TODAY(),J38&lt;TODAY()+5,MOD(TODAY()+5-J38,I38)=0))),ROW(),""),"")</f>
        <v/>
      </c>
      <c r="U38" s="27">
        <f>IFERROR(IF(AND(A38&lt;&gt;"",H38&lt;&gt;"No",I38&lt;&gt;"",OR('Hoy'!$B$3='Ajustes'!$D$5,F38='Hoy'!$B$3),OR(J38=TODAY()+6,AND(I38&lt;=7,J38&gt;=TODAY(),J38&lt;TODAY()+6,MOD(TODAY()+6-J38,I38)=0))),ROW(),""),"")</f>
        <v/>
      </c>
    </row>
    <row r="39">
      <c r="A39" s="6" t="inlineStr">
        <is>
          <t>Limpiar controles e interruptores</t>
        </is>
      </c>
      <c r="B39" s="6" t="inlineStr">
        <is>
          <t>Living</t>
        </is>
      </c>
      <c r="C39" s="28" t="n">
        <v>2</v>
      </c>
      <c r="D39" s="6" t="inlineStr">
        <is>
          <t>Semanas</t>
        </is>
      </c>
      <c r="E39" s="28" t="n">
        <v>5</v>
      </c>
      <c r="F39" s="6" t="n"/>
      <c r="G39" s="6" t="n"/>
      <c r="H39" s="29" t="inlineStr">
        <is>
          <t>Sí</t>
        </is>
      </c>
      <c r="I39" s="30">
        <f>IFERROR(IF(OR(A39="",C39=""),"",C39*INDEX('Ajustes'!$I$5:$I$8,MATCH(D39,'Ajustes'!$H$5:$H$8,0))),"")</f>
        <v/>
      </c>
      <c r="J39" s="31">
        <f>IFERROR(IF(I39="","",IF(G39="",IF('Ajustes'!$B$5="",TODAY(),'Ajustes'!$B$5)+MOD(ROW()*13,I39),IF(D39='Ajustes'!$H$7,EDATE(G39,C39),IF(D39='Ajustes'!$H$8,EDATE(G39,12*C39),G39+I39)))),"")</f>
        <v/>
      </c>
      <c r="K39" s="30">
        <f>IF(J39="","",J39-TODAY())</f>
        <v/>
      </c>
      <c r="L39" s="32">
        <f>IF(A39="","",IF(H39="No","Pausada",IF(K39="","",IF(K39&lt;0,"Atrasada",IF(K39=0,"Hoy",IF(K39&lt;=7,"Esta semana","Más adelante"))))))</f>
        <v/>
      </c>
      <c r="M39" s="27">
        <f>IFERROR(IF(AND(OR(L39="Atrasada",L39="Hoy",L39="Esta semana"),OR('Hoy'!$B$3='Ajustes'!$D$5,F39='Hoy'!$B$3)),K39+ROW()/100000,""),"")</f>
        <v/>
      </c>
      <c r="N39" s="27">
        <f>IF(OR(A39="",H39="No",I39=""),0,E39*7/I39)</f>
        <v/>
      </c>
      <c r="O39" s="27">
        <f>IFERROR(IF(AND(A39&lt;&gt;"",H39&lt;&gt;"No",I39&lt;&gt;"",OR('Hoy'!$B$3='Ajustes'!$D$5,F39='Hoy'!$B$3),J39&lt;=TODAY()),ROW(),""),"")</f>
        <v/>
      </c>
      <c r="P39" s="27">
        <f>IFERROR(IF(AND(A39&lt;&gt;"",H39&lt;&gt;"No",I39&lt;&gt;"",OR('Hoy'!$B$3='Ajustes'!$D$5,F39='Hoy'!$B$3),OR(J39=TODAY()+1,AND(I39&lt;=7,J39&gt;=TODAY(),J39&lt;TODAY()+1,MOD(TODAY()+1-J39,I39)=0))),ROW(),""),"")</f>
        <v/>
      </c>
      <c r="Q39" s="27">
        <f>IFERROR(IF(AND(A39&lt;&gt;"",H39&lt;&gt;"No",I39&lt;&gt;"",OR('Hoy'!$B$3='Ajustes'!$D$5,F39='Hoy'!$B$3),OR(J39=TODAY()+2,AND(I39&lt;=7,J39&gt;=TODAY(),J39&lt;TODAY()+2,MOD(TODAY()+2-J39,I39)=0))),ROW(),""),"")</f>
        <v/>
      </c>
      <c r="R39" s="27">
        <f>IFERROR(IF(AND(A39&lt;&gt;"",H39&lt;&gt;"No",I39&lt;&gt;"",OR('Hoy'!$B$3='Ajustes'!$D$5,F39='Hoy'!$B$3),OR(J39=TODAY()+3,AND(I39&lt;=7,J39&gt;=TODAY(),J39&lt;TODAY()+3,MOD(TODAY()+3-J39,I39)=0))),ROW(),""),"")</f>
        <v/>
      </c>
      <c r="S39" s="27">
        <f>IFERROR(IF(AND(A39&lt;&gt;"",H39&lt;&gt;"No",I39&lt;&gt;"",OR('Hoy'!$B$3='Ajustes'!$D$5,F39='Hoy'!$B$3),OR(J39=TODAY()+4,AND(I39&lt;=7,J39&gt;=TODAY(),J39&lt;TODAY()+4,MOD(TODAY()+4-J39,I39)=0))),ROW(),""),"")</f>
        <v/>
      </c>
      <c r="T39" s="27">
        <f>IFERROR(IF(AND(A39&lt;&gt;"",H39&lt;&gt;"No",I39&lt;&gt;"",OR('Hoy'!$B$3='Ajustes'!$D$5,F39='Hoy'!$B$3),OR(J39=TODAY()+5,AND(I39&lt;=7,J39&gt;=TODAY(),J39&lt;TODAY()+5,MOD(TODAY()+5-J39,I39)=0))),ROW(),""),"")</f>
        <v/>
      </c>
      <c r="U39" s="27">
        <f>IFERROR(IF(AND(A39&lt;&gt;"",H39&lt;&gt;"No",I39&lt;&gt;"",OR('Hoy'!$B$3='Ajustes'!$D$5,F39='Hoy'!$B$3),OR(J39=TODAY()+6,AND(I39&lt;=7,J39&gt;=TODAY(),J39&lt;TODAY()+6,MOD(TODAY()+6-J39,I39)=0))),ROW(),""),"")</f>
        <v/>
      </c>
    </row>
    <row r="40">
      <c r="A40" s="6" t="inlineStr">
        <is>
          <t>Lavar fundas de almohadones y mantas</t>
        </is>
      </c>
      <c r="B40" s="6" t="inlineStr">
        <is>
          <t>Living</t>
        </is>
      </c>
      <c r="C40" s="28" t="n">
        <v>1</v>
      </c>
      <c r="D40" s="6" t="inlineStr">
        <is>
          <t>Meses</t>
        </is>
      </c>
      <c r="E40" s="28" t="n">
        <v>15</v>
      </c>
      <c r="F40" s="6" t="n"/>
      <c r="G40" s="6" t="n"/>
      <c r="H40" s="29" t="inlineStr">
        <is>
          <t>Sí</t>
        </is>
      </c>
      <c r="I40" s="30">
        <f>IFERROR(IF(OR(A40="",C40=""),"",C40*INDEX('Ajustes'!$I$5:$I$8,MATCH(D40,'Ajustes'!$H$5:$H$8,0))),"")</f>
        <v/>
      </c>
      <c r="J40" s="31">
        <f>IFERROR(IF(I40="","",IF(G40="",IF('Ajustes'!$B$5="",TODAY(),'Ajustes'!$B$5)+MOD(ROW()*13,I40),IF(D40='Ajustes'!$H$7,EDATE(G40,C40),IF(D40='Ajustes'!$H$8,EDATE(G40,12*C40),G40+I40)))),"")</f>
        <v/>
      </c>
      <c r="K40" s="30">
        <f>IF(J40="","",J40-TODAY())</f>
        <v/>
      </c>
      <c r="L40" s="32">
        <f>IF(A40="","",IF(H40="No","Pausada",IF(K40="","",IF(K40&lt;0,"Atrasada",IF(K40=0,"Hoy",IF(K40&lt;=7,"Esta semana","Más adelante"))))))</f>
        <v/>
      </c>
      <c r="M40" s="27">
        <f>IFERROR(IF(AND(OR(L40="Atrasada",L40="Hoy",L40="Esta semana"),OR('Hoy'!$B$3='Ajustes'!$D$5,F40='Hoy'!$B$3)),K40+ROW()/100000,""),"")</f>
        <v/>
      </c>
      <c r="N40" s="27">
        <f>IF(OR(A40="",H40="No",I40=""),0,E40*7/I40)</f>
        <v/>
      </c>
      <c r="O40" s="27">
        <f>IFERROR(IF(AND(A40&lt;&gt;"",H40&lt;&gt;"No",I40&lt;&gt;"",OR('Hoy'!$B$3='Ajustes'!$D$5,F40='Hoy'!$B$3),J40&lt;=TODAY()),ROW(),""),"")</f>
        <v/>
      </c>
      <c r="P40" s="27">
        <f>IFERROR(IF(AND(A40&lt;&gt;"",H40&lt;&gt;"No",I40&lt;&gt;"",OR('Hoy'!$B$3='Ajustes'!$D$5,F40='Hoy'!$B$3),OR(J40=TODAY()+1,AND(I40&lt;=7,J40&gt;=TODAY(),J40&lt;TODAY()+1,MOD(TODAY()+1-J40,I40)=0))),ROW(),""),"")</f>
        <v/>
      </c>
      <c r="Q40" s="27">
        <f>IFERROR(IF(AND(A40&lt;&gt;"",H40&lt;&gt;"No",I40&lt;&gt;"",OR('Hoy'!$B$3='Ajustes'!$D$5,F40='Hoy'!$B$3),OR(J40=TODAY()+2,AND(I40&lt;=7,J40&gt;=TODAY(),J40&lt;TODAY()+2,MOD(TODAY()+2-J40,I40)=0))),ROW(),""),"")</f>
        <v/>
      </c>
      <c r="R40" s="27">
        <f>IFERROR(IF(AND(A40&lt;&gt;"",H40&lt;&gt;"No",I40&lt;&gt;"",OR('Hoy'!$B$3='Ajustes'!$D$5,F40='Hoy'!$B$3),OR(J40=TODAY()+3,AND(I40&lt;=7,J40&gt;=TODAY(),J40&lt;TODAY()+3,MOD(TODAY()+3-J40,I40)=0))),ROW(),""),"")</f>
        <v/>
      </c>
      <c r="S40" s="27">
        <f>IFERROR(IF(AND(A40&lt;&gt;"",H40&lt;&gt;"No",I40&lt;&gt;"",OR('Hoy'!$B$3='Ajustes'!$D$5,F40='Hoy'!$B$3),OR(J40=TODAY()+4,AND(I40&lt;=7,J40&gt;=TODAY(),J40&lt;TODAY()+4,MOD(TODAY()+4-J40,I40)=0))),ROW(),""),"")</f>
        <v/>
      </c>
      <c r="T40" s="27">
        <f>IFERROR(IF(AND(A40&lt;&gt;"",H40&lt;&gt;"No",I40&lt;&gt;"",OR('Hoy'!$B$3='Ajustes'!$D$5,F40='Hoy'!$B$3),OR(J40=TODAY()+5,AND(I40&lt;=7,J40&gt;=TODAY(),J40&lt;TODAY()+5,MOD(TODAY()+5-J40,I40)=0))),ROW(),""),"")</f>
        <v/>
      </c>
      <c r="U40" s="27">
        <f>IFERROR(IF(AND(A40&lt;&gt;"",H40&lt;&gt;"No",I40&lt;&gt;"",OR('Hoy'!$B$3='Ajustes'!$D$5,F40='Hoy'!$B$3),OR(J40=TODAY()+6,AND(I40&lt;=7,J40&gt;=TODAY(),J40&lt;TODAY()+6,MOD(TODAY()+6-J40,I40)=0))),ROW(),""),"")</f>
        <v/>
      </c>
    </row>
    <row r="41">
      <c r="A41" s="6" t="inlineStr">
        <is>
          <t>Lavar una tanda de ropa</t>
        </is>
      </c>
      <c r="B41" s="6" t="inlineStr">
        <is>
          <t>Ropa</t>
        </is>
      </c>
      <c r="C41" s="28" t="n">
        <v>3</v>
      </c>
      <c r="D41" s="6" t="inlineStr">
        <is>
          <t>Días</t>
        </is>
      </c>
      <c r="E41" s="28" t="n">
        <v>15</v>
      </c>
      <c r="F41" s="6" t="n"/>
      <c r="G41" s="6" t="n"/>
      <c r="H41" s="29" t="inlineStr">
        <is>
          <t>Sí</t>
        </is>
      </c>
      <c r="I41" s="30">
        <f>IFERROR(IF(OR(A41="",C41=""),"",C41*INDEX('Ajustes'!$I$5:$I$8,MATCH(D41,'Ajustes'!$H$5:$H$8,0))),"")</f>
        <v/>
      </c>
      <c r="J41" s="31">
        <f>IFERROR(IF(I41="","",IF(G41="",IF('Ajustes'!$B$5="",TODAY(),'Ajustes'!$B$5)+MOD(ROW()*13,I41),IF(D41='Ajustes'!$H$7,EDATE(G41,C41),IF(D41='Ajustes'!$H$8,EDATE(G41,12*C41),G41+I41)))),"")</f>
        <v/>
      </c>
      <c r="K41" s="30">
        <f>IF(J41="","",J41-TODAY())</f>
        <v/>
      </c>
      <c r="L41" s="32">
        <f>IF(A41="","",IF(H41="No","Pausada",IF(K41="","",IF(K41&lt;0,"Atrasada",IF(K41=0,"Hoy",IF(K41&lt;=7,"Esta semana","Más adelante"))))))</f>
        <v/>
      </c>
      <c r="M41" s="27">
        <f>IFERROR(IF(AND(OR(L41="Atrasada",L41="Hoy",L41="Esta semana"),OR('Hoy'!$B$3='Ajustes'!$D$5,F41='Hoy'!$B$3)),K41+ROW()/100000,""),"")</f>
        <v/>
      </c>
      <c r="N41" s="27">
        <f>IF(OR(A41="",H41="No",I41=""),0,E41*7/I41)</f>
        <v/>
      </c>
      <c r="O41" s="27">
        <f>IFERROR(IF(AND(A41&lt;&gt;"",H41&lt;&gt;"No",I41&lt;&gt;"",OR('Hoy'!$B$3='Ajustes'!$D$5,F41='Hoy'!$B$3),J41&lt;=TODAY()),ROW(),""),"")</f>
        <v/>
      </c>
      <c r="P41" s="27">
        <f>IFERROR(IF(AND(A41&lt;&gt;"",H41&lt;&gt;"No",I41&lt;&gt;"",OR('Hoy'!$B$3='Ajustes'!$D$5,F41='Hoy'!$B$3),OR(J41=TODAY()+1,AND(I41&lt;=7,J41&gt;=TODAY(),J41&lt;TODAY()+1,MOD(TODAY()+1-J41,I41)=0))),ROW(),""),"")</f>
        <v/>
      </c>
      <c r="Q41" s="27">
        <f>IFERROR(IF(AND(A41&lt;&gt;"",H41&lt;&gt;"No",I41&lt;&gt;"",OR('Hoy'!$B$3='Ajustes'!$D$5,F41='Hoy'!$B$3),OR(J41=TODAY()+2,AND(I41&lt;=7,J41&gt;=TODAY(),J41&lt;TODAY()+2,MOD(TODAY()+2-J41,I41)=0))),ROW(),""),"")</f>
        <v/>
      </c>
      <c r="R41" s="27">
        <f>IFERROR(IF(AND(A41&lt;&gt;"",H41&lt;&gt;"No",I41&lt;&gt;"",OR('Hoy'!$B$3='Ajustes'!$D$5,F41='Hoy'!$B$3),OR(J41=TODAY()+3,AND(I41&lt;=7,J41&gt;=TODAY(),J41&lt;TODAY()+3,MOD(TODAY()+3-J41,I41)=0))),ROW(),""),"")</f>
        <v/>
      </c>
      <c r="S41" s="27">
        <f>IFERROR(IF(AND(A41&lt;&gt;"",H41&lt;&gt;"No",I41&lt;&gt;"",OR('Hoy'!$B$3='Ajustes'!$D$5,F41='Hoy'!$B$3),OR(J41=TODAY()+4,AND(I41&lt;=7,J41&gt;=TODAY(),J41&lt;TODAY()+4,MOD(TODAY()+4-J41,I41)=0))),ROW(),""),"")</f>
        <v/>
      </c>
      <c r="T41" s="27">
        <f>IFERROR(IF(AND(A41&lt;&gt;"",H41&lt;&gt;"No",I41&lt;&gt;"",OR('Hoy'!$B$3='Ajustes'!$D$5,F41='Hoy'!$B$3),OR(J41=TODAY()+5,AND(I41&lt;=7,J41&gt;=TODAY(),J41&lt;TODAY()+5,MOD(TODAY()+5-J41,I41)=0))),ROW(),""),"")</f>
        <v/>
      </c>
      <c r="U41" s="27">
        <f>IFERROR(IF(AND(A41&lt;&gt;"",H41&lt;&gt;"No",I41&lt;&gt;"",OR('Hoy'!$B$3='Ajustes'!$D$5,F41='Hoy'!$B$3),OR(J41=TODAY()+6,AND(I41&lt;=7,J41&gt;=TODAY(),J41&lt;TODAY()+6,MOD(TODAY()+6-J41,I41)=0))),ROW(),""),"")</f>
        <v/>
      </c>
    </row>
    <row r="42">
      <c r="A42" s="6" t="inlineStr">
        <is>
          <t>Doblar y guardar la ropa limpia</t>
        </is>
      </c>
      <c r="B42" s="6" t="inlineStr">
        <is>
          <t>Ropa</t>
        </is>
      </c>
      <c r="C42" s="28" t="n">
        <v>3</v>
      </c>
      <c r="D42" s="6" t="inlineStr">
        <is>
          <t>Días</t>
        </is>
      </c>
      <c r="E42" s="28" t="n">
        <v>15</v>
      </c>
      <c r="F42" s="6" t="n"/>
      <c r="G42" s="6" t="n"/>
      <c r="H42" s="29" t="inlineStr">
        <is>
          <t>Sí</t>
        </is>
      </c>
      <c r="I42" s="30">
        <f>IFERROR(IF(OR(A42="",C42=""),"",C42*INDEX('Ajustes'!$I$5:$I$8,MATCH(D42,'Ajustes'!$H$5:$H$8,0))),"")</f>
        <v/>
      </c>
      <c r="J42" s="31">
        <f>IFERROR(IF(I42="","",IF(G42="",IF('Ajustes'!$B$5="",TODAY(),'Ajustes'!$B$5)+MOD(ROW()*13,I42),IF(D42='Ajustes'!$H$7,EDATE(G42,C42),IF(D42='Ajustes'!$H$8,EDATE(G42,12*C42),G42+I42)))),"")</f>
        <v/>
      </c>
      <c r="K42" s="30">
        <f>IF(J42="","",J42-TODAY())</f>
        <v/>
      </c>
      <c r="L42" s="32">
        <f>IF(A42="","",IF(H42="No","Pausada",IF(K42="","",IF(K42&lt;0,"Atrasada",IF(K42=0,"Hoy",IF(K42&lt;=7,"Esta semana","Más adelante"))))))</f>
        <v/>
      </c>
      <c r="M42" s="27">
        <f>IFERROR(IF(AND(OR(L42="Atrasada",L42="Hoy",L42="Esta semana"),OR('Hoy'!$B$3='Ajustes'!$D$5,F42='Hoy'!$B$3)),K42+ROW()/100000,""),"")</f>
        <v/>
      </c>
      <c r="N42" s="27">
        <f>IF(OR(A42="",H42="No",I42=""),0,E42*7/I42)</f>
        <v/>
      </c>
      <c r="O42" s="27">
        <f>IFERROR(IF(AND(A42&lt;&gt;"",H42&lt;&gt;"No",I42&lt;&gt;"",OR('Hoy'!$B$3='Ajustes'!$D$5,F42='Hoy'!$B$3),J42&lt;=TODAY()),ROW(),""),"")</f>
        <v/>
      </c>
      <c r="P42" s="27">
        <f>IFERROR(IF(AND(A42&lt;&gt;"",H42&lt;&gt;"No",I42&lt;&gt;"",OR('Hoy'!$B$3='Ajustes'!$D$5,F42='Hoy'!$B$3),OR(J42=TODAY()+1,AND(I42&lt;=7,J42&gt;=TODAY(),J42&lt;TODAY()+1,MOD(TODAY()+1-J42,I42)=0))),ROW(),""),"")</f>
        <v/>
      </c>
      <c r="Q42" s="27">
        <f>IFERROR(IF(AND(A42&lt;&gt;"",H42&lt;&gt;"No",I42&lt;&gt;"",OR('Hoy'!$B$3='Ajustes'!$D$5,F42='Hoy'!$B$3),OR(J42=TODAY()+2,AND(I42&lt;=7,J42&gt;=TODAY(),J42&lt;TODAY()+2,MOD(TODAY()+2-J42,I42)=0))),ROW(),""),"")</f>
        <v/>
      </c>
      <c r="R42" s="27">
        <f>IFERROR(IF(AND(A42&lt;&gt;"",H42&lt;&gt;"No",I42&lt;&gt;"",OR('Hoy'!$B$3='Ajustes'!$D$5,F42='Hoy'!$B$3),OR(J42=TODAY()+3,AND(I42&lt;=7,J42&gt;=TODAY(),J42&lt;TODAY()+3,MOD(TODAY()+3-J42,I42)=0))),ROW(),""),"")</f>
        <v/>
      </c>
      <c r="S42" s="27">
        <f>IFERROR(IF(AND(A42&lt;&gt;"",H42&lt;&gt;"No",I42&lt;&gt;"",OR('Hoy'!$B$3='Ajustes'!$D$5,F42='Hoy'!$B$3),OR(J42=TODAY()+4,AND(I42&lt;=7,J42&gt;=TODAY(),J42&lt;TODAY()+4,MOD(TODAY()+4-J42,I42)=0))),ROW(),""),"")</f>
        <v/>
      </c>
      <c r="T42" s="27">
        <f>IFERROR(IF(AND(A42&lt;&gt;"",H42&lt;&gt;"No",I42&lt;&gt;"",OR('Hoy'!$B$3='Ajustes'!$D$5,F42='Hoy'!$B$3),OR(J42=TODAY()+5,AND(I42&lt;=7,J42&gt;=TODAY(),J42&lt;TODAY()+5,MOD(TODAY()+5-J42,I42)=0))),ROW(),""),"")</f>
        <v/>
      </c>
      <c r="U42" s="27">
        <f>IFERROR(IF(AND(A42&lt;&gt;"",H42&lt;&gt;"No",I42&lt;&gt;"",OR('Hoy'!$B$3='Ajustes'!$D$5,F42='Hoy'!$B$3),OR(J42=TODAY()+6,AND(I42&lt;=7,J42&gt;=TODAY(),J42&lt;TODAY()+6,MOD(TODAY()+6-J42,I42)=0))),ROW(),""),"")</f>
        <v/>
      </c>
    </row>
    <row r="43">
      <c r="A43" s="6" t="inlineStr">
        <is>
          <t>Lavar las toallas</t>
        </is>
      </c>
      <c r="B43" s="6" t="inlineStr">
        <is>
          <t>Ropa</t>
        </is>
      </c>
      <c r="C43" s="28" t="n">
        <v>1</v>
      </c>
      <c r="D43" s="6" t="inlineStr">
        <is>
          <t>Semanas</t>
        </is>
      </c>
      <c r="E43" s="28" t="n">
        <v>10</v>
      </c>
      <c r="F43" s="6" t="n"/>
      <c r="G43" s="6" t="n"/>
      <c r="H43" s="29" t="inlineStr">
        <is>
          <t>Sí</t>
        </is>
      </c>
      <c r="I43" s="30">
        <f>IFERROR(IF(OR(A43="",C43=""),"",C43*INDEX('Ajustes'!$I$5:$I$8,MATCH(D43,'Ajustes'!$H$5:$H$8,0))),"")</f>
        <v/>
      </c>
      <c r="J43" s="31">
        <f>IFERROR(IF(I43="","",IF(G43="",IF('Ajustes'!$B$5="",TODAY(),'Ajustes'!$B$5)+MOD(ROW()*13,I43),IF(D43='Ajustes'!$H$7,EDATE(G43,C43),IF(D43='Ajustes'!$H$8,EDATE(G43,12*C43),G43+I43)))),"")</f>
        <v/>
      </c>
      <c r="K43" s="30">
        <f>IF(J43="","",J43-TODAY())</f>
        <v/>
      </c>
      <c r="L43" s="32">
        <f>IF(A43="","",IF(H43="No","Pausada",IF(K43="","",IF(K43&lt;0,"Atrasada",IF(K43=0,"Hoy",IF(K43&lt;=7,"Esta semana","Más adelante"))))))</f>
        <v/>
      </c>
      <c r="M43" s="27">
        <f>IFERROR(IF(AND(OR(L43="Atrasada",L43="Hoy",L43="Esta semana"),OR('Hoy'!$B$3='Ajustes'!$D$5,F43='Hoy'!$B$3)),K43+ROW()/100000,""),"")</f>
        <v/>
      </c>
      <c r="N43" s="27">
        <f>IF(OR(A43="",H43="No",I43=""),0,E43*7/I43)</f>
        <v/>
      </c>
      <c r="O43" s="27">
        <f>IFERROR(IF(AND(A43&lt;&gt;"",H43&lt;&gt;"No",I43&lt;&gt;"",OR('Hoy'!$B$3='Ajustes'!$D$5,F43='Hoy'!$B$3),J43&lt;=TODAY()),ROW(),""),"")</f>
        <v/>
      </c>
      <c r="P43" s="27">
        <f>IFERROR(IF(AND(A43&lt;&gt;"",H43&lt;&gt;"No",I43&lt;&gt;"",OR('Hoy'!$B$3='Ajustes'!$D$5,F43='Hoy'!$B$3),OR(J43=TODAY()+1,AND(I43&lt;=7,J43&gt;=TODAY(),J43&lt;TODAY()+1,MOD(TODAY()+1-J43,I43)=0))),ROW(),""),"")</f>
        <v/>
      </c>
      <c r="Q43" s="27">
        <f>IFERROR(IF(AND(A43&lt;&gt;"",H43&lt;&gt;"No",I43&lt;&gt;"",OR('Hoy'!$B$3='Ajustes'!$D$5,F43='Hoy'!$B$3),OR(J43=TODAY()+2,AND(I43&lt;=7,J43&gt;=TODAY(),J43&lt;TODAY()+2,MOD(TODAY()+2-J43,I43)=0))),ROW(),""),"")</f>
        <v/>
      </c>
      <c r="R43" s="27">
        <f>IFERROR(IF(AND(A43&lt;&gt;"",H43&lt;&gt;"No",I43&lt;&gt;"",OR('Hoy'!$B$3='Ajustes'!$D$5,F43='Hoy'!$B$3),OR(J43=TODAY()+3,AND(I43&lt;=7,J43&gt;=TODAY(),J43&lt;TODAY()+3,MOD(TODAY()+3-J43,I43)=0))),ROW(),""),"")</f>
        <v/>
      </c>
      <c r="S43" s="27">
        <f>IFERROR(IF(AND(A43&lt;&gt;"",H43&lt;&gt;"No",I43&lt;&gt;"",OR('Hoy'!$B$3='Ajustes'!$D$5,F43='Hoy'!$B$3),OR(J43=TODAY()+4,AND(I43&lt;=7,J43&gt;=TODAY(),J43&lt;TODAY()+4,MOD(TODAY()+4-J43,I43)=0))),ROW(),""),"")</f>
        <v/>
      </c>
      <c r="T43" s="27">
        <f>IFERROR(IF(AND(A43&lt;&gt;"",H43&lt;&gt;"No",I43&lt;&gt;"",OR('Hoy'!$B$3='Ajustes'!$D$5,F43='Hoy'!$B$3),OR(J43=TODAY()+5,AND(I43&lt;=7,J43&gt;=TODAY(),J43&lt;TODAY()+5,MOD(TODAY()+5-J43,I43)=0))),ROW(),""),"")</f>
        <v/>
      </c>
      <c r="U43" s="27">
        <f>IFERROR(IF(AND(A43&lt;&gt;"",H43&lt;&gt;"No",I43&lt;&gt;"",OR('Hoy'!$B$3='Ajustes'!$D$5,F43='Hoy'!$B$3),OR(J43=TODAY()+6,AND(I43&lt;=7,J43&gt;=TODAY(),J43&lt;TODAY()+6,MOD(TODAY()+6-J43,I43)=0))),ROW(),""),"")</f>
        <v/>
      </c>
    </row>
    <row r="44">
      <c r="A44" s="6" t="inlineStr">
        <is>
          <t>Planchar la ropa</t>
        </is>
      </c>
      <c r="B44" s="6" t="inlineStr">
        <is>
          <t>Ropa</t>
        </is>
      </c>
      <c r="C44" s="28" t="n">
        <v>1</v>
      </c>
      <c r="D44" s="6" t="inlineStr">
        <is>
          <t>Semanas</t>
        </is>
      </c>
      <c r="E44" s="28" t="n">
        <v>30</v>
      </c>
      <c r="F44" s="6" t="n"/>
      <c r="G44" s="6" t="n"/>
      <c r="H44" s="29" t="inlineStr">
        <is>
          <t>Sí</t>
        </is>
      </c>
      <c r="I44" s="30">
        <f>IFERROR(IF(OR(A44="",C44=""),"",C44*INDEX('Ajustes'!$I$5:$I$8,MATCH(D44,'Ajustes'!$H$5:$H$8,0))),"")</f>
        <v/>
      </c>
      <c r="J44" s="31">
        <f>IFERROR(IF(I44="","",IF(G44="",IF('Ajustes'!$B$5="",TODAY(),'Ajustes'!$B$5)+MOD(ROW()*13,I44),IF(D44='Ajustes'!$H$7,EDATE(G44,C44),IF(D44='Ajustes'!$H$8,EDATE(G44,12*C44),G44+I44)))),"")</f>
        <v/>
      </c>
      <c r="K44" s="30">
        <f>IF(J44="","",J44-TODAY())</f>
        <v/>
      </c>
      <c r="L44" s="32">
        <f>IF(A44="","",IF(H44="No","Pausada",IF(K44="","",IF(K44&lt;0,"Atrasada",IF(K44=0,"Hoy",IF(K44&lt;=7,"Esta semana","Más adelante"))))))</f>
        <v/>
      </c>
      <c r="M44" s="27">
        <f>IFERROR(IF(AND(OR(L44="Atrasada",L44="Hoy",L44="Esta semana"),OR('Hoy'!$B$3='Ajustes'!$D$5,F44='Hoy'!$B$3)),K44+ROW()/100000,""),"")</f>
        <v/>
      </c>
      <c r="N44" s="27">
        <f>IF(OR(A44="",H44="No",I44=""),0,E44*7/I44)</f>
        <v/>
      </c>
      <c r="O44" s="27">
        <f>IFERROR(IF(AND(A44&lt;&gt;"",H44&lt;&gt;"No",I44&lt;&gt;"",OR('Hoy'!$B$3='Ajustes'!$D$5,F44='Hoy'!$B$3),J44&lt;=TODAY()),ROW(),""),"")</f>
        <v/>
      </c>
      <c r="P44" s="27">
        <f>IFERROR(IF(AND(A44&lt;&gt;"",H44&lt;&gt;"No",I44&lt;&gt;"",OR('Hoy'!$B$3='Ajustes'!$D$5,F44='Hoy'!$B$3),OR(J44=TODAY()+1,AND(I44&lt;=7,J44&gt;=TODAY(),J44&lt;TODAY()+1,MOD(TODAY()+1-J44,I44)=0))),ROW(),""),"")</f>
        <v/>
      </c>
      <c r="Q44" s="27">
        <f>IFERROR(IF(AND(A44&lt;&gt;"",H44&lt;&gt;"No",I44&lt;&gt;"",OR('Hoy'!$B$3='Ajustes'!$D$5,F44='Hoy'!$B$3),OR(J44=TODAY()+2,AND(I44&lt;=7,J44&gt;=TODAY(),J44&lt;TODAY()+2,MOD(TODAY()+2-J44,I44)=0))),ROW(),""),"")</f>
        <v/>
      </c>
      <c r="R44" s="27">
        <f>IFERROR(IF(AND(A44&lt;&gt;"",H44&lt;&gt;"No",I44&lt;&gt;"",OR('Hoy'!$B$3='Ajustes'!$D$5,F44='Hoy'!$B$3),OR(J44=TODAY()+3,AND(I44&lt;=7,J44&gt;=TODAY(),J44&lt;TODAY()+3,MOD(TODAY()+3-J44,I44)=0))),ROW(),""),"")</f>
        <v/>
      </c>
      <c r="S44" s="27">
        <f>IFERROR(IF(AND(A44&lt;&gt;"",H44&lt;&gt;"No",I44&lt;&gt;"",OR('Hoy'!$B$3='Ajustes'!$D$5,F44='Hoy'!$B$3),OR(J44=TODAY()+4,AND(I44&lt;=7,J44&gt;=TODAY(),J44&lt;TODAY()+4,MOD(TODAY()+4-J44,I44)=0))),ROW(),""),"")</f>
        <v/>
      </c>
      <c r="T44" s="27">
        <f>IFERROR(IF(AND(A44&lt;&gt;"",H44&lt;&gt;"No",I44&lt;&gt;"",OR('Hoy'!$B$3='Ajustes'!$D$5,F44='Hoy'!$B$3),OR(J44=TODAY()+5,AND(I44&lt;=7,J44&gt;=TODAY(),J44&lt;TODAY()+5,MOD(TODAY()+5-J44,I44)=0))),ROW(),""),"")</f>
        <v/>
      </c>
      <c r="U44" s="27">
        <f>IFERROR(IF(AND(A44&lt;&gt;"",H44&lt;&gt;"No",I44&lt;&gt;"",OR('Hoy'!$B$3='Ajustes'!$D$5,F44='Hoy'!$B$3),OR(J44=TODAY()+6,AND(I44&lt;=7,J44&gt;=TODAY(),J44&lt;TODAY()+6,MOD(TODAY()+6-J44,I44)=0))),ROW(),""),"")</f>
        <v/>
      </c>
    </row>
    <row r="45">
      <c r="A45" s="6" t="inlineStr">
        <is>
          <t>Limpiar el tambor y el filtro del lavarropas</t>
        </is>
      </c>
      <c r="B45" s="6" t="inlineStr">
        <is>
          <t>Ropa</t>
        </is>
      </c>
      <c r="C45" s="28" t="n">
        <v>1</v>
      </c>
      <c r="D45" s="6" t="inlineStr">
        <is>
          <t>Meses</t>
        </is>
      </c>
      <c r="E45" s="28" t="n">
        <v>15</v>
      </c>
      <c r="F45" s="6" t="n"/>
      <c r="G45" s="6" t="n"/>
      <c r="H45" s="29" t="inlineStr">
        <is>
          <t>Sí</t>
        </is>
      </c>
      <c r="I45" s="30">
        <f>IFERROR(IF(OR(A45="",C45=""),"",C45*INDEX('Ajustes'!$I$5:$I$8,MATCH(D45,'Ajustes'!$H$5:$H$8,0))),"")</f>
        <v/>
      </c>
      <c r="J45" s="31">
        <f>IFERROR(IF(I45="","",IF(G45="",IF('Ajustes'!$B$5="",TODAY(),'Ajustes'!$B$5)+MOD(ROW()*13,I45),IF(D45='Ajustes'!$H$7,EDATE(G45,C45),IF(D45='Ajustes'!$H$8,EDATE(G45,12*C45),G45+I45)))),"")</f>
        <v/>
      </c>
      <c r="K45" s="30">
        <f>IF(J45="","",J45-TODAY())</f>
        <v/>
      </c>
      <c r="L45" s="32">
        <f>IF(A45="","",IF(H45="No","Pausada",IF(K45="","",IF(K45&lt;0,"Atrasada",IF(K45=0,"Hoy",IF(K45&lt;=7,"Esta semana","Más adelante"))))))</f>
        <v/>
      </c>
      <c r="M45" s="27">
        <f>IFERROR(IF(AND(OR(L45="Atrasada",L45="Hoy",L45="Esta semana"),OR('Hoy'!$B$3='Ajustes'!$D$5,F45='Hoy'!$B$3)),K45+ROW()/100000,""),"")</f>
        <v/>
      </c>
      <c r="N45" s="27">
        <f>IF(OR(A45="",H45="No",I45=""),0,E45*7/I45)</f>
        <v/>
      </c>
      <c r="O45" s="27">
        <f>IFERROR(IF(AND(A45&lt;&gt;"",H45&lt;&gt;"No",I45&lt;&gt;"",OR('Hoy'!$B$3='Ajustes'!$D$5,F45='Hoy'!$B$3),J45&lt;=TODAY()),ROW(),""),"")</f>
        <v/>
      </c>
      <c r="P45" s="27">
        <f>IFERROR(IF(AND(A45&lt;&gt;"",H45&lt;&gt;"No",I45&lt;&gt;"",OR('Hoy'!$B$3='Ajustes'!$D$5,F45='Hoy'!$B$3),OR(J45=TODAY()+1,AND(I45&lt;=7,J45&gt;=TODAY(),J45&lt;TODAY()+1,MOD(TODAY()+1-J45,I45)=0))),ROW(),""),"")</f>
        <v/>
      </c>
      <c r="Q45" s="27">
        <f>IFERROR(IF(AND(A45&lt;&gt;"",H45&lt;&gt;"No",I45&lt;&gt;"",OR('Hoy'!$B$3='Ajustes'!$D$5,F45='Hoy'!$B$3),OR(J45=TODAY()+2,AND(I45&lt;=7,J45&gt;=TODAY(),J45&lt;TODAY()+2,MOD(TODAY()+2-J45,I45)=0))),ROW(),""),"")</f>
        <v/>
      </c>
      <c r="R45" s="27">
        <f>IFERROR(IF(AND(A45&lt;&gt;"",H45&lt;&gt;"No",I45&lt;&gt;"",OR('Hoy'!$B$3='Ajustes'!$D$5,F45='Hoy'!$B$3),OR(J45=TODAY()+3,AND(I45&lt;=7,J45&gt;=TODAY(),J45&lt;TODAY()+3,MOD(TODAY()+3-J45,I45)=0))),ROW(),""),"")</f>
        <v/>
      </c>
      <c r="S45" s="27">
        <f>IFERROR(IF(AND(A45&lt;&gt;"",H45&lt;&gt;"No",I45&lt;&gt;"",OR('Hoy'!$B$3='Ajustes'!$D$5,F45='Hoy'!$B$3),OR(J45=TODAY()+4,AND(I45&lt;=7,J45&gt;=TODAY(),J45&lt;TODAY()+4,MOD(TODAY()+4-J45,I45)=0))),ROW(),""),"")</f>
        <v/>
      </c>
      <c r="T45" s="27">
        <f>IFERROR(IF(AND(A45&lt;&gt;"",H45&lt;&gt;"No",I45&lt;&gt;"",OR('Hoy'!$B$3='Ajustes'!$D$5,F45='Hoy'!$B$3),OR(J45=TODAY()+5,AND(I45&lt;=7,J45&gt;=TODAY(),J45&lt;TODAY()+5,MOD(TODAY()+5-J45,I45)=0))),ROW(),""),"")</f>
        <v/>
      </c>
      <c r="U45" s="27">
        <f>IFERROR(IF(AND(A45&lt;&gt;"",H45&lt;&gt;"No",I45&lt;&gt;"",OR('Hoy'!$B$3='Ajustes'!$D$5,F45='Hoy'!$B$3),OR(J45=TODAY()+6,AND(I45&lt;=7,J45&gt;=TODAY(),J45&lt;TODAY()+6,MOD(TODAY()+6-J45,I45)=0))),ROW(),""),"")</f>
        <v/>
      </c>
    </row>
    <row r="46">
      <c r="A46" s="6" t="inlineStr">
        <is>
          <t>Regar las plantas de interior</t>
        </is>
      </c>
      <c r="B46" s="6" t="inlineStr">
        <is>
          <t>Plantas y jardín</t>
        </is>
      </c>
      <c r="C46" s="28" t="n">
        <v>3</v>
      </c>
      <c r="D46" s="6" t="inlineStr">
        <is>
          <t>Días</t>
        </is>
      </c>
      <c r="E46" s="28" t="n">
        <v>10</v>
      </c>
      <c r="F46" s="6" t="n"/>
      <c r="G46" s="6" t="n"/>
      <c r="H46" s="29" t="inlineStr">
        <is>
          <t>Sí</t>
        </is>
      </c>
      <c r="I46" s="30">
        <f>IFERROR(IF(OR(A46="",C46=""),"",C46*INDEX('Ajustes'!$I$5:$I$8,MATCH(D46,'Ajustes'!$H$5:$H$8,0))),"")</f>
        <v/>
      </c>
      <c r="J46" s="31">
        <f>IFERROR(IF(I46="","",IF(G46="",IF('Ajustes'!$B$5="",TODAY(),'Ajustes'!$B$5)+MOD(ROW()*13,I46),IF(D46='Ajustes'!$H$7,EDATE(G46,C46),IF(D46='Ajustes'!$H$8,EDATE(G46,12*C46),G46+I46)))),"")</f>
        <v/>
      </c>
      <c r="K46" s="30">
        <f>IF(J46="","",J46-TODAY())</f>
        <v/>
      </c>
      <c r="L46" s="32">
        <f>IF(A46="","",IF(H46="No","Pausada",IF(K46="","",IF(K46&lt;0,"Atrasada",IF(K46=0,"Hoy",IF(K46&lt;=7,"Esta semana","Más adelante"))))))</f>
        <v/>
      </c>
      <c r="M46" s="27">
        <f>IFERROR(IF(AND(OR(L46="Atrasada",L46="Hoy",L46="Esta semana"),OR('Hoy'!$B$3='Ajustes'!$D$5,F46='Hoy'!$B$3)),K46+ROW()/100000,""),"")</f>
        <v/>
      </c>
      <c r="N46" s="27">
        <f>IF(OR(A46="",H46="No",I46=""),0,E46*7/I46)</f>
        <v/>
      </c>
      <c r="O46" s="27">
        <f>IFERROR(IF(AND(A46&lt;&gt;"",H46&lt;&gt;"No",I46&lt;&gt;"",OR('Hoy'!$B$3='Ajustes'!$D$5,F46='Hoy'!$B$3),J46&lt;=TODAY()),ROW(),""),"")</f>
        <v/>
      </c>
      <c r="P46" s="27">
        <f>IFERROR(IF(AND(A46&lt;&gt;"",H46&lt;&gt;"No",I46&lt;&gt;"",OR('Hoy'!$B$3='Ajustes'!$D$5,F46='Hoy'!$B$3),OR(J46=TODAY()+1,AND(I46&lt;=7,J46&gt;=TODAY(),J46&lt;TODAY()+1,MOD(TODAY()+1-J46,I46)=0))),ROW(),""),"")</f>
        <v/>
      </c>
      <c r="Q46" s="27">
        <f>IFERROR(IF(AND(A46&lt;&gt;"",H46&lt;&gt;"No",I46&lt;&gt;"",OR('Hoy'!$B$3='Ajustes'!$D$5,F46='Hoy'!$B$3),OR(J46=TODAY()+2,AND(I46&lt;=7,J46&gt;=TODAY(),J46&lt;TODAY()+2,MOD(TODAY()+2-J46,I46)=0))),ROW(),""),"")</f>
        <v/>
      </c>
      <c r="R46" s="27">
        <f>IFERROR(IF(AND(A46&lt;&gt;"",H46&lt;&gt;"No",I46&lt;&gt;"",OR('Hoy'!$B$3='Ajustes'!$D$5,F46='Hoy'!$B$3),OR(J46=TODAY()+3,AND(I46&lt;=7,J46&gt;=TODAY(),J46&lt;TODAY()+3,MOD(TODAY()+3-J46,I46)=0))),ROW(),""),"")</f>
        <v/>
      </c>
      <c r="S46" s="27">
        <f>IFERROR(IF(AND(A46&lt;&gt;"",H46&lt;&gt;"No",I46&lt;&gt;"",OR('Hoy'!$B$3='Ajustes'!$D$5,F46='Hoy'!$B$3),OR(J46=TODAY()+4,AND(I46&lt;=7,J46&gt;=TODAY(),J46&lt;TODAY()+4,MOD(TODAY()+4-J46,I46)=0))),ROW(),""),"")</f>
        <v/>
      </c>
      <c r="T46" s="27">
        <f>IFERROR(IF(AND(A46&lt;&gt;"",H46&lt;&gt;"No",I46&lt;&gt;"",OR('Hoy'!$B$3='Ajustes'!$D$5,F46='Hoy'!$B$3),OR(J46=TODAY()+5,AND(I46&lt;=7,J46&gt;=TODAY(),J46&lt;TODAY()+5,MOD(TODAY()+5-J46,I46)=0))),ROW(),""),"")</f>
        <v/>
      </c>
      <c r="U46" s="27">
        <f>IFERROR(IF(AND(A46&lt;&gt;"",H46&lt;&gt;"No",I46&lt;&gt;"",OR('Hoy'!$B$3='Ajustes'!$D$5,F46='Hoy'!$B$3),OR(J46=TODAY()+6,AND(I46&lt;=7,J46&gt;=TODAY(),J46&lt;TODAY()+6,MOD(TODAY()+6-J46,I46)=0))),ROW(),""),"")</f>
        <v/>
      </c>
    </row>
    <row r="47">
      <c r="A47" s="6" t="inlineStr">
        <is>
          <t>Regar las plantas del balcón / jardín</t>
        </is>
      </c>
      <c r="B47" s="6" t="inlineStr">
        <is>
          <t>Plantas y jardín</t>
        </is>
      </c>
      <c r="C47" s="28" t="n">
        <v>2</v>
      </c>
      <c r="D47" s="6" t="inlineStr">
        <is>
          <t>Días</t>
        </is>
      </c>
      <c r="E47" s="28" t="n">
        <v>10</v>
      </c>
      <c r="F47" s="6" t="n"/>
      <c r="G47" s="6" t="n"/>
      <c r="H47" s="29" t="inlineStr">
        <is>
          <t>Sí</t>
        </is>
      </c>
      <c r="I47" s="30">
        <f>IFERROR(IF(OR(A47="",C47=""),"",C47*INDEX('Ajustes'!$I$5:$I$8,MATCH(D47,'Ajustes'!$H$5:$H$8,0))),"")</f>
        <v/>
      </c>
      <c r="J47" s="31">
        <f>IFERROR(IF(I47="","",IF(G47="",IF('Ajustes'!$B$5="",TODAY(),'Ajustes'!$B$5)+MOD(ROW()*13,I47),IF(D47='Ajustes'!$H$7,EDATE(G47,C47),IF(D47='Ajustes'!$H$8,EDATE(G47,12*C47),G47+I47)))),"")</f>
        <v/>
      </c>
      <c r="K47" s="30">
        <f>IF(J47="","",J47-TODAY())</f>
        <v/>
      </c>
      <c r="L47" s="32">
        <f>IF(A47="","",IF(H47="No","Pausada",IF(K47="","",IF(K47&lt;0,"Atrasada",IF(K47=0,"Hoy",IF(K47&lt;=7,"Esta semana","Más adelante"))))))</f>
        <v/>
      </c>
      <c r="M47" s="27">
        <f>IFERROR(IF(AND(OR(L47="Atrasada",L47="Hoy",L47="Esta semana"),OR('Hoy'!$B$3='Ajustes'!$D$5,F47='Hoy'!$B$3)),K47+ROW()/100000,""),"")</f>
        <v/>
      </c>
      <c r="N47" s="27">
        <f>IF(OR(A47="",H47="No",I47=""),0,E47*7/I47)</f>
        <v/>
      </c>
      <c r="O47" s="27">
        <f>IFERROR(IF(AND(A47&lt;&gt;"",H47&lt;&gt;"No",I47&lt;&gt;"",OR('Hoy'!$B$3='Ajustes'!$D$5,F47='Hoy'!$B$3),J47&lt;=TODAY()),ROW(),""),"")</f>
        <v/>
      </c>
      <c r="P47" s="27">
        <f>IFERROR(IF(AND(A47&lt;&gt;"",H47&lt;&gt;"No",I47&lt;&gt;"",OR('Hoy'!$B$3='Ajustes'!$D$5,F47='Hoy'!$B$3),OR(J47=TODAY()+1,AND(I47&lt;=7,J47&gt;=TODAY(),J47&lt;TODAY()+1,MOD(TODAY()+1-J47,I47)=0))),ROW(),""),"")</f>
        <v/>
      </c>
      <c r="Q47" s="27">
        <f>IFERROR(IF(AND(A47&lt;&gt;"",H47&lt;&gt;"No",I47&lt;&gt;"",OR('Hoy'!$B$3='Ajustes'!$D$5,F47='Hoy'!$B$3),OR(J47=TODAY()+2,AND(I47&lt;=7,J47&gt;=TODAY(),J47&lt;TODAY()+2,MOD(TODAY()+2-J47,I47)=0))),ROW(),""),"")</f>
        <v/>
      </c>
      <c r="R47" s="27">
        <f>IFERROR(IF(AND(A47&lt;&gt;"",H47&lt;&gt;"No",I47&lt;&gt;"",OR('Hoy'!$B$3='Ajustes'!$D$5,F47='Hoy'!$B$3),OR(J47=TODAY()+3,AND(I47&lt;=7,J47&gt;=TODAY(),J47&lt;TODAY()+3,MOD(TODAY()+3-J47,I47)=0))),ROW(),""),"")</f>
        <v/>
      </c>
      <c r="S47" s="27">
        <f>IFERROR(IF(AND(A47&lt;&gt;"",H47&lt;&gt;"No",I47&lt;&gt;"",OR('Hoy'!$B$3='Ajustes'!$D$5,F47='Hoy'!$B$3),OR(J47=TODAY()+4,AND(I47&lt;=7,J47&gt;=TODAY(),J47&lt;TODAY()+4,MOD(TODAY()+4-J47,I47)=0))),ROW(),""),"")</f>
        <v/>
      </c>
      <c r="T47" s="27">
        <f>IFERROR(IF(AND(A47&lt;&gt;"",H47&lt;&gt;"No",I47&lt;&gt;"",OR('Hoy'!$B$3='Ajustes'!$D$5,F47='Hoy'!$B$3),OR(J47=TODAY()+5,AND(I47&lt;=7,J47&gt;=TODAY(),J47&lt;TODAY()+5,MOD(TODAY()+5-J47,I47)=0))),ROW(),""),"")</f>
        <v/>
      </c>
      <c r="U47" s="27">
        <f>IFERROR(IF(AND(A47&lt;&gt;"",H47&lt;&gt;"No",I47&lt;&gt;"",OR('Hoy'!$B$3='Ajustes'!$D$5,F47='Hoy'!$B$3),OR(J47=TODAY()+6,AND(I47&lt;=7,J47&gt;=TODAY(),J47&lt;TODAY()+6,MOD(TODAY()+6-J47,I47)=0))),ROW(),""),"")</f>
        <v/>
      </c>
    </row>
    <row r="48">
      <c r="A48" s="6" t="inlineStr">
        <is>
          <t>Sacar hojas secas y revisar plagas</t>
        </is>
      </c>
      <c r="B48" s="6" t="inlineStr">
        <is>
          <t>Plantas y jardín</t>
        </is>
      </c>
      <c r="C48" s="28" t="n">
        <v>2</v>
      </c>
      <c r="D48" s="6" t="inlineStr">
        <is>
          <t>Semanas</t>
        </is>
      </c>
      <c r="E48" s="28" t="n">
        <v>10</v>
      </c>
      <c r="F48" s="6" t="n"/>
      <c r="G48" s="6" t="n"/>
      <c r="H48" s="29" t="inlineStr">
        <is>
          <t>Sí</t>
        </is>
      </c>
      <c r="I48" s="30">
        <f>IFERROR(IF(OR(A48="",C48=""),"",C48*INDEX('Ajustes'!$I$5:$I$8,MATCH(D48,'Ajustes'!$H$5:$H$8,0))),"")</f>
        <v/>
      </c>
      <c r="J48" s="31">
        <f>IFERROR(IF(I48="","",IF(G48="",IF('Ajustes'!$B$5="",TODAY(),'Ajustes'!$B$5)+MOD(ROW()*13,I48),IF(D48='Ajustes'!$H$7,EDATE(G48,C48),IF(D48='Ajustes'!$H$8,EDATE(G48,12*C48),G48+I48)))),"")</f>
        <v/>
      </c>
      <c r="K48" s="30">
        <f>IF(J48="","",J48-TODAY())</f>
        <v/>
      </c>
      <c r="L48" s="32">
        <f>IF(A48="","",IF(H48="No","Pausada",IF(K48="","",IF(K48&lt;0,"Atrasada",IF(K48=0,"Hoy",IF(K48&lt;=7,"Esta semana","Más adelante"))))))</f>
        <v/>
      </c>
      <c r="M48" s="27">
        <f>IFERROR(IF(AND(OR(L48="Atrasada",L48="Hoy",L48="Esta semana"),OR('Hoy'!$B$3='Ajustes'!$D$5,F48='Hoy'!$B$3)),K48+ROW()/100000,""),"")</f>
        <v/>
      </c>
      <c r="N48" s="27">
        <f>IF(OR(A48="",H48="No",I48=""),0,E48*7/I48)</f>
        <v/>
      </c>
      <c r="O48" s="27">
        <f>IFERROR(IF(AND(A48&lt;&gt;"",H48&lt;&gt;"No",I48&lt;&gt;"",OR('Hoy'!$B$3='Ajustes'!$D$5,F48='Hoy'!$B$3),J48&lt;=TODAY()),ROW(),""),"")</f>
        <v/>
      </c>
      <c r="P48" s="27">
        <f>IFERROR(IF(AND(A48&lt;&gt;"",H48&lt;&gt;"No",I48&lt;&gt;"",OR('Hoy'!$B$3='Ajustes'!$D$5,F48='Hoy'!$B$3),OR(J48=TODAY()+1,AND(I48&lt;=7,J48&gt;=TODAY(),J48&lt;TODAY()+1,MOD(TODAY()+1-J48,I48)=0))),ROW(),""),"")</f>
        <v/>
      </c>
      <c r="Q48" s="27">
        <f>IFERROR(IF(AND(A48&lt;&gt;"",H48&lt;&gt;"No",I48&lt;&gt;"",OR('Hoy'!$B$3='Ajustes'!$D$5,F48='Hoy'!$B$3),OR(J48=TODAY()+2,AND(I48&lt;=7,J48&gt;=TODAY(),J48&lt;TODAY()+2,MOD(TODAY()+2-J48,I48)=0))),ROW(),""),"")</f>
        <v/>
      </c>
      <c r="R48" s="27">
        <f>IFERROR(IF(AND(A48&lt;&gt;"",H48&lt;&gt;"No",I48&lt;&gt;"",OR('Hoy'!$B$3='Ajustes'!$D$5,F48='Hoy'!$B$3),OR(J48=TODAY()+3,AND(I48&lt;=7,J48&gt;=TODAY(),J48&lt;TODAY()+3,MOD(TODAY()+3-J48,I48)=0))),ROW(),""),"")</f>
        <v/>
      </c>
      <c r="S48" s="27">
        <f>IFERROR(IF(AND(A48&lt;&gt;"",H48&lt;&gt;"No",I48&lt;&gt;"",OR('Hoy'!$B$3='Ajustes'!$D$5,F48='Hoy'!$B$3),OR(J48=TODAY()+4,AND(I48&lt;=7,J48&gt;=TODAY(),J48&lt;TODAY()+4,MOD(TODAY()+4-J48,I48)=0))),ROW(),""),"")</f>
        <v/>
      </c>
      <c r="T48" s="27">
        <f>IFERROR(IF(AND(A48&lt;&gt;"",H48&lt;&gt;"No",I48&lt;&gt;"",OR('Hoy'!$B$3='Ajustes'!$D$5,F48='Hoy'!$B$3),OR(J48=TODAY()+5,AND(I48&lt;=7,J48&gt;=TODAY(),J48&lt;TODAY()+5,MOD(TODAY()+5-J48,I48)=0))),ROW(),""),"")</f>
        <v/>
      </c>
      <c r="U48" s="27">
        <f>IFERROR(IF(AND(A48&lt;&gt;"",H48&lt;&gt;"No",I48&lt;&gt;"",OR('Hoy'!$B$3='Ajustes'!$D$5,F48='Hoy'!$B$3),OR(J48=TODAY()+6,AND(I48&lt;=7,J48&gt;=TODAY(),J48&lt;TODAY()+6,MOD(TODAY()+6-J48,I48)=0))),ROW(),""),"")</f>
        <v/>
      </c>
    </row>
    <row r="49">
      <c r="A49" s="6" t="inlineStr">
        <is>
          <t>Abonar las plantas</t>
        </is>
      </c>
      <c r="B49" s="6" t="inlineStr">
        <is>
          <t>Plantas y jardín</t>
        </is>
      </c>
      <c r="C49" s="28" t="n">
        <v>1</v>
      </c>
      <c r="D49" s="6" t="inlineStr">
        <is>
          <t>Meses</t>
        </is>
      </c>
      <c r="E49" s="28" t="n">
        <v>10</v>
      </c>
      <c r="F49" s="6" t="n"/>
      <c r="G49" s="6" t="n"/>
      <c r="H49" s="29" t="inlineStr">
        <is>
          <t>Sí</t>
        </is>
      </c>
      <c r="I49" s="30">
        <f>IFERROR(IF(OR(A49="",C49=""),"",C49*INDEX('Ajustes'!$I$5:$I$8,MATCH(D49,'Ajustes'!$H$5:$H$8,0))),"")</f>
        <v/>
      </c>
      <c r="J49" s="31">
        <f>IFERROR(IF(I49="","",IF(G49="",IF('Ajustes'!$B$5="",TODAY(),'Ajustes'!$B$5)+MOD(ROW()*13,I49),IF(D49='Ajustes'!$H$7,EDATE(G49,C49),IF(D49='Ajustes'!$H$8,EDATE(G49,12*C49),G49+I49)))),"")</f>
        <v/>
      </c>
      <c r="K49" s="30">
        <f>IF(J49="","",J49-TODAY())</f>
        <v/>
      </c>
      <c r="L49" s="32">
        <f>IF(A49="","",IF(H49="No","Pausada",IF(K49="","",IF(K49&lt;0,"Atrasada",IF(K49=0,"Hoy",IF(K49&lt;=7,"Esta semana","Más adelante"))))))</f>
        <v/>
      </c>
      <c r="M49" s="27">
        <f>IFERROR(IF(AND(OR(L49="Atrasada",L49="Hoy",L49="Esta semana"),OR('Hoy'!$B$3='Ajustes'!$D$5,F49='Hoy'!$B$3)),K49+ROW()/100000,""),"")</f>
        <v/>
      </c>
      <c r="N49" s="27">
        <f>IF(OR(A49="",H49="No",I49=""),0,E49*7/I49)</f>
        <v/>
      </c>
      <c r="O49" s="27">
        <f>IFERROR(IF(AND(A49&lt;&gt;"",H49&lt;&gt;"No",I49&lt;&gt;"",OR('Hoy'!$B$3='Ajustes'!$D$5,F49='Hoy'!$B$3),J49&lt;=TODAY()),ROW(),""),"")</f>
        <v/>
      </c>
      <c r="P49" s="27">
        <f>IFERROR(IF(AND(A49&lt;&gt;"",H49&lt;&gt;"No",I49&lt;&gt;"",OR('Hoy'!$B$3='Ajustes'!$D$5,F49='Hoy'!$B$3),OR(J49=TODAY()+1,AND(I49&lt;=7,J49&gt;=TODAY(),J49&lt;TODAY()+1,MOD(TODAY()+1-J49,I49)=0))),ROW(),""),"")</f>
        <v/>
      </c>
      <c r="Q49" s="27">
        <f>IFERROR(IF(AND(A49&lt;&gt;"",H49&lt;&gt;"No",I49&lt;&gt;"",OR('Hoy'!$B$3='Ajustes'!$D$5,F49='Hoy'!$B$3),OR(J49=TODAY()+2,AND(I49&lt;=7,J49&gt;=TODAY(),J49&lt;TODAY()+2,MOD(TODAY()+2-J49,I49)=0))),ROW(),""),"")</f>
        <v/>
      </c>
      <c r="R49" s="27">
        <f>IFERROR(IF(AND(A49&lt;&gt;"",H49&lt;&gt;"No",I49&lt;&gt;"",OR('Hoy'!$B$3='Ajustes'!$D$5,F49='Hoy'!$B$3),OR(J49=TODAY()+3,AND(I49&lt;=7,J49&gt;=TODAY(),J49&lt;TODAY()+3,MOD(TODAY()+3-J49,I49)=0))),ROW(),""),"")</f>
        <v/>
      </c>
      <c r="S49" s="27">
        <f>IFERROR(IF(AND(A49&lt;&gt;"",H49&lt;&gt;"No",I49&lt;&gt;"",OR('Hoy'!$B$3='Ajustes'!$D$5,F49='Hoy'!$B$3),OR(J49=TODAY()+4,AND(I49&lt;=7,J49&gt;=TODAY(),J49&lt;TODAY()+4,MOD(TODAY()+4-J49,I49)=0))),ROW(),""),"")</f>
        <v/>
      </c>
      <c r="T49" s="27">
        <f>IFERROR(IF(AND(A49&lt;&gt;"",H49&lt;&gt;"No",I49&lt;&gt;"",OR('Hoy'!$B$3='Ajustes'!$D$5,F49='Hoy'!$B$3),OR(J49=TODAY()+5,AND(I49&lt;=7,J49&gt;=TODAY(),J49&lt;TODAY()+5,MOD(TODAY()+5-J49,I49)=0))),ROW(),""),"")</f>
        <v/>
      </c>
      <c r="U49" s="27">
        <f>IFERROR(IF(AND(A49&lt;&gt;"",H49&lt;&gt;"No",I49&lt;&gt;"",OR('Hoy'!$B$3='Ajustes'!$D$5,F49='Hoy'!$B$3),OR(J49=TODAY()+6,AND(I49&lt;=7,J49&gt;=TODAY(),J49&lt;TODAY()+6,MOD(TODAY()+6-J49,I49)=0))),ROW(),""),"")</f>
        <v/>
      </c>
    </row>
    <row r="50">
      <c r="A50" s="6" t="inlineStr">
        <is>
          <t>Limpiar el polvo de las hojas</t>
        </is>
      </c>
      <c r="B50" s="6" t="inlineStr">
        <is>
          <t>Plantas y jardín</t>
        </is>
      </c>
      <c r="C50" s="28" t="n">
        <v>1</v>
      </c>
      <c r="D50" s="6" t="inlineStr">
        <is>
          <t>Meses</t>
        </is>
      </c>
      <c r="E50" s="28" t="n">
        <v>10</v>
      </c>
      <c r="F50" s="6" t="n"/>
      <c r="G50" s="6" t="n"/>
      <c r="H50" s="29" t="inlineStr">
        <is>
          <t>Sí</t>
        </is>
      </c>
      <c r="I50" s="30">
        <f>IFERROR(IF(OR(A50="",C50=""),"",C50*INDEX('Ajustes'!$I$5:$I$8,MATCH(D50,'Ajustes'!$H$5:$H$8,0))),"")</f>
        <v/>
      </c>
      <c r="J50" s="31">
        <f>IFERROR(IF(I50="","",IF(G50="",IF('Ajustes'!$B$5="",TODAY(),'Ajustes'!$B$5)+MOD(ROW()*13,I50),IF(D50='Ajustes'!$H$7,EDATE(G50,C50),IF(D50='Ajustes'!$H$8,EDATE(G50,12*C50),G50+I50)))),"")</f>
        <v/>
      </c>
      <c r="K50" s="30">
        <f>IF(J50="","",J50-TODAY())</f>
        <v/>
      </c>
      <c r="L50" s="32">
        <f>IF(A50="","",IF(H50="No","Pausada",IF(K50="","",IF(K50&lt;0,"Atrasada",IF(K50=0,"Hoy",IF(K50&lt;=7,"Esta semana","Más adelante"))))))</f>
        <v/>
      </c>
      <c r="M50" s="27">
        <f>IFERROR(IF(AND(OR(L50="Atrasada",L50="Hoy",L50="Esta semana"),OR('Hoy'!$B$3='Ajustes'!$D$5,F50='Hoy'!$B$3)),K50+ROW()/100000,""),"")</f>
        <v/>
      </c>
      <c r="N50" s="27">
        <f>IF(OR(A50="",H50="No",I50=""),0,E50*7/I50)</f>
        <v/>
      </c>
      <c r="O50" s="27">
        <f>IFERROR(IF(AND(A50&lt;&gt;"",H50&lt;&gt;"No",I50&lt;&gt;"",OR('Hoy'!$B$3='Ajustes'!$D$5,F50='Hoy'!$B$3),J50&lt;=TODAY()),ROW(),""),"")</f>
        <v/>
      </c>
      <c r="P50" s="27">
        <f>IFERROR(IF(AND(A50&lt;&gt;"",H50&lt;&gt;"No",I50&lt;&gt;"",OR('Hoy'!$B$3='Ajustes'!$D$5,F50='Hoy'!$B$3),OR(J50=TODAY()+1,AND(I50&lt;=7,J50&gt;=TODAY(),J50&lt;TODAY()+1,MOD(TODAY()+1-J50,I50)=0))),ROW(),""),"")</f>
        <v/>
      </c>
      <c r="Q50" s="27">
        <f>IFERROR(IF(AND(A50&lt;&gt;"",H50&lt;&gt;"No",I50&lt;&gt;"",OR('Hoy'!$B$3='Ajustes'!$D$5,F50='Hoy'!$B$3),OR(J50=TODAY()+2,AND(I50&lt;=7,J50&gt;=TODAY(),J50&lt;TODAY()+2,MOD(TODAY()+2-J50,I50)=0))),ROW(),""),"")</f>
        <v/>
      </c>
      <c r="R50" s="27">
        <f>IFERROR(IF(AND(A50&lt;&gt;"",H50&lt;&gt;"No",I50&lt;&gt;"",OR('Hoy'!$B$3='Ajustes'!$D$5,F50='Hoy'!$B$3),OR(J50=TODAY()+3,AND(I50&lt;=7,J50&gt;=TODAY(),J50&lt;TODAY()+3,MOD(TODAY()+3-J50,I50)=0))),ROW(),""),"")</f>
        <v/>
      </c>
      <c r="S50" s="27">
        <f>IFERROR(IF(AND(A50&lt;&gt;"",H50&lt;&gt;"No",I50&lt;&gt;"",OR('Hoy'!$B$3='Ajustes'!$D$5,F50='Hoy'!$B$3),OR(J50=TODAY()+4,AND(I50&lt;=7,J50&gt;=TODAY(),J50&lt;TODAY()+4,MOD(TODAY()+4-J50,I50)=0))),ROW(),""),"")</f>
        <v/>
      </c>
      <c r="T50" s="27">
        <f>IFERROR(IF(AND(A50&lt;&gt;"",H50&lt;&gt;"No",I50&lt;&gt;"",OR('Hoy'!$B$3='Ajustes'!$D$5,F50='Hoy'!$B$3),OR(J50=TODAY()+5,AND(I50&lt;=7,J50&gt;=TODAY(),J50&lt;TODAY()+5,MOD(TODAY()+5-J50,I50)=0))),ROW(),""),"")</f>
        <v/>
      </c>
      <c r="U50" s="27">
        <f>IFERROR(IF(AND(A50&lt;&gt;"",H50&lt;&gt;"No",I50&lt;&gt;"",OR('Hoy'!$B$3='Ajustes'!$D$5,F50='Hoy'!$B$3),OR(J50=TODAY()+6,AND(I50&lt;=7,J50&gt;=TODAY(),J50&lt;TODAY()+6,MOD(TODAY()+6-J50,I50)=0))),ROW(),""),"")</f>
        <v/>
      </c>
    </row>
    <row r="51">
      <c r="A51" s="6" t="inlineStr">
        <is>
          <t>Trasplantar / revisar raíces</t>
        </is>
      </c>
      <c r="B51" s="6" t="inlineStr">
        <is>
          <t>Plantas y jardín</t>
        </is>
      </c>
      <c r="C51" s="28" t="n">
        <v>1</v>
      </c>
      <c r="D51" s="6" t="inlineStr">
        <is>
          <t>Años</t>
        </is>
      </c>
      <c r="E51" s="28" t="n">
        <v>30</v>
      </c>
      <c r="F51" s="6" t="n"/>
      <c r="G51" s="6" t="n"/>
      <c r="H51" s="29" t="inlineStr">
        <is>
          <t>Sí</t>
        </is>
      </c>
      <c r="I51" s="30">
        <f>IFERROR(IF(OR(A51="",C51=""),"",C51*INDEX('Ajustes'!$I$5:$I$8,MATCH(D51,'Ajustes'!$H$5:$H$8,0))),"")</f>
        <v/>
      </c>
      <c r="J51" s="31">
        <f>IFERROR(IF(I51="","",IF(G51="",IF('Ajustes'!$B$5="",TODAY(),'Ajustes'!$B$5)+MOD(ROW()*13,I51),IF(D51='Ajustes'!$H$7,EDATE(G51,C51),IF(D51='Ajustes'!$H$8,EDATE(G51,12*C51),G51+I51)))),"")</f>
        <v/>
      </c>
      <c r="K51" s="30">
        <f>IF(J51="","",J51-TODAY())</f>
        <v/>
      </c>
      <c r="L51" s="32">
        <f>IF(A51="","",IF(H51="No","Pausada",IF(K51="","",IF(K51&lt;0,"Atrasada",IF(K51=0,"Hoy",IF(K51&lt;=7,"Esta semana","Más adelante"))))))</f>
        <v/>
      </c>
      <c r="M51" s="27">
        <f>IFERROR(IF(AND(OR(L51="Atrasada",L51="Hoy",L51="Esta semana"),OR('Hoy'!$B$3='Ajustes'!$D$5,F51='Hoy'!$B$3)),K51+ROW()/100000,""),"")</f>
        <v/>
      </c>
      <c r="N51" s="27">
        <f>IF(OR(A51="",H51="No",I51=""),0,E51*7/I51)</f>
        <v/>
      </c>
      <c r="O51" s="27">
        <f>IFERROR(IF(AND(A51&lt;&gt;"",H51&lt;&gt;"No",I51&lt;&gt;"",OR('Hoy'!$B$3='Ajustes'!$D$5,F51='Hoy'!$B$3),J51&lt;=TODAY()),ROW(),""),"")</f>
        <v/>
      </c>
      <c r="P51" s="27">
        <f>IFERROR(IF(AND(A51&lt;&gt;"",H51&lt;&gt;"No",I51&lt;&gt;"",OR('Hoy'!$B$3='Ajustes'!$D$5,F51='Hoy'!$B$3),OR(J51=TODAY()+1,AND(I51&lt;=7,J51&gt;=TODAY(),J51&lt;TODAY()+1,MOD(TODAY()+1-J51,I51)=0))),ROW(),""),"")</f>
        <v/>
      </c>
      <c r="Q51" s="27">
        <f>IFERROR(IF(AND(A51&lt;&gt;"",H51&lt;&gt;"No",I51&lt;&gt;"",OR('Hoy'!$B$3='Ajustes'!$D$5,F51='Hoy'!$B$3),OR(J51=TODAY()+2,AND(I51&lt;=7,J51&gt;=TODAY(),J51&lt;TODAY()+2,MOD(TODAY()+2-J51,I51)=0))),ROW(),""),"")</f>
        <v/>
      </c>
      <c r="R51" s="27">
        <f>IFERROR(IF(AND(A51&lt;&gt;"",H51&lt;&gt;"No",I51&lt;&gt;"",OR('Hoy'!$B$3='Ajustes'!$D$5,F51='Hoy'!$B$3),OR(J51=TODAY()+3,AND(I51&lt;=7,J51&gt;=TODAY(),J51&lt;TODAY()+3,MOD(TODAY()+3-J51,I51)=0))),ROW(),""),"")</f>
        <v/>
      </c>
      <c r="S51" s="27">
        <f>IFERROR(IF(AND(A51&lt;&gt;"",H51&lt;&gt;"No",I51&lt;&gt;"",OR('Hoy'!$B$3='Ajustes'!$D$5,F51='Hoy'!$B$3),OR(J51=TODAY()+4,AND(I51&lt;=7,J51&gt;=TODAY(),J51&lt;TODAY()+4,MOD(TODAY()+4-J51,I51)=0))),ROW(),""),"")</f>
        <v/>
      </c>
      <c r="T51" s="27">
        <f>IFERROR(IF(AND(A51&lt;&gt;"",H51&lt;&gt;"No",I51&lt;&gt;"",OR('Hoy'!$B$3='Ajustes'!$D$5,F51='Hoy'!$B$3),OR(J51=TODAY()+5,AND(I51&lt;=7,J51&gt;=TODAY(),J51&lt;TODAY()+5,MOD(TODAY()+5-J51,I51)=0))),ROW(),""),"")</f>
        <v/>
      </c>
      <c r="U51" s="27">
        <f>IFERROR(IF(AND(A51&lt;&gt;"",H51&lt;&gt;"No",I51&lt;&gt;"",OR('Hoy'!$B$3='Ajustes'!$D$5,F51='Hoy'!$B$3),OR(J51=TODAY()+6,AND(I51&lt;=7,J51&gt;=TODAY(),J51&lt;TODAY()+6,MOD(TODAY()+6-J51,I51)=0))),ROW(),""),"")</f>
        <v/>
      </c>
    </row>
    <row r="52">
      <c r="A52" s="6" t="inlineStr">
        <is>
          <t>Dar de comer a la mascota</t>
        </is>
      </c>
      <c r="B52" s="6" t="inlineStr">
        <is>
          <t>Mascotas</t>
        </is>
      </c>
      <c r="C52" s="28" t="n">
        <v>1</v>
      </c>
      <c r="D52" s="6" t="inlineStr">
        <is>
          <t>Días</t>
        </is>
      </c>
      <c r="E52" s="28" t="n">
        <v>5</v>
      </c>
      <c r="F52" s="6" t="n"/>
      <c r="G52" s="6" t="n"/>
      <c r="H52" s="29" t="inlineStr">
        <is>
          <t>No</t>
        </is>
      </c>
      <c r="I52" s="30">
        <f>IFERROR(IF(OR(A52="",C52=""),"",C52*INDEX('Ajustes'!$I$5:$I$8,MATCH(D52,'Ajustes'!$H$5:$H$8,0))),"")</f>
        <v/>
      </c>
      <c r="J52" s="31">
        <f>IFERROR(IF(I52="","",IF(G52="",IF('Ajustes'!$B$5="",TODAY(),'Ajustes'!$B$5)+MOD(ROW()*13,I52),IF(D52='Ajustes'!$H$7,EDATE(G52,C52),IF(D52='Ajustes'!$H$8,EDATE(G52,12*C52),G52+I52)))),"")</f>
        <v/>
      </c>
      <c r="K52" s="30">
        <f>IF(J52="","",J52-TODAY())</f>
        <v/>
      </c>
      <c r="L52" s="32">
        <f>IF(A52="","",IF(H52="No","Pausada",IF(K52="","",IF(K52&lt;0,"Atrasada",IF(K52=0,"Hoy",IF(K52&lt;=7,"Esta semana","Más adelante"))))))</f>
        <v/>
      </c>
      <c r="M52" s="27">
        <f>IFERROR(IF(AND(OR(L52="Atrasada",L52="Hoy",L52="Esta semana"),OR('Hoy'!$B$3='Ajustes'!$D$5,F52='Hoy'!$B$3)),K52+ROW()/100000,""),"")</f>
        <v/>
      </c>
      <c r="N52" s="27">
        <f>IF(OR(A52="",H52="No",I52=""),0,E52*7/I52)</f>
        <v/>
      </c>
      <c r="O52" s="27">
        <f>IFERROR(IF(AND(A52&lt;&gt;"",H52&lt;&gt;"No",I52&lt;&gt;"",OR('Hoy'!$B$3='Ajustes'!$D$5,F52='Hoy'!$B$3),J52&lt;=TODAY()),ROW(),""),"")</f>
        <v/>
      </c>
      <c r="P52" s="27">
        <f>IFERROR(IF(AND(A52&lt;&gt;"",H52&lt;&gt;"No",I52&lt;&gt;"",OR('Hoy'!$B$3='Ajustes'!$D$5,F52='Hoy'!$B$3),OR(J52=TODAY()+1,AND(I52&lt;=7,J52&gt;=TODAY(),J52&lt;TODAY()+1,MOD(TODAY()+1-J52,I52)=0))),ROW(),""),"")</f>
        <v/>
      </c>
      <c r="Q52" s="27">
        <f>IFERROR(IF(AND(A52&lt;&gt;"",H52&lt;&gt;"No",I52&lt;&gt;"",OR('Hoy'!$B$3='Ajustes'!$D$5,F52='Hoy'!$B$3),OR(J52=TODAY()+2,AND(I52&lt;=7,J52&gt;=TODAY(),J52&lt;TODAY()+2,MOD(TODAY()+2-J52,I52)=0))),ROW(),""),"")</f>
        <v/>
      </c>
      <c r="R52" s="27">
        <f>IFERROR(IF(AND(A52&lt;&gt;"",H52&lt;&gt;"No",I52&lt;&gt;"",OR('Hoy'!$B$3='Ajustes'!$D$5,F52='Hoy'!$B$3),OR(J52=TODAY()+3,AND(I52&lt;=7,J52&gt;=TODAY(),J52&lt;TODAY()+3,MOD(TODAY()+3-J52,I52)=0))),ROW(),""),"")</f>
        <v/>
      </c>
      <c r="S52" s="27">
        <f>IFERROR(IF(AND(A52&lt;&gt;"",H52&lt;&gt;"No",I52&lt;&gt;"",OR('Hoy'!$B$3='Ajustes'!$D$5,F52='Hoy'!$B$3),OR(J52=TODAY()+4,AND(I52&lt;=7,J52&gt;=TODAY(),J52&lt;TODAY()+4,MOD(TODAY()+4-J52,I52)=0))),ROW(),""),"")</f>
        <v/>
      </c>
      <c r="T52" s="27">
        <f>IFERROR(IF(AND(A52&lt;&gt;"",H52&lt;&gt;"No",I52&lt;&gt;"",OR('Hoy'!$B$3='Ajustes'!$D$5,F52='Hoy'!$B$3),OR(J52=TODAY()+5,AND(I52&lt;=7,J52&gt;=TODAY(),J52&lt;TODAY()+5,MOD(TODAY()+5-J52,I52)=0))),ROW(),""),"")</f>
        <v/>
      </c>
      <c r="U52" s="27">
        <f>IFERROR(IF(AND(A52&lt;&gt;"",H52&lt;&gt;"No",I52&lt;&gt;"",OR('Hoy'!$B$3='Ajustes'!$D$5,F52='Hoy'!$B$3),OR(J52=TODAY()+6,AND(I52&lt;=7,J52&gt;=TODAY(),J52&lt;TODAY()+6,MOD(TODAY()+6-J52,I52)=0))),ROW(),""),"")</f>
        <v/>
      </c>
    </row>
    <row r="53">
      <c r="A53" s="6" t="inlineStr">
        <is>
          <t>Cambiar el agua de la mascota</t>
        </is>
      </c>
      <c r="B53" s="6" t="inlineStr">
        <is>
          <t>Mascotas</t>
        </is>
      </c>
      <c r="C53" s="28" t="n">
        <v>1</v>
      </c>
      <c r="D53" s="6" t="inlineStr">
        <is>
          <t>Días</t>
        </is>
      </c>
      <c r="E53" s="28" t="n">
        <v>2</v>
      </c>
      <c r="F53" s="6" t="n"/>
      <c r="G53" s="6" t="n"/>
      <c r="H53" s="29" t="inlineStr">
        <is>
          <t>No</t>
        </is>
      </c>
      <c r="I53" s="30">
        <f>IFERROR(IF(OR(A53="",C53=""),"",C53*INDEX('Ajustes'!$I$5:$I$8,MATCH(D53,'Ajustes'!$H$5:$H$8,0))),"")</f>
        <v/>
      </c>
      <c r="J53" s="31">
        <f>IFERROR(IF(I53="","",IF(G53="",IF('Ajustes'!$B$5="",TODAY(),'Ajustes'!$B$5)+MOD(ROW()*13,I53),IF(D53='Ajustes'!$H$7,EDATE(G53,C53),IF(D53='Ajustes'!$H$8,EDATE(G53,12*C53),G53+I53)))),"")</f>
        <v/>
      </c>
      <c r="K53" s="30">
        <f>IF(J53="","",J53-TODAY())</f>
        <v/>
      </c>
      <c r="L53" s="32">
        <f>IF(A53="","",IF(H53="No","Pausada",IF(K53="","",IF(K53&lt;0,"Atrasada",IF(K53=0,"Hoy",IF(K53&lt;=7,"Esta semana","Más adelante"))))))</f>
        <v/>
      </c>
      <c r="M53" s="27">
        <f>IFERROR(IF(AND(OR(L53="Atrasada",L53="Hoy",L53="Esta semana"),OR('Hoy'!$B$3='Ajustes'!$D$5,F53='Hoy'!$B$3)),K53+ROW()/100000,""),"")</f>
        <v/>
      </c>
      <c r="N53" s="27">
        <f>IF(OR(A53="",H53="No",I53=""),0,E53*7/I53)</f>
        <v/>
      </c>
      <c r="O53" s="27">
        <f>IFERROR(IF(AND(A53&lt;&gt;"",H53&lt;&gt;"No",I53&lt;&gt;"",OR('Hoy'!$B$3='Ajustes'!$D$5,F53='Hoy'!$B$3),J53&lt;=TODAY()),ROW(),""),"")</f>
        <v/>
      </c>
      <c r="P53" s="27">
        <f>IFERROR(IF(AND(A53&lt;&gt;"",H53&lt;&gt;"No",I53&lt;&gt;"",OR('Hoy'!$B$3='Ajustes'!$D$5,F53='Hoy'!$B$3),OR(J53=TODAY()+1,AND(I53&lt;=7,J53&gt;=TODAY(),J53&lt;TODAY()+1,MOD(TODAY()+1-J53,I53)=0))),ROW(),""),"")</f>
        <v/>
      </c>
      <c r="Q53" s="27">
        <f>IFERROR(IF(AND(A53&lt;&gt;"",H53&lt;&gt;"No",I53&lt;&gt;"",OR('Hoy'!$B$3='Ajustes'!$D$5,F53='Hoy'!$B$3),OR(J53=TODAY()+2,AND(I53&lt;=7,J53&gt;=TODAY(),J53&lt;TODAY()+2,MOD(TODAY()+2-J53,I53)=0))),ROW(),""),"")</f>
        <v/>
      </c>
      <c r="R53" s="27">
        <f>IFERROR(IF(AND(A53&lt;&gt;"",H53&lt;&gt;"No",I53&lt;&gt;"",OR('Hoy'!$B$3='Ajustes'!$D$5,F53='Hoy'!$B$3),OR(J53=TODAY()+3,AND(I53&lt;=7,J53&gt;=TODAY(),J53&lt;TODAY()+3,MOD(TODAY()+3-J53,I53)=0))),ROW(),""),"")</f>
        <v/>
      </c>
      <c r="S53" s="27">
        <f>IFERROR(IF(AND(A53&lt;&gt;"",H53&lt;&gt;"No",I53&lt;&gt;"",OR('Hoy'!$B$3='Ajustes'!$D$5,F53='Hoy'!$B$3),OR(J53=TODAY()+4,AND(I53&lt;=7,J53&gt;=TODAY(),J53&lt;TODAY()+4,MOD(TODAY()+4-J53,I53)=0))),ROW(),""),"")</f>
        <v/>
      </c>
      <c r="T53" s="27">
        <f>IFERROR(IF(AND(A53&lt;&gt;"",H53&lt;&gt;"No",I53&lt;&gt;"",OR('Hoy'!$B$3='Ajustes'!$D$5,F53='Hoy'!$B$3),OR(J53=TODAY()+5,AND(I53&lt;=7,J53&gt;=TODAY(),J53&lt;TODAY()+5,MOD(TODAY()+5-J53,I53)=0))),ROW(),""),"")</f>
        <v/>
      </c>
      <c r="U53" s="27">
        <f>IFERROR(IF(AND(A53&lt;&gt;"",H53&lt;&gt;"No",I53&lt;&gt;"",OR('Hoy'!$B$3='Ajustes'!$D$5,F53='Hoy'!$B$3),OR(J53=TODAY()+6,AND(I53&lt;=7,J53&gt;=TODAY(),J53&lt;TODAY()+6,MOD(TODAY()+6-J53,I53)=0))),ROW(),""),"")</f>
        <v/>
      </c>
    </row>
    <row r="54">
      <c r="A54" s="6" t="inlineStr">
        <is>
          <t>Limpiar la bandeja sanitaria</t>
        </is>
      </c>
      <c r="B54" s="6" t="inlineStr">
        <is>
          <t>Mascotas</t>
        </is>
      </c>
      <c r="C54" s="28" t="n">
        <v>1</v>
      </c>
      <c r="D54" s="6" t="inlineStr">
        <is>
          <t>Días</t>
        </is>
      </c>
      <c r="E54" s="28" t="n">
        <v>5</v>
      </c>
      <c r="F54" s="6" t="n"/>
      <c r="G54" s="6" t="n"/>
      <c r="H54" s="29" t="inlineStr">
        <is>
          <t>No</t>
        </is>
      </c>
      <c r="I54" s="30">
        <f>IFERROR(IF(OR(A54="",C54=""),"",C54*INDEX('Ajustes'!$I$5:$I$8,MATCH(D54,'Ajustes'!$H$5:$H$8,0))),"")</f>
        <v/>
      </c>
      <c r="J54" s="31">
        <f>IFERROR(IF(I54="","",IF(G54="",IF('Ajustes'!$B$5="",TODAY(),'Ajustes'!$B$5)+MOD(ROW()*13,I54),IF(D54='Ajustes'!$H$7,EDATE(G54,C54),IF(D54='Ajustes'!$H$8,EDATE(G54,12*C54),G54+I54)))),"")</f>
        <v/>
      </c>
      <c r="K54" s="30">
        <f>IF(J54="","",J54-TODAY())</f>
        <v/>
      </c>
      <c r="L54" s="32">
        <f>IF(A54="","",IF(H54="No","Pausada",IF(K54="","",IF(K54&lt;0,"Atrasada",IF(K54=0,"Hoy",IF(K54&lt;=7,"Esta semana","Más adelante"))))))</f>
        <v/>
      </c>
      <c r="M54" s="27">
        <f>IFERROR(IF(AND(OR(L54="Atrasada",L54="Hoy",L54="Esta semana"),OR('Hoy'!$B$3='Ajustes'!$D$5,F54='Hoy'!$B$3)),K54+ROW()/100000,""),"")</f>
        <v/>
      </c>
      <c r="N54" s="27">
        <f>IF(OR(A54="",H54="No",I54=""),0,E54*7/I54)</f>
        <v/>
      </c>
      <c r="O54" s="27">
        <f>IFERROR(IF(AND(A54&lt;&gt;"",H54&lt;&gt;"No",I54&lt;&gt;"",OR('Hoy'!$B$3='Ajustes'!$D$5,F54='Hoy'!$B$3),J54&lt;=TODAY()),ROW(),""),"")</f>
        <v/>
      </c>
      <c r="P54" s="27">
        <f>IFERROR(IF(AND(A54&lt;&gt;"",H54&lt;&gt;"No",I54&lt;&gt;"",OR('Hoy'!$B$3='Ajustes'!$D$5,F54='Hoy'!$B$3),OR(J54=TODAY()+1,AND(I54&lt;=7,J54&gt;=TODAY(),J54&lt;TODAY()+1,MOD(TODAY()+1-J54,I54)=0))),ROW(),""),"")</f>
        <v/>
      </c>
      <c r="Q54" s="27">
        <f>IFERROR(IF(AND(A54&lt;&gt;"",H54&lt;&gt;"No",I54&lt;&gt;"",OR('Hoy'!$B$3='Ajustes'!$D$5,F54='Hoy'!$B$3),OR(J54=TODAY()+2,AND(I54&lt;=7,J54&gt;=TODAY(),J54&lt;TODAY()+2,MOD(TODAY()+2-J54,I54)=0))),ROW(),""),"")</f>
        <v/>
      </c>
      <c r="R54" s="27">
        <f>IFERROR(IF(AND(A54&lt;&gt;"",H54&lt;&gt;"No",I54&lt;&gt;"",OR('Hoy'!$B$3='Ajustes'!$D$5,F54='Hoy'!$B$3),OR(J54=TODAY()+3,AND(I54&lt;=7,J54&gt;=TODAY(),J54&lt;TODAY()+3,MOD(TODAY()+3-J54,I54)=0))),ROW(),""),"")</f>
        <v/>
      </c>
      <c r="S54" s="27">
        <f>IFERROR(IF(AND(A54&lt;&gt;"",H54&lt;&gt;"No",I54&lt;&gt;"",OR('Hoy'!$B$3='Ajustes'!$D$5,F54='Hoy'!$B$3),OR(J54=TODAY()+4,AND(I54&lt;=7,J54&gt;=TODAY(),J54&lt;TODAY()+4,MOD(TODAY()+4-J54,I54)=0))),ROW(),""),"")</f>
        <v/>
      </c>
      <c r="T54" s="27">
        <f>IFERROR(IF(AND(A54&lt;&gt;"",H54&lt;&gt;"No",I54&lt;&gt;"",OR('Hoy'!$B$3='Ajustes'!$D$5,F54='Hoy'!$B$3),OR(J54=TODAY()+5,AND(I54&lt;=7,J54&gt;=TODAY(),J54&lt;TODAY()+5,MOD(TODAY()+5-J54,I54)=0))),ROW(),""),"")</f>
        <v/>
      </c>
      <c r="U54" s="27">
        <f>IFERROR(IF(AND(A54&lt;&gt;"",H54&lt;&gt;"No",I54&lt;&gt;"",OR('Hoy'!$B$3='Ajustes'!$D$5,F54='Hoy'!$B$3),OR(J54=TODAY()+6,AND(I54&lt;=7,J54&gt;=TODAY(),J54&lt;TODAY()+6,MOD(TODAY()+6-J54,I54)=0))),ROW(),""),"")</f>
        <v/>
      </c>
    </row>
    <row r="55">
      <c r="A55" s="6" t="inlineStr">
        <is>
          <t>Lavar los comederos</t>
        </is>
      </c>
      <c r="B55" s="6" t="inlineStr">
        <is>
          <t>Mascotas</t>
        </is>
      </c>
      <c r="C55" s="28" t="n">
        <v>1</v>
      </c>
      <c r="D55" s="6" t="inlineStr">
        <is>
          <t>Semanas</t>
        </is>
      </c>
      <c r="E55" s="28" t="n">
        <v>5</v>
      </c>
      <c r="F55" s="6" t="n"/>
      <c r="G55" s="6" t="n"/>
      <c r="H55" s="29" t="inlineStr">
        <is>
          <t>No</t>
        </is>
      </c>
      <c r="I55" s="30">
        <f>IFERROR(IF(OR(A55="",C55=""),"",C55*INDEX('Ajustes'!$I$5:$I$8,MATCH(D55,'Ajustes'!$H$5:$H$8,0))),"")</f>
        <v/>
      </c>
      <c r="J55" s="31">
        <f>IFERROR(IF(I55="","",IF(G55="",IF('Ajustes'!$B$5="",TODAY(),'Ajustes'!$B$5)+MOD(ROW()*13,I55),IF(D55='Ajustes'!$H$7,EDATE(G55,C55),IF(D55='Ajustes'!$H$8,EDATE(G55,12*C55),G55+I55)))),"")</f>
        <v/>
      </c>
      <c r="K55" s="30">
        <f>IF(J55="","",J55-TODAY())</f>
        <v/>
      </c>
      <c r="L55" s="32">
        <f>IF(A55="","",IF(H55="No","Pausada",IF(K55="","",IF(K55&lt;0,"Atrasada",IF(K55=0,"Hoy",IF(K55&lt;=7,"Esta semana","Más adelante"))))))</f>
        <v/>
      </c>
      <c r="M55" s="27">
        <f>IFERROR(IF(AND(OR(L55="Atrasada",L55="Hoy",L55="Esta semana"),OR('Hoy'!$B$3='Ajustes'!$D$5,F55='Hoy'!$B$3)),K55+ROW()/100000,""),"")</f>
        <v/>
      </c>
      <c r="N55" s="27">
        <f>IF(OR(A55="",H55="No",I55=""),0,E55*7/I55)</f>
        <v/>
      </c>
      <c r="O55" s="27">
        <f>IFERROR(IF(AND(A55&lt;&gt;"",H55&lt;&gt;"No",I55&lt;&gt;"",OR('Hoy'!$B$3='Ajustes'!$D$5,F55='Hoy'!$B$3),J55&lt;=TODAY()),ROW(),""),"")</f>
        <v/>
      </c>
      <c r="P55" s="27">
        <f>IFERROR(IF(AND(A55&lt;&gt;"",H55&lt;&gt;"No",I55&lt;&gt;"",OR('Hoy'!$B$3='Ajustes'!$D$5,F55='Hoy'!$B$3),OR(J55=TODAY()+1,AND(I55&lt;=7,J55&gt;=TODAY(),J55&lt;TODAY()+1,MOD(TODAY()+1-J55,I55)=0))),ROW(),""),"")</f>
        <v/>
      </c>
      <c r="Q55" s="27">
        <f>IFERROR(IF(AND(A55&lt;&gt;"",H55&lt;&gt;"No",I55&lt;&gt;"",OR('Hoy'!$B$3='Ajustes'!$D$5,F55='Hoy'!$B$3),OR(J55=TODAY()+2,AND(I55&lt;=7,J55&gt;=TODAY(),J55&lt;TODAY()+2,MOD(TODAY()+2-J55,I55)=0))),ROW(),""),"")</f>
        <v/>
      </c>
      <c r="R55" s="27">
        <f>IFERROR(IF(AND(A55&lt;&gt;"",H55&lt;&gt;"No",I55&lt;&gt;"",OR('Hoy'!$B$3='Ajustes'!$D$5,F55='Hoy'!$B$3),OR(J55=TODAY()+3,AND(I55&lt;=7,J55&gt;=TODAY(),J55&lt;TODAY()+3,MOD(TODAY()+3-J55,I55)=0))),ROW(),""),"")</f>
        <v/>
      </c>
      <c r="S55" s="27">
        <f>IFERROR(IF(AND(A55&lt;&gt;"",H55&lt;&gt;"No",I55&lt;&gt;"",OR('Hoy'!$B$3='Ajustes'!$D$5,F55='Hoy'!$B$3),OR(J55=TODAY()+4,AND(I55&lt;=7,J55&gt;=TODAY(),J55&lt;TODAY()+4,MOD(TODAY()+4-J55,I55)=0))),ROW(),""),"")</f>
        <v/>
      </c>
      <c r="T55" s="27">
        <f>IFERROR(IF(AND(A55&lt;&gt;"",H55&lt;&gt;"No",I55&lt;&gt;"",OR('Hoy'!$B$3='Ajustes'!$D$5,F55='Hoy'!$B$3),OR(J55=TODAY()+5,AND(I55&lt;=7,J55&gt;=TODAY(),J55&lt;TODAY()+5,MOD(TODAY()+5-J55,I55)=0))),ROW(),""),"")</f>
        <v/>
      </c>
      <c r="U55" s="27">
        <f>IFERROR(IF(AND(A55&lt;&gt;"",H55&lt;&gt;"No",I55&lt;&gt;"",OR('Hoy'!$B$3='Ajustes'!$D$5,F55='Hoy'!$B$3),OR(J55=TODAY()+6,AND(I55&lt;=7,J55&gt;=TODAY(),J55&lt;TODAY()+6,MOD(TODAY()+6-J55,I55)=0))),ROW(),""),"")</f>
        <v/>
      </c>
    </row>
    <row r="56">
      <c r="A56" s="6" t="inlineStr">
        <is>
          <t>Cepillar a la mascota</t>
        </is>
      </c>
      <c r="B56" s="6" t="inlineStr">
        <is>
          <t>Mascotas</t>
        </is>
      </c>
      <c r="C56" s="28" t="n">
        <v>1</v>
      </c>
      <c r="D56" s="6" t="inlineStr">
        <is>
          <t>Semanas</t>
        </is>
      </c>
      <c r="E56" s="28" t="n">
        <v>10</v>
      </c>
      <c r="F56" s="6" t="n"/>
      <c r="G56" s="6" t="n"/>
      <c r="H56" s="29" t="inlineStr">
        <is>
          <t>No</t>
        </is>
      </c>
      <c r="I56" s="30">
        <f>IFERROR(IF(OR(A56="",C56=""),"",C56*INDEX('Ajustes'!$I$5:$I$8,MATCH(D56,'Ajustes'!$H$5:$H$8,0))),"")</f>
        <v/>
      </c>
      <c r="J56" s="31">
        <f>IFERROR(IF(I56="","",IF(G56="",IF('Ajustes'!$B$5="",TODAY(),'Ajustes'!$B$5)+MOD(ROW()*13,I56),IF(D56='Ajustes'!$H$7,EDATE(G56,C56),IF(D56='Ajustes'!$H$8,EDATE(G56,12*C56),G56+I56)))),"")</f>
        <v/>
      </c>
      <c r="K56" s="30">
        <f>IF(J56="","",J56-TODAY())</f>
        <v/>
      </c>
      <c r="L56" s="32">
        <f>IF(A56="","",IF(H56="No","Pausada",IF(K56="","",IF(K56&lt;0,"Atrasada",IF(K56=0,"Hoy",IF(K56&lt;=7,"Esta semana","Más adelante"))))))</f>
        <v/>
      </c>
      <c r="M56" s="27">
        <f>IFERROR(IF(AND(OR(L56="Atrasada",L56="Hoy",L56="Esta semana"),OR('Hoy'!$B$3='Ajustes'!$D$5,F56='Hoy'!$B$3)),K56+ROW()/100000,""),"")</f>
        <v/>
      </c>
      <c r="N56" s="27">
        <f>IF(OR(A56="",H56="No",I56=""),0,E56*7/I56)</f>
        <v/>
      </c>
      <c r="O56" s="27">
        <f>IFERROR(IF(AND(A56&lt;&gt;"",H56&lt;&gt;"No",I56&lt;&gt;"",OR('Hoy'!$B$3='Ajustes'!$D$5,F56='Hoy'!$B$3),J56&lt;=TODAY()),ROW(),""),"")</f>
        <v/>
      </c>
      <c r="P56" s="27">
        <f>IFERROR(IF(AND(A56&lt;&gt;"",H56&lt;&gt;"No",I56&lt;&gt;"",OR('Hoy'!$B$3='Ajustes'!$D$5,F56='Hoy'!$B$3),OR(J56=TODAY()+1,AND(I56&lt;=7,J56&gt;=TODAY(),J56&lt;TODAY()+1,MOD(TODAY()+1-J56,I56)=0))),ROW(),""),"")</f>
        <v/>
      </c>
      <c r="Q56" s="27">
        <f>IFERROR(IF(AND(A56&lt;&gt;"",H56&lt;&gt;"No",I56&lt;&gt;"",OR('Hoy'!$B$3='Ajustes'!$D$5,F56='Hoy'!$B$3),OR(J56=TODAY()+2,AND(I56&lt;=7,J56&gt;=TODAY(),J56&lt;TODAY()+2,MOD(TODAY()+2-J56,I56)=0))),ROW(),""),"")</f>
        <v/>
      </c>
      <c r="R56" s="27">
        <f>IFERROR(IF(AND(A56&lt;&gt;"",H56&lt;&gt;"No",I56&lt;&gt;"",OR('Hoy'!$B$3='Ajustes'!$D$5,F56='Hoy'!$B$3),OR(J56=TODAY()+3,AND(I56&lt;=7,J56&gt;=TODAY(),J56&lt;TODAY()+3,MOD(TODAY()+3-J56,I56)=0))),ROW(),""),"")</f>
        <v/>
      </c>
      <c r="S56" s="27">
        <f>IFERROR(IF(AND(A56&lt;&gt;"",H56&lt;&gt;"No",I56&lt;&gt;"",OR('Hoy'!$B$3='Ajustes'!$D$5,F56='Hoy'!$B$3),OR(J56=TODAY()+4,AND(I56&lt;=7,J56&gt;=TODAY(),J56&lt;TODAY()+4,MOD(TODAY()+4-J56,I56)=0))),ROW(),""),"")</f>
        <v/>
      </c>
      <c r="T56" s="27">
        <f>IFERROR(IF(AND(A56&lt;&gt;"",H56&lt;&gt;"No",I56&lt;&gt;"",OR('Hoy'!$B$3='Ajustes'!$D$5,F56='Hoy'!$B$3),OR(J56=TODAY()+5,AND(I56&lt;=7,J56&gt;=TODAY(),J56&lt;TODAY()+5,MOD(TODAY()+5-J56,I56)=0))),ROW(),""),"")</f>
        <v/>
      </c>
      <c r="U56" s="27">
        <f>IFERROR(IF(AND(A56&lt;&gt;"",H56&lt;&gt;"No",I56&lt;&gt;"",OR('Hoy'!$B$3='Ajustes'!$D$5,F56='Hoy'!$B$3),OR(J56=TODAY()+6,AND(I56&lt;=7,J56&gt;=TODAY(),J56&lt;TODAY()+6,MOD(TODAY()+6-J56,I56)=0))),ROW(),""),"")</f>
        <v/>
      </c>
    </row>
    <row r="57">
      <c r="A57" s="6" t="inlineStr">
        <is>
          <t>Lavar la cama de la mascota</t>
        </is>
      </c>
      <c r="B57" s="6" t="inlineStr">
        <is>
          <t>Mascotas</t>
        </is>
      </c>
      <c r="C57" s="28" t="n">
        <v>2</v>
      </c>
      <c r="D57" s="6" t="inlineStr">
        <is>
          <t>Semanas</t>
        </is>
      </c>
      <c r="E57" s="28" t="n">
        <v>15</v>
      </c>
      <c r="F57" s="6" t="n"/>
      <c r="G57" s="6" t="n"/>
      <c r="H57" s="29" t="inlineStr">
        <is>
          <t>No</t>
        </is>
      </c>
      <c r="I57" s="30">
        <f>IFERROR(IF(OR(A57="",C57=""),"",C57*INDEX('Ajustes'!$I$5:$I$8,MATCH(D57,'Ajustes'!$H$5:$H$8,0))),"")</f>
        <v/>
      </c>
      <c r="J57" s="31">
        <f>IFERROR(IF(I57="","",IF(G57="",IF('Ajustes'!$B$5="",TODAY(),'Ajustes'!$B$5)+MOD(ROW()*13,I57),IF(D57='Ajustes'!$H$7,EDATE(G57,C57),IF(D57='Ajustes'!$H$8,EDATE(G57,12*C57),G57+I57)))),"")</f>
        <v/>
      </c>
      <c r="K57" s="30">
        <f>IF(J57="","",J57-TODAY())</f>
        <v/>
      </c>
      <c r="L57" s="32">
        <f>IF(A57="","",IF(H57="No","Pausada",IF(K57="","",IF(K57&lt;0,"Atrasada",IF(K57=0,"Hoy",IF(K57&lt;=7,"Esta semana","Más adelante"))))))</f>
        <v/>
      </c>
      <c r="M57" s="27">
        <f>IFERROR(IF(AND(OR(L57="Atrasada",L57="Hoy",L57="Esta semana"),OR('Hoy'!$B$3='Ajustes'!$D$5,F57='Hoy'!$B$3)),K57+ROW()/100000,""),"")</f>
        <v/>
      </c>
      <c r="N57" s="27">
        <f>IF(OR(A57="",H57="No",I57=""),0,E57*7/I57)</f>
        <v/>
      </c>
      <c r="O57" s="27">
        <f>IFERROR(IF(AND(A57&lt;&gt;"",H57&lt;&gt;"No",I57&lt;&gt;"",OR('Hoy'!$B$3='Ajustes'!$D$5,F57='Hoy'!$B$3),J57&lt;=TODAY()),ROW(),""),"")</f>
        <v/>
      </c>
      <c r="P57" s="27">
        <f>IFERROR(IF(AND(A57&lt;&gt;"",H57&lt;&gt;"No",I57&lt;&gt;"",OR('Hoy'!$B$3='Ajustes'!$D$5,F57='Hoy'!$B$3),OR(J57=TODAY()+1,AND(I57&lt;=7,J57&gt;=TODAY(),J57&lt;TODAY()+1,MOD(TODAY()+1-J57,I57)=0))),ROW(),""),"")</f>
        <v/>
      </c>
      <c r="Q57" s="27">
        <f>IFERROR(IF(AND(A57&lt;&gt;"",H57&lt;&gt;"No",I57&lt;&gt;"",OR('Hoy'!$B$3='Ajustes'!$D$5,F57='Hoy'!$B$3),OR(J57=TODAY()+2,AND(I57&lt;=7,J57&gt;=TODAY(),J57&lt;TODAY()+2,MOD(TODAY()+2-J57,I57)=0))),ROW(),""),"")</f>
        <v/>
      </c>
      <c r="R57" s="27">
        <f>IFERROR(IF(AND(A57&lt;&gt;"",H57&lt;&gt;"No",I57&lt;&gt;"",OR('Hoy'!$B$3='Ajustes'!$D$5,F57='Hoy'!$B$3),OR(J57=TODAY()+3,AND(I57&lt;=7,J57&gt;=TODAY(),J57&lt;TODAY()+3,MOD(TODAY()+3-J57,I57)=0))),ROW(),""),"")</f>
        <v/>
      </c>
      <c r="S57" s="27">
        <f>IFERROR(IF(AND(A57&lt;&gt;"",H57&lt;&gt;"No",I57&lt;&gt;"",OR('Hoy'!$B$3='Ajustes'!$D$5,F57='Hoy'!$B$3),OR(J57=TODAY()+4,AND(I57&lt;=7,J57&gt;=TODAY(),J57&lt;TODAY()+4,MOD(TODAY()+4-J57,I57)=0))),ROW(),""),"")</f>
        <v/>
      </c>
      <c r="T57" s="27">
        <f>IFERROR(IF(AND(A57&lt;&gt;"",H57&lt;&gt;"No",I57&lt;&gt;"",OR('Hoy'!$B$3='Ajustes'!$D$5,F57='Hoy'!$B$3),OR(J57=TODAY()+5,AND(I57&lt;=7,J57&gt;=TODAY(),J57&lt;TODAY()+5,MOD(TODAY()+5-J57,I57)=0))),ROW(),""),"")</f>
        <v/>
      </c>
      <c r="U57" s="27">
        <f>IFERROR(IF(AND(A57&lt;&gt;"",H57&lt;&gt;"No",I57&lt;&gt;"",OR('Hoy'!$B$3='Ajustes'!$D$5,F57='Hoy'!$B$3),OR(J57=TODAY()+6,AND(I57&lt;=7,J57&gt;=TODAY(),J57&lt;TODAY()+6,MOD(TODAY()+6-J57,I57)=0))),ROW(),""),"")</f>
        <v/>
      </c>
    </row>
    <row r="58">
      <c r="A58" s="6" t="inlineStr">
        <is>
          <t>Antipulgas / desparasitación</t>
        </is>
      </c>
      <c r="B58" s="6" t="inlineStr">
        <is>
          <t>Mascotas</t>
        </is>
      </c>
      <c r="C58" s="28" t="n">
        <v>1</v>
      </c>
      <c r="D58" s="6" t="inlineStr">
        <is>
          <t>Meses</t>
        </is>
      </c>
      <c r="E58" s="28" t="n">
        <v>5</v>
      </c>
      <c r="F58" s="6" t="n"/>
      <c r="G58" s="6" t="n"/>
      <c r="H58" s="29" t="inlineStr">
        <is>
          <t>No</t>
        </is>
      </c>
      <c r="I58" s="30">
        <f>IFERROR(IF(OR(A58="",C58=""),"",C58*INDEX('Ajustes'!$I$5:$I$8,MATCH(D58,'Ajustes'!$H$5:$H$8,0))),"")</f>
        <v/>
      </c>
      <c r="J58" s="31">
        <f>IFERROR(IF(I58="","",IF(G58="",IF('Ajustes'!$B$5="",TODAY(),'Ajustes'!$B$5)+MOD(ROW()*13,I58),IF(D58='Ajustes'!$H$7,EDATE(G58,C58),IF(D58='Ajustes'!$H$8,EDATE(G58,12*C58),G58+I58)))),"")</f>
        <v/>
      </c>
      <c r="K58" s="30">
        <f>IF(J58="","",J58-TODAY())</f>
        <v/>
      </c>
      <c r="L58" s="32">
        <f>IF(A58="","",IF(H58="No","Pausada",IF(K58="","",IF(K58&lt;0,"Atrasada",IF(K58=0,"Hoy",IF(K58&lt;=7,"Esta semana","Más adelante"))))))</f>
        <v/>
      </c>
      <c r="M58" s="27">
        <f>IFERROR(IF(AND(OR(L58="Atrasada",L58="Hoy",L58="Esta semana"),OR('Hoy'!$B$3='Ajustes'!$D$5,F58='Hoy'!$B$3)),K58+ROW()/100000,""),"")</f>
        <v/>
      </c>
      <c r="N58" s="27">
        <f>IF(OR(A58="",H58="No",I58=""),0,E58*7/I58)</f>
        <v/>
      </c>
      <c r="O58" s="27">
        <f>IFERROR(IF(AND(A58&lt;&gt;"",H58&lt;&gt;"No",I58&lt;&gt;"",OR('Hoy'!$B$3='Ajustes'!$D$5,F58='Hoy'!$B$3),J58&lt;=TODAY()),ROW(),""),"")</f>
        <v/>
      </c>
      <c r="P58" s="27">
        <f>IFERROR(IF(AND(A58&lt;&gt;"",H58&lt;&gt;"No",I58&lt;&gt;"",OR('Hoy'!$B$3='Ajustes'!$D$5,F58='Hoy'!$B$3),OR(J58=TODAY()+1,AND(I58&lt;=7,J58&gt;=TODAY(),J58&lt;TODAY()+1,MOD(TODAY()+1-J58,I58)=0))),ROW(),""),"")</f>
        <v/>
      </c>
      <c r="Q58" s="27">
        <f>IFERROR(IF(AND(A58&lt;&gt;"",H58&lt;&gt;"No",I58&lt;&gt;"",OR('Hoy'!$B$3='Ajustes'!$D$5,F58='Hoy'!$B$3),OR(J58=TODAY()+2,AND(I58&lt;=7,J58&gt;=TODAY(),J58&lt;TODAY()+2,MOD(TODAY()+2-J58,I58)=0))),ROW(),""),"")</f>
        <v/>
      </c>
      <c r="R58" s="27">
        <f>IFERROR(IF(AND(A58&lt;&gt;"",H58&lt;&gt;"No",I58&lt;&gt;"",OR('Hoy'!$B$3='Ajustes'!$D$5,F58='Hoy'!$B$3),OR(J58=TODAY()+3,AND(I58&lt;=7,J58&gt;=TODAY(),J58&lt;TODAY()+3,MOD(TODAY()+3-J58,I58)=0))),ROW(),""),"")</f>
        <v/>
      </c>
      <c r="S58" s="27">
        <f>IFERROR(IF(AND(A58&lt;&gt;"",H58&lt;&gt;"No",I58&lt;&gt;"",OR('Hoy'!$B$3='Ajustes'!$D$5,F58='Hoy'!$B$3),OR(J58=TODAY()+4,AND(I58&lt;=7,J58&gt;=TODAY(),J58&lt;TODAY()+4,MOD(TODAY()+4-J58,I58)=0))),ROW(),""),"")</f>
        <v/>
      </c>
      <c r="T58" s="27">
        <f>IFERROR(IF(AND(A58&lt;&gt;"",H58&lt;&gt;"No",I58&lt;&gt;"",OR('Hoy'!$B$3='Ajustes'!$D$5,F58='Hoy'!$B$3),OR(J58=TODAY()+5,AND(I58&lt;=7,J58&gt;=TODAY(),J58&lt;TODAY()+5,MOD(TODAY()+5-J58,I58)=0))),ROW(),""),"")</f>
        <v/>
      </c>
      <c r="U58" s="27">
        <f>IFERROR(IF(AND(A58&lt;&gt;"",H58&lt;&gt;"No",I58&lt;&gt;"",OR('Hoy'!$B$3='Ajustes'!$D$5,F58='Hoy'!$B$3),OR(J58=TODAY()+6,AND(I58&lt;=7,J58&gt;=TODAY(),J58&lt;TODAY()+6,MOD(TODAY()+6-J58,I58)=0))),ROW(),""),"")</f>
        <v/>
      </c>
    </row>
    <row r="59">
      <c r="A59" s="6" t="inlineStr">
        <is>
          <t>Ordenada rápida de todos los ambientes</t>
        </is>
      </c>
      <c r="B59" s="6" t="inlineStr">
        <is>
          <t>Toda la casa</t>
        </is>
      </c>
      <c r="C59" s="28" t="n">
        <v>1</v>
      </c>
      <c r="D59" s="6" t="inlineStr">
        <is>
          <t>Días</t>
        </is>
      </c>
      <c r="E59" s="28" t="n">
        <v>10</v>
      </c>
      <c r="F59" s="6" t="n"/>
      <c r="G59" s="6" t="n"/>
      <c r="H59" s="29" t="inlineStr">
        <is>
          <t>Sí</t>
        </is>
      </c>
      <c r="I59" s="30">
        <f>IFERROR(IF(OR(A59="",C59=""),"",C59*INDEX('Ajustes'!$I$5:$I$8,MATCH(D59,'Ajustes'!$H$5:$H$8,0))),"")</f>
        <v/>
      </c>
      <c r="J59" s="31">
        <f>IFERROR(IF(I59="","",IF(G59="",IF('Ajustes'!$B$5="",TODAY(),'Ajustes'!$B$5)+MOD(ROW()*13,I59),IF(D59='Ajustes'!$H$7,EDATE(G59,C59),IF(D59='Ajustes'!$H$8,EDATE(G59,12*C59),G59+I59)))),"")</f>
        <v/>
      </c>
      <c r="K59" s="30">
        <f>IF(J59="","",J59-TODAY())</f>
        <v/>
      </c>
      <c r="L59" s="32">
        <f>IF(A59="","",IF(H59="No","Pausada",IF(K59="","",IF(K59&lt;0,"Atrasada",IF(K59=0,"Hoy",IF(K59&lt;=7,"Esta semana","Más adelante"))))))</f>
        <v/>
      </c>
      <c r="M59" s="27">
        <f>IFERROR(IF(AND(OR(L59="Atrasada",L59="Hoy",L59="Esta semana"),OR('Hoy'!$B$3='Ajustes'!$D$5,F59='Hoy'!$B$3)),K59+ROW()/100000,""),"")</f>
        <v/>
      </c>
      <c r="N59" s="27">
        <f>IF(OR(A59="",H59="No",I59=""),0,E59*7/I59)</f>
        <v/>
      </c>
      <c r="O59" s="27">
        <f>IFERROR(IF(AND(A59&lt;&gt;"",H59&lt;&gt;"No",I59&lt;&gt;"",OR('Hoy'!$B$3='Ajustes'!$D$5,F59='Hoy'!$B$3),J59&lt;=TODAY()),ROW(),""),"")</f>
        <v/>
      </c>
      <c r="P59" s="27">
        <f>IFERROR(IF(AND(A59&lt;&gt;"",H59&lt;&gt;"No",I59&lt;&gt;"",OR('Hoy'!$B$3='Ajustes'!$D$5,F59='Hoy'!$B$3),OR(J59=TODAY()+1,AND(I59&lt;=7,J59&gt;=TODAY(),J59&lt;TODAY()+1,MOD(TODAY()+1-J59,I59)=0))),ROW(),""),"")</f>
        <v/>
      </c>
      <c r="Q59" s="27">
        <f>IFERROR(IF(AND(A59&lt;&gt;"",H59&lt;&gt;"No",I59&lt;&gt;"",OR('Hoy'!$B$3='Ajustes'!$D$5,F59='Hoy'!$B$3),OR(J59=TODAY()+2,AND(I59&lt;=7,J59&gt;=TODAY(),J59&lt;TODAY()+2,MOD(TODAY()+2-J59,I59)=0))),ROW(),""),"")</f>
        <v/>
      </c>
      <c r="R59" s="27">
        <f>IFERROR(IF(AND(A59&lt;&gt;"",H59&lt;&gt;"No",I59&lt;&gt;"",OR('Hoy'!$B$3='Ajustes'!$D$5,F59='Hoy'!$B$3),OR(J59=TODAY()+3,AND(I59&lt;=7,J59&gt;=TODAY(),J59&lt;TODAY()+3,MOD(TODAY()+3-J59,I59)=0))),ROW(),""),"")</f>
        <v/>
      </c>
      <c r="S59" s="27">
        <f>IFERROR(IF(AND(A59&lt;&gt;"",H59&lt;&gt;"No",I59&lt;&gt;"",OR('Hoy'!$B$3='Ajustes'!$D$5,F59='Hoy'!$B$3),OR(J59=TODAY()+4,AND(I59&lt;=7,J59&gt;=TODAY(),J59&lt;TODAY()+4,MOD(TODAY()+4-J59,I59)=0))),ROW(),""),"")</f>
        <v/>
      </c>
      <c r="T59" s="27">
        <f>IFERROR(IF(AND(A59&lt;&gt;"",H59&lt;&gt;"No",I59&lt;&gt;"",OR('Hoy'!$B$3='Ajustes'!$D$5,F59='Hoy'!$B$3),OR(J59=TODAY()+5,AND(I59&lt;=7,J59&gt;=TODAY(),J59&lt;TODAY()+5,MOD(TODAY()+5-J59,I59)=0))),ROW(),""),"")</f>
        <v/>
      </c>
      <c r="U59" s="27">
        <f>IFERROR(IF(AND(A59&lt;&gt;"",H59&lt;&gt;"No",I59&lt;&gt;"",OR('Hoy'!$B$3='Ajustes'!$D$5,F59='Hoy'!$B$3),OR(J59=TODAY()+6,AND(I59&lt;=7,J59&gt;=TODAY(),J59&lt;TODAY()+6,MOD(TODAY()+6-J59,I59)=0))),ROW(),""),"")</f>
        <v/>
      </c>
    </row>
    <row r="60">
      <c r="A60" s="6" t="inlineStr">
        <is>
          <t>Sacar la basura y el reciclado</t>
        </is>
      </c>
      <c r="B60" s="6" t="inlineStr">
        <is>
          <t>Toda la casa</t>
        </is>
      </c>
      <c r="C60" s="28" t="n">
        <v>2</v>
      </c>
      <c r="D60" s="6" t="inlineStr">
        <is>
          <t>Días</t>
        </is>
      </c>
      <c r="E60" s="28" t="n">
        <v>5</v>
      </c>
      <c r="F60" s="6" t="n"/>
      <c r="G60" s="6" t="n"/>
      <c r="H60" s="29" t="inlineStr">
        <is>
          <t>Sí</t>
        </is>
      </c>
      <c r="I60" s="30">
        <f>IFERROR(IF(OR(A60="",C60=""),"",C60*INDEX('Ajustes'!$I$5:$I$8,MATCH(D60,'Ajustes'!$H$5:$H$8,0))),"")</f>
        <v/>
      </c>
      <c r="J60" s="31">
        <f>IFERROR(IF(I60="","",IF(G60="",IF('Ajustes'!$B$5="",TODAY(),'Ajustes'!$B$5)+MOD(ROW()*13,I60),IF(D60='Ajustes'!$H$7,EDATE(G60,C60),IF(D60='Ajustes'!$H$8,EDATE(G60,12*C60),G60+I60)))),"")</f>
        <v/>
      </c>
      <c r="K60" s="30">
        <f>IF(J60="","",J60-TODAY())</f>
        <v/>
      </c>
      <c r="L60" s="32">
        <f>IF(A60="","",IF(H60="No","Pausada",IF(K60="","",IF(K60&lt;0,"Atrasada",IF(K60=0,"Hoy",IF(K60&lt;=7,"Esta semana","Más adelante"))))))</f>
        <v/>
      </c>
      <c r="M60" s="27">
        <f>IFERROR(IF(AND(OR(L60="Atrasada",L60="Hoy",L60="Esta semana"),OR('Hoy'!$B$3='Ajustes'!$D$5,F60='Hoy'!$B$3)),K60+ROW()/100000,""),"")</f>
        <v/>
      </c>
      <c r="N60" s="27">
        <f>IF(OR(A60="",H60="No",I60=""),0,E60*7/I60)</f>
        <v/>
      </c>
      <c r="O60" s="27">
        <f>IFERROR(IF(AND(A60&lt;&gt;"",H60&lt;&gt;"No",I60&lt;&gt;"",OR('Hoy'!$B$3='Ajustes'!$D$5,F60='Hoy'!$B$3),J60&lt;=TODAY()),ROW(),""),"")</f>
        <v/>
      </c>
      <c r="P60" s="27">
        <f>IFERROR(IF(AND(A60&lt;&gt;"",H60&lt;&gt;"No",I60&lt;&gt;"",OR('Hoy'!$B$3='Ajustes'!$D$5,F60='Hoy'!$B$3),OR(J60=TODAY()+1,AND(I60&lt;=7,J60&gt;=TODAY(),J60&lt;TODAY()+1,MOD(TODAY()+1-J60,I60)=0))),ROW(),""),"")</f>
        <v/>
      </c>
      <c r="Q60" s="27">
        <f>IFERROR(IF(AND(A60&lt;&gt;"",H60&lt;&gt;"No",I60&lt;&gt;"",OR('Hoy'!$B$3='Ajustes'!$D$5,F60='Hoy'!$B$3),OR(J60=TODAY()+2,AND(I60&lt;=7,J60&gt;=TODAY(),J60&lt;TODAY()+2,MOD(TODAY()+2-J60,I60)=0))),ROW(),""),"")</f>
        <v/>
      </c>
      <c r="R60" s="27">
        <f>IFERROR(IF(AND(A60&lt;&gt;"",H60&lt;&gt;"No",I60&lt;&gt;"",OR('Hoy'!$B$3='Ajustes'!$D$5,F60='Hoy'!$B$3),OR(J60=TODAY()+3,AND(I60&lt;=7,J60&gt;=TODAY(),J60&lt;TODAY()+3,MOD(TODAY()+3-J60,I60)=0))),ROW(),""),"")</f>
        <v/>
      </c>
      <c r="S60" s="27">
        <f>IFERROR(IF(AND(A60&lt;&gt;"",H60&lt;&gt;"No",I60&lt;&gt;"",OR('Hoy'!$B$3='Ajustes'!$D$5,F60='Hoy'!$B$3),OR(J60=TODAY()+4,AND(I60&lt;=7,J60&gt;=TODAY(),J60&lt;TODAY()+4,MOD(TODAY()+4-J60,I60)=0))),ROW(),""),"")</f>
        <v/>
      </c>
      <c r="T60" s="27">
        <f>IFERROR(IF(AND(A60&lt;&gt;"",H60&lt;&gt;"No",I60&lt;&gt;"",OR('Hoy'!$B$3='Ajustes'!$D$5,F60='Hoy'!$B$3),OR(J60=TODAY()+5,AND(I60&lt;=7,J60&gt;=TODAY(),J60&lt;TODAY()+5,MOD(TODAY()+5-J60,I60)=0))),ROW(),""),"")</f>
        <v/>
      </c>
      <c r="U60" s="27">
        <f>IFERROR(IF(AND(A60&lt;&gt;"",H60&lt;&gt;"No",I60&lt;&gt;"",OR('Hoy'!$B$3='Ajustes'!$D$5,F60='Hoy'!$B$3),OR(J60=TODAY()+6,AND(I60&lt;=7,J60&gt;=TODAY(),J60&lt;TODAY()+6,MOD(TODAY()+6-J60,I60)=0))),ROW(),""),"")</f>
        <v/>
      </c>
    </row>
    <row r="61">
      <c r="A61" s="6" t="inlineStr">
        <is>
          <t>Aspirar toda la casa</t>
        </is>
      </c>
      <c r="B61" s="6" t="inlineStr">
        <is>
          <t>Toda la casa</t>
        </is>
      </c>
      <c r="C61" s="28" t="n">
        <v>1</v>
      </c>
      <c r="D61" s="6" t="inlineStr">
        <is>
          <t>Semanas</t>
        </is>
      </c>
      <c r="E61" s="28" t="n">
        <v>30</v>
      </c>
      <c r="F61" s="6" t="n"/>
      <c r="G61" s="6" t="n"/>
      <c r="H61" s="29" t="inlineStr">
        <is>
          <t>Sí</t>
        </is>
      </c>
      <c r="I61" s="30">
        <f>IFERROR(IF(OR(A61="",C61=""),"",C61*INDEX('Ajustes'!$I$5:$I$8,MATCH(D61,'Ajustes'!$H$5:$H$8,0))),"")</f>
        <v/>
      </c>
      <c r="J61" s="31">
        <f>IFERROR(IF(I61="","",IF(G61="",IF('Ajustes'!$B$5="",TODAY(),'Ajustes'!$B$5)+MOD(ROW()*13,I61),IF(D61='Ajustes'!$H$7,EDATE(G61,C61),IF(D61='Ajustes'!$H$8,EDATE(G61,12*C61),G61+I61)))),"")</f>
        <v/>
      </c>
      <c r="K61" s="30">
        <f>IF(J61="","",J61-TODAY())</f>
        <v/>
      </c>
      <c r="L61" s="32">
        <f>IF(A61="","",IF(H61="No","Pausada",IF(K61="","",IF(K61&lt;0,"Atrasada",IF(K61=0,"Hoy",IF(K61&lt;=7,"Esta semana","Más adelante"))))))</f>
        <v/>
      </c>
      <c r="M61" s="27">
        <f>IFERROR(IF(AND(OR(L61="Atrasada",L61="Hoy",L61="Esta semana"),OR('Hoy'!$B$3='Ajustes'!$D$5,F61='Hoy'!$B$3)),K61+ROW()/100000,""),"")</f>
        <v/>
      </c>
      <c r="N61" s="27">
        <f>IF(OR(A61="",H61="No",I61=""),0,E61*7/I61)</f>
        <v/>
      </c>
      <c r="O61" s="27">
        <f>IFERROR(IF(AND(A61&lt;&gt;"",H61&lt;&gt;"No",I61&lt;&gt;"",OR('Hoy'!$B$3='Ajustes'!$D$5,F61='Hoy'!$B$3),J61&lt;=TODAY()),ROW(),""),"")</f>
        <v/>
      </c>
      <c r="P61" s="27">
        <f>IFERROR(IF(AND(A61&lt;&gt;"",H61&lt;&gt;"No",I61&lt;&gt;"",OR('Hoy'!$B$3='Ajustes'!$D$5,F61='Hoy'!$B$3),OR(J61=TODAY()+1,AND(I61&lt;=7,J61&gt;=TODAY(),J61&lt;TODAY()+1,MOD(TODAY()+1-J61,I61)=0))),ROW(),""),"")</f>
        <v/>
      </c>
      <c r="Q61" s="27">
        <f>IFERROR(IF(AND(A61&lt;&gt;"",H61&lt;&gt;"No",I61&lt;&gt;"",OR('Hoy'!$B$3='Ajustes'!$D$5,F61='Hoy'!$B$3),OR(J61=TODAY()+2,AND(I61&lt;=7,J61&gt;=TODAY(),J61&lt;TODAY()+2,MOD(TODAY()+2-J61,I61)=0))),ROW(),""),"")</f>
        <v/>
      </c>
      <c r="R61" s="27">
        <f>IFERROR(IF(AND(A61&lt;&gt;"",H61&lt;&gt;"No",I61&lt;&gt;"",OR('Hoy'!$B$3='Ajustes'!$D$5,F61='Hoy'!$B$3),OR(J61=TODAY()+3,AND(I61&lt;=7,J61&gt;=TODAY(),J61&lt;TODAY()+3,MOD(TODAY()+3-J61,I61)=0))),ROW(),""),"")</f>
        <v/>
      </c>
      <c r="S61" s="27">
        <f>IFERROR(IF(AND(A61&lt;&gt;"",H61&lt;&gt;"No",I61&lt;&gt;"",OR('Hoy'!$B$3='Ajustes'!$D$5,F61='Hoy'!$B$3),OR(J61=TODAY()+4,AND(I61&lt;=7,J61&gt;=TODAY(),J61&lt;TODAY()+4,MOD(TODAY()+4-J61,I61)=0))),ROW(),""),"")</f>
        <v/>
      </c>
      <c r="T61" s="27">
        <f>IFERROR(IF(AND(A61&lt;&gt;"",H61&lt;&gt;"No",I61&lt;&gt;"",OR('Hoy'!$B$3='Ajustes'!$D$5,F61='Hoy'!$B$3),OR(J61=TODAY()+5,AND(I61&lt;=7,J61&gt;=TODAY(),J61&lt;TODAY()+5,MOD(TODAY()+5-J61,I61)=0))),ROW(),""),"")</f>
        <v/>
      </c>
      <c r="U61" s="27">
        <f>IFERROR(IF(AND(A61&lt;&gt;"",H61&lt;&gt;"No",I61&lt;&gt;"",OR('Hoy'!$B$3='Ajustes'!$D$5,F61='Hoy'!$B$3),OR(J61=TODAY()+6,AND(I61&lt;=7,J61&gt;=TODAY(),J61&lt;TODAY()+6,MOD(TODAY()+6-J61,I61)=0))),ROW(),""),"")</f>
        <v/>
      </c>
    </row>
    <row r="62">
      <c r="A62" s="6" t="inlineStr">
        <is>
          <t>Trapear todos los pisos</t>
        </is>
      </c>
      <c r="B62" s="6" t="inlineStr">
        <is>
          <t>Toda la casa</t>
        </is>
      </c>
      <c r="C62" s="28" t="n">
        <v>1</v>
      </c>
      <c r="D62" s="6" t="inlineStr">
        <is>
          <t>Semanas</t>
        </is>
      </c>
      <c r="E62" s="28" t="n">
        <v>30</v>
      </c>
      <c r="F62" s="6" t="n"/>
      <c r="G62" s="6" t="n"/>
      <c r="H62" s="29" t="inlineStr">
        <is>
          <t>Sí</t>
        </is>
      </c>
      <c r="I62" s="30">
        <f>IFERROR(IF(OR(A62="",C62=""),"",C62*INDEX('Ajustes'!$I$5:$I$8,MATCH(D62,'Ajustes'!$H$5:$H$8,0))),"")</f>
        <v/>
      </c>
      <c r="J62" s="31">
        <f>IFERROR(IF(I62="","",IF(G62="",IF('Ajustes'!$B$5="",TODAY(),'Ajustes'!$B$5)+MOD(ROW()*13,I62),IF(D62='Ajustes'!$H$7,EDATE(G62,C62),IF(D62='Ajustes'!$H$8,EDATE(G62,12*C62),G62+I62)))),"")</f>
        <v/>
      </c>
      <c r="K62" s="30">
        <f>IF(J62="","",J62-TODAY())</f>
        <v/>
      </c>
      <c r="L62" s="32">
        <f>IF(A62="","",IF(H62="No","Pausada",IF(K62="","",IF(K62&lt;0,"Atrasada",IF(K62=0,"Hoy",IF(K62&lt;=7,"Esta semana","Más adelante"))))))</f>
        <v/>
      </c>
      <c r="M62" s="27">
        <f>IFERROR(IF(AND(OR(L62="Atrasada",L62="Hoy",L62="Esta semana"),OR('Hoy'!$B$3='Ajustes'!$D$5,F62='Hoy'!$B$3)),K62+ROW()/100000,""),"")</f>
        <v/>
      </c>
      <c r="N62" s="27">
        <f>IF(OR(A62="",H62="No",I62=""),0,E62*7/I62)</f>
        <v/>
      </c>
      <c r="O62" s="27">
        <f>IFERROR(IF(AND(A62&lt;&gt;"",H62&lt;&gt;"No",I62&lt;&gt;"",OR('Hoy'!$B$3='Ajustes'!$D$5,F62='Hoy'!$B$3),J62&lt;=TODAY()),ROW(),""),"")</f>
        <v/>
      </c>
      <c r="P62" s="27">
        <f>IFERROR(IF(AND(A62&lt;&gt;"",H62&lt;&gt;"No",I62&lt;&gt;"",OR('Hoy'!$B$3='Ajustes'!$D$5,F62='Hoy'!$B$3),OR(J62=TODAY()+1,AND(I62&lt;=7,J62&gt;=TODAY(),J62&lt;TODAY()+1,MOD(TODAY()+1-J62,I62)=0))),ROW(),""),"")</f>
        <v/>
      </c>
      <c r="Q62" s="27">
        <f>IFERROR(IF(AND(A62&lt;&gt;"",H62&lt;&gt;"No",I62&lt;&gt;"",OR('Hoy'!$B$3='Ajustes'!$D$5,F62='Hoy'!$B$3),OR(J62=TODAY()+2,AND(I62&lt;=7,J62&gt;=TODAY(),J62&lt;TODAY()+2,MOD(TODAY()+2-J62,I62)=0))),ROW(),""),"")</f>
        <v/>
      </c>
      <c r="R62" s="27">
        <f>IFERROR(IF(AND(A62&lt;&gt;"",H62&lt;&gt;"No",I62&lt;&gt;"",OR('Hoy'!$B$3='Ajustes'!$D$5,F62='Hoy'!$B$3),OR(J62=TODAY()+3,AND(I62&lt;=7,J62&gt;=TODAY(),J62&lt;TODAY()+3,MOD(TODAY()+3-J62,I62)=0))),ROW(),""),"")</f>
        <v/>
      </c>
      <c r="S62" s="27">
        <f>IFERROR(IF(AND(A62&lt;&gt;"",H62&lt;&gt;"No",I62&lt;&gt;"",OR('Hoy'!$B$3='Ajustes'!$D$5,F62='Hoy'!$B$3),OR(J62=TODAY()+4,AND(I62&lt;=7,J62&gt;=TODAY(),J62&lt;TODAY()+4,MOD(TODAY()+4-J62,I62)=0))),ROW(),""),"")</f>
        <v/>
      </c>
      <c r="T62" s="27">
        <f>IFERROR(IF(AND(A62&lt;&gt;"",H62&lt;&gt;"No",I62&lt;&gt;"",OR('Hoy'!$B$3='Ajustes'!$D$5,F62='Hoy'!$B$3),OR(J62=TODAY()+5,AND(I62&lt;=7,J62&gt;=TODAY(),J62&lt;TODAY()+5,MOD(TODAY()+5-J62,I62)=0))),ROW(),""),"")</f>
        <v/>
      </c>
      <c r="U62" s="27">
        <f>IFERROR(IF(AND(A62&lt;&gt;"",H62&lt;&gt;"No",I62&lt;&gt;"",OR('Hoy'!$B$3='Ajustes'!$D$5,F62='Hoy'!$B$3),OR(J62=TODAY()+6,AND(I62&lt;=7,J62&gt;=TODAY(),J62&lt;TODAY()+6,MOD(TODAY()+6-J62,I62)=0))),ROW(),""),"")</f>
        <v/>
      </c>
    </row>
    <row r="63">
      <c r="A63" s="6" t="inlineStr">
        <is>
          <t>Limpiar picaportes e interruptores</t>
        </is>
      </c>
      <c r="B63" s="6" t="inlineStr">
        <is>
          <t>Toda la casa</t>
        </is>
      </c>
      <c r="C63" s="28" t="n">
        <v>1</v>
      </c>
      <c r="D63" s="6" t="inlineStr">
        <is>
          <t>Semanas</t>
        </is>
      </c>
      <c r="E63" s="28" t="n">
        <v>5</v>
      </c>
      <c r="F63" s="6" t="n"/>
      <c r="G63" s="6" t="n"/>
      <c r="H63" s="29" t="inlineStr">
        <is>
          <t>Sí</t>
        </is>
      </c>
      <c r="I63" s="30">
        <f>IFERROR(IF(OR(A63="",C63=""),"",C63*INDEX('Ajustes'!$I$5:$I$8,MATCH(D63,'Ajustes'!$H$5:$H$8,0))),"")</f>
        <v/>
      </c>
      <c r="J63" s="31">
        <f>IFERROR(IF(I63="","",IF(G63="",IF('Ajustes'!$B$5="",TODAY(),'Ajustes'!$B$5)+MOD(ROW()*13,I63),IF(D63='Ajustes'!$H$7,EDATE(G63,C63),IF(D63='Ajustes'!$H$8,EDATE(G63,12*C63),G63+I63)))),"")</f>
        <v/>
      </c>
      <c r="K63" s="30">
        <f>IF(J63="","",J63-TODAY())</f>
        <v/>
      </c>
      <c r="L63" s="32">
        <f>IF(A63="","",IF(H63="No","Pausada",IF(K63="","",IF(K63&lt;0,"Atrasada",IF(K63=0,"Hoy",IF(K63&lt;=7,"Esta semana","Más adelante"))))))</f>
        <v/>
      </c>
      <c r="M63" s="27">
        <f>IFERROR(IF(AND(OR(L63="Atrasada",L63="Hoy",L63="Esta semana"),OR('Hoy'!$B$3='Ajustes'!$D$5,F63='Hoy'!$B$3)),K63+ROW()/100000,""),"")</f>
        <v/>
      </c>
      <c r="N63" s="27">
        <f>IF(OR(A63="",H63="No",I63=""),0,E63*7/I63)</f>
        <v/>
      </c>
      <c r="O63" s="27">
        <f>IFERROR(IF(AND(A63&lt;&gt;"",H63&lt;&gt;"No",I63&lt;&gt;"",OR('Hoy'!$B$3='Ajustes'!$D$5,F63='Hoy'!$B$3),J63&lt;=TODAY()),ROW(),""),"")</f>
        <v/>
      </c>
      <c r="P63" s="27">
        <f>IFERROR(IF(AND(A63&lt;&gt;"",H63&lt;&gt;"No",I63&lt;&gt;"",OR('Hoy'!$B$3='Ajustes'!$D$5,F63='Hoy'!$B$3),OR(J63=TODAY()+1,AND(I63&lt;=7,J63&gt;=TODAY(),J63&lt;TODAY()+1,MOD(TODAY()+1-J63,I63)=0))),ROW(),""),"")</f>
        <v/>
      </c>
      <c r="Q63" s="27">
        <f>IFERROR(IF(AND(A63&lt;&gt;"",H63&lt;&gt;"No",I63&lt;&gt;"",OR('Hoy'!$B$3='Ajustes'!$D$5,F63='Hoy'!$B$3),OR(J63=TODAY()+2,AND(I63&lt;=7,J63&gt;=TODAY(),J63&lt;TODAY()+2,MOD(TODAY()+2-J63,I63)=0))),ROW(),""),"")</f>
        <v/>
      </c>
      <c r="R63" s="27">
        <f>IFERROR(IF(AND(A63&lt;&gt;"",H63&lt;&gt;"No",I63&lt;&gt;"",OR('Hoy'!$B$3='Ajustes'!$D$5,F63='Hoy'!$B$3),OR(J63=TODAY()+3,AND(I63&lt;=7,J63&gt;=TODAY(),J63&lt;TODAY()+3,MOD(TODAY()+3-J63,I63)=0))),ROW(),""),"")</f>
        <v/>
      </c>
      <c r="S63" s="27">
        <f>IFERROR(IF(AND(A63&lt;&gt;"",H63&lt;&gt;"No",I63&lt;&gt;"",OR('Hoy'!$B$3='Ajustes'!$D$5,F63='Hoy'!$B$3),OR(J63=TODAY()+4,AND(I63&lt;=7,J63&gt;=TODAY(),J63&lt;TODAY()+4,MOD(TODAY()+4-J63,I63)=0))),ROW(),""),"")</f>
        <v/>
      </c>
      <c r="T63" s="27">
        <f>IFERROR(IF(AND(A63&lt;&gt;"",H63&lt;&gt;"No",I63&lt;&gt;"",OR('Hoy'!$B$3='Ajustes'!$D$5,F63='Hoy'!$B$3),OR(J63=TODAY()+5,AND(I63&lt;=7,J63&gt;=TODAY(),J63&lt;TODAY()+5,MOD(TODAY()+5-J63,I63)=0))),ROW(),""),"")</f>
        <v/>
      </c>
      <c r="U63" s="27">
        <f>IFERROR(IF(AND(A63&lt;&gt;"",H63&lt;&gt;"No",I63&lt;&gt;"",OR('Hoy'!$B$3='Ajustes'!$D$5,F63='Hoy'!$B$3),OR(J63=TODAY()+6,AND(I63&lt;=7,J63&gt;=TODAY(),J63&lt;TODAY()+6,MOD(TODAY()+6-J63,I63)=0))),ROW(),""),"")</f>
        <v/>
      </c>
    </row>
    <row r="64">
      <c r="A64" s="6" t="inlineStr">
        <is>
          <t>Despejar un cajón o estante</t>
        </is>
      </c>
      <c r="B64" s="6" t="inlineStr">
        <is>
          <t>Toda la casa</t>
        </is>
      </c>
      <c r="C64" s="28" t="n">
        <v>1</v>
      </c>
      <c r="D64" s="6" t="inlineStr">
        <is>
          <t>Semanas</t>
        </is>
      </c>
      <c r="E64" s="28" t="n">
        <v>15</v>
      </c>
      <c r="F64" s="6" t="n"/>
      <c r="G64" s="6" t="n"/>
      <c r="H64" s="29" t="inlineStr">
        <is>
          <t>Sí</t>
        </is>
      </c>
      <c r="I64" s="30">
        <f>IFERROR(IF(OR(A64="",C64=""),"",C64*INDEX('Ajustes'!$I$5:$I$8,MATCH(D64,'Ajustes'!$H$5:$H$8,0))),"")</f>
        <v/>
      </c>
      <c r="J64" s="31">
        <f>IFERROR(IF(I64="","",IF(G64="",IF('Ajustes'!$B$5="",TODAY(),'Ajustes'!$B$5)+MOD(ROW()*13,I64),IF(D64='Ajustes'!$H$7,EDATE(G64,C64),IF(D64='Ajustes'!$H$8,EDATE(G64,12*C64),G64+I64)))),"")</f>
        <v/>
      </c>
      <c r="K64" s="30">
        <f>IF(J64="","",J64-TODAY())</f>
        <v/>
      </c>
      <c r="L64" s="32">
        <f>IF(A64="","",IF(H64="No","Pausada",IF(K64="","",IF(K64&lt;0,"Atrasada",IF(K64=0,"Hoy",IF(K64&lt;=7,"Esta semana","Más adelante"))))))</f>
        <v/>
      </c>
      <c r="M64" s="27">
        <f>IFERROR(IF(AND(OR(L64="Atrasada",L64="Hoy",L64="Esta semana"),OR('Hoy'!$B$3='Ajustes'!$D$5,F64='Hoy'!$B$3)),K64+ROW()/100000,""),"")</f>
        <v/>
      </c>
      <c r="N64" s="27">
        <f>IF(OR(A64="",H64="No",I64=""),0,E64*7/I64)</f>
        <v/>
      </c>
      <c r="O64" s="27">
        <f>IFERROR(IF(AND(A64&lt;&gt;"",H64&lt;&gt;"No",I64&lt;&gt;"",OR('Hoy'!$B$3='Ajustes'!$D$5,F64='Hoy'!$B$3),J64&lt;=TODAY()),ROW(),""),"")</f>
        <v/>
      </c>
      <c r="P64" s="27">
        <f>IFERROR(IF(AND(A64&lt;&gt;"",H64&lt;&gt;"No",I64&lt;&gt;"",OR('Hoy'!$B$3='Ajustes'!$D$5,F64='Hoy'!$B$3),OR(J64=TODAY()+1,AND(I64&lt;=7,J64&gt;=TODAY(),J64&lt;TODAY()+1,MOD(TODAY()+1-J64,I64)=0))),ROW(),""),"")</f>
        <v/>
      </c>
      <c r="Q64" s="27">
        <f>IFERROR(IF(AND(A64&lt;&gt;"",H64&lt;&gt;"No",I64&lt;&gt;"",OR('Hoy'!$B$3='Ajustes'!$D$5,F64='Hoy'!$B$3),OR(J64=TODAY()+2,AND(I64&lt;=7,J64&gt;=TODAY(),J64&lt;TODAY()+2,MOD(TODAY()+2-J64,I64)=0))),ROW(),""),"")</f>
        <v/>
      </c>
      <c r="R64" s="27">
        <f>IFERROR(IF(AND(A64&lt;&gt;"",H64&lt;&gt;"No",I64&lt;&gt;"",OR('Hoy'!$B$3='Ajustes'!$D$5,F64='Hoy'!$B$3),OR(J64=TODAY()+3,AND(I64&lt;=7,J64&gt;=TODAY(),J64&lt;TODAY()+3,MOD(TODAY()+3-J64,I64)=0))),ROW(),""),"")</f>
        <v/>
      </c>
      <c r="S64" s="27">
        <f>IFERROR(IF(AND(A64&lt;&gt;"",H64&lt;&gt;"No",I64&lt;&gt;"",OR('Hoy'!$B$3='Ajustes'!$D$5,F64='Hoy'!$B$3),OR(J64=TODAY()+4,AND(I64&lt;=7,J64&gt;=TODAY(),J64&lt;TODAY()+4,MOD(TODAY()+4-J64,I64)=0))),ROW(),""),"")</f>
        <v/>
      </c>
      <c r="T64" s="27">
        <f>IFERROR(IF(AND(A64&lt;&gt;"",H64&lt;&gt;"No",I64&lt;&gt;"",OR('Hoy'!$B$3='Ajustes'!$D$5,F64='Hoy'!$B$3),OR(J64=TODAY()+5,AND(I64&lt;=7,J64&gt;=TODAY(),J64&lt;TODAY()+5,MOD(TODAY()+5-J64,I64)=0))),ROW(),""),"")</f>
        <v/>
      </c>
      <c r="U64" s="27">
        <f>IFERROR(IF(AND(A64&lt;&gt;"",H64&lt;&gt;"No",I64&lt;&gt;"",OR('Hoy'!$B$3='Ajustes'!$D$5,F64='Hoy'!$B$3),OR(J64=TODAY()+6,AND(I64&lt;=7,J64&gt;=TODAY(),J64&lt;TODAY()+6,MOD(TODAY()+6-J64,I64)=0))),ROW(),""),"")</f>
        <v/>
      </c>
    </row>
    <row r="65">
      <c r="A65" s="6" t="inlineStr">
        <is>
          <t>Lavar el felpudo</t>
        </is>
      </c>
      <c r="B65" s="6" t="inlineStr">
        <is>
          <t>Toda la casa</t>
        </is>
      </c>
      <c r="C65" s="28" t="n">
        <v>1</v>
      </c>
      <c r="D65" s="6" t="inlineStr">
        <is>
          <t>Meses</t>
        </is>
      </c>
      <c r="E65" s="28" t="n">
        <v>5</v>
      </c>
      <c r="F65" s="6" t="n"/>
      <c r="G65" s="6" t="n"/>
      <c r="H65" s="29" t="inlineStr">
        <is>
          <t>Sí</t>
        </is>
      </c>
      <c r="I65" s="30">
        <f>IFERROR(IF(OR(A65="",C65=""),"",C65*INDEX('Ajustes'!$I$5:$I$8,MATCH(D65,'Ajustes'!$H$5:$H$8,0))),"")</f>
        <v/>
      </c>
      <c r="J65" s="31">
        <f>IFERROR(IF(I65="","",IF(G65="",IF('Ajustes'!$B$5="",TODAY(),'Ajustes'!$B$5)+MOD(ROW()*13,I65),IF(D65='Ajustes'!$H$7,EDATE(G65,C65),IF(D65='Ajustes'!$H$8,EDATE(G65,12*C65),G65+I65)))),"")</f>
        <v/>
      </c>
      <c r="K65" s="30">
        <f>IF(J65="","",J65-TODAY())</f>
        <v/>
      </c>
      <c r="L65" s="32">
        <f>IF(A65="","",IF(H65="No","Pausada",IF(K65="","",IF(K65&lt;0,"Atrasada",IF(K65=0,"Hoy",IF(K65&lt;=7,"Esta semana","Más adelante"))))))</f>
        <v/>
      </c>
      <c r="M65" s="27">
        <f>IFERROR(IF(AND(OR(L65="Atrasada",L65="Hoy",L65="Esta semana"),OR('Hoy'!$B$3='Ajustes'!$D$5,F65='Hoy'!$B$3)),K65+ROW()/100000,""),"")</f>
        <v/>
      </c>
      <c r="N65" s="27">
        <f>IF(OR(A65="",H65="No",I65=""),0,E65*7/I65)</f>
        <v/>
      </c>
      <c r="O65" s="27">
        <f>IFERROR(IF(AND(A65&lt;&gt;"",H65&lt;&gt;"No",I65&lt;&gt;"",OR('Hoy'!$B$3='Ajustes'!$D$5,F65='Hoy'!$B$3),J65&lt;=TODAY()),ROW(),""),"")</f>
        <v/>
      </c>
      <c r="P65" s="27">
        <f>IFERROR(IF(AND(A65&lt;&gt;"",H65&lt;&gt;"No",I65&lt;&gt;"",OR('Hoy'!$B$3='Ajustes'!$D$5,F65='Hoy'!$B$3),OR(J65=TODAY()+1,AND(I65&lt;=7,J65&gt;=TODAY(),J65&lt;TODAY()+1,MOD(TODAY()+1-J65,I65)=0))),ROW(),""),"")</f>
        <v/>
      </c>
      <c r="Q65" s="27">
        <f>IFERROR(IF(AND(A65&lt;&gt;"",H65&lt;&gt;"No",I65&lt;&gt;"",OR('Hoy'!$B$3='Ajustes'!$D$5,F65='Hoy'!$B$3),OR(J65=TODAY()+2,AND(I65&lt;=7,J65&gt;=TODAY(),J65&lt;TODAY()+2,MOD(TODAY()+2-J65,I65)=0))),ROW(),""),"")</f>
        <v/>
      </c>
      <c r="R65" s="27">
        <f>IFERROR(IF(AND(A65&lt;&gt;"",H65&lt;&gt;"No",I65&lt;&gt;"",OR('Hoy'!$B$3='Ajustes'!$D$5,F65='Hoy'!$B$3),OR(J65=TODAY()+3,AND(I65&lt;=7,J65&gt;=TODAY(),J65&lt;TODAY()+3,MOD(TODAY()+3-J65,I65)=0))),ROW(),""),"")</f>
        <v/>
      </c>
      <c r="S65" s="27">
        <f>IFERROR(IF(AND(A65&lt;&gt;"",H65&lt;&gt;"No",I65&lt;&gt;"",OR('Hoy'!$B$3='Ajustes'!$D$5,F65='Hoy'!$B$3),OR(J65=TODAY()+4,AND(I65&lt;=7,J65&gt;=TODAY(),J65&lt;TODAY()+4,MOD(TODAY()+4-J65,I65)=0))),ROW(),""),"")</f>
        <v/>
      </c>
      <c r="T65" s="27">
        <f>IFERROR(IF(AND(A65&lt;&gt;"",H65&lt;&gt;"No",I65&lt;&gt;"",OR('Hoy'!$B$3='Ajustes'!$D$5,F65='Hoy'!$B$3),OR(J65=TODAY()+5,AND(I65&lt;=7,J65&gt;=TODAY(),J65&lt;TODAY()+5,MOD(TODAY()+5-J65,I65)=0))),ROW(),""),"")</f>
        <v/>
      </c>
      <c r="U65" s="27">
        <f>IFERROR(IF(AND(A65&lt;&gt;"",H65&lt;&gt;"No",I65&lt;&gt;"",OR('Hoy'!$B$3='Ajustes'!$D$5,F65='Hoy'!$B$3),OR(J65=TODAY()+6,AND(I65&lt;=7,J65&gt;=TODAY(),J65&lt;TODAY()+6,MOD(TODAY()+6-J65,I65)=0))),ROW(),""),"")</f>
        <v/>
      </c>
    </row>
    <row r="66">
      <c r="A66" s="6" t="inlineStr">
        <is>
          <t>Sacar el polvo de lugares altos y ventiladores</t>
        </is>
      </c>
      <c r="B66" s="6" t="inlineStr">
        <is>
          <t>Toda la casa</t>
        </is>
      </c>
      <c r="C66" s="28" t="n">
        <v>1</v>
      </c>
      <c r="D66" s="6" t="inlineStr">
        <is>
          <t>Meses</t>
        </is>
      </c>
      <c r="E66" s="28" t="n">
        <v>20</v>
      </c>
      <c r="F66" s="6" t="n"/>
      <c r="G66" s="6" t="n"/>
      <c r="H66" s="29" t="inlineStr">
        <is>
          <t>Sí</t>
        </is>
      </c>
      <c r="I66" s="30">
        <f>IFERROR(IF(OR(A66="",C66=""),"",C66*INDEX('Ajustes'!$I$5:$I$8,MATCH(D66,'Ajustes'!$H$5:$H$8,0))),"")</f>
        <v/>
      </c>
      <c r="J66" s="31">
        <f>IFERROR(IF(I66="","",IF(G66="",IF('Ajustes'!$B$5="",TODAY(),'Ajustes'!$B$5)+MOD(ROW()*13,I66),IF(D66='Ajustes'!$H$7,EDATE(G66,C66),IF(D66='Ajustes'!$H$8,EDATE(G66,12*C66),G66+I66)))),"")</f>
        <v/>
      </c>
      <c r="K66" s="30">
        <f>IF(J66="","",J66-TODAY())</f>
        <v/>
      </c>
      <c r="L66" s="32">
        <f>IF(A66="","",IF(H66="No","Pausada",IF(K66="","",IF(K66&lt;0,"Atrasada",IF(K66=0,"Hoy",IF(K66&lt;=7,"Esta semana","Más adelante"))))))</f>
        <v/>
      </c>
      <c r="M66" s="27">
        <f>IFERROR(IF(AND(OR(L66="Atrasada",L66="Hoy",L66="Esta semana"),OR('Hoy'!$B$3='Ajustes'!$D$5,F66='Hoy'!$B$3)),K66+ROW()/100000,""),"")</f>
        <v/>
      </c>
      <c r="N66" s="27">
        <f>IF(OR(A66="",H66="No",I66=""),0,E66*7/I66)</f>
        <v/>
      </c>
      <c r="O66" s="27">
        <f>IFERROR(IF(AND(A66&lt;&gt;"",H66&lt;&gt;"No",I66&lt;&gt;"",OR('Hoy'!$B$3='Ajustes'!$D$5,F66='Hoy'!$B$3),J66&lt;=TODAY()),ROW(),""),"")</f>
        <v/>
      </c>
      <c r="P66" s="27">
        <f>IFERROR(IF(AND(A66&lt;&gt;"",H66&lt;&gt;"No",I66&lt;&gt;"",OR('Hoy'!$B$3='Ajustes'!$D$5,F66='Hoy'!$B$3),OR(J66=TODAY()+1,AND(I66&lt;=7,J66&gt;=TODAY(),J66&lt;TODAY()+1,MOD(TODAY()+1-J66,I66)=0))),ROW(),""),"")</f>
        <v/>
      </c>
      <c r="Q66" s="27">
        <f>IFERROR(IF(AND(A66&lt;&gt;"",H66&lt;&gt;"No",I66&lt;&gt;"",OR('Hoy'!$B$3='Ajustes'!$D$5,F66='Hoy'!$B$3),OR(J66=TODAY()+2,AND(I66&lt;=7,J66&gt;=TODAY(),J66&lt;TODAY()+2,MOD(TODAY()+2-J66,I66)=0))),ROW(),""),"")</f>
        <v/>
      </c>
      <c r="R66" s="27">
        <f>IFERROR(IF(AND(A66&lt;&gt;"",H66&lt;&gt;"No",I66&lt;&gt;"",OR('Hoy'!$B$3='Ajustes'!$D$5,F66='Hoy'!$B$3),OR(J66=TODAY()+3,AND(I66&lt;=7,J66&gt;=TODAY(),J66&lt;TODAY()+3,MOD(TODAY()+3-J66,I66)=0))),ROW(),""),"")</f>
        <v/>
      </c>
      <c r="S66" s="27">
        <f>IFERROR(IF(AND(A66&lt;&gt;"",H66&lt;&gt;"No",I66&lt;&gt;"",OR('Hoy'!$B$3='Ajustes'!$D$5,F66='Hoy'!$B$3),OR(J66=TODAY()+4,AND(I66&lt;=7,J66&gt;=TODAY(),J66&lt;TODAY()+4,MOD(TODAY()+4-J66,I66)=0))),ROW(),""),"")</f>
        <v/>
      </c>
      <c r="T66" s="27">
        <f>IFERROR(IF(AND(A66&lt;&gt;"",H66&lt;&gt;"No",I66&lt;&gt;"",OR('Hoy'!$B$3='Ajustes'!$D$5,F66='Hoy'!$B$3),OR(J66=TODAY()+5,AND(I66&lt;=7,J66&gt;=TODAY(),J66&lt;TODAY()+5,MOD(TODAY()+5-J66,I66)=0))),ROW(),""),"")</f>
        <v/>
      </c>
      <c r="U66" s="27">
        <f>IFERROR(IF(AND(A66&lt;&gt;"",H66&lt;&gt;"No",I66&lt;&gt;"",OR('Hoy'!$B$3='Ajustes'!$D$5,F66='Hoy'!$B$3),OR(J66=TODAY()+6,AND(I66&lt;=7,J66&gt;=TODAY(),J66&lt;TODAY()+6,MOD(TODAY()+6-J66,I66)=0))),ROW(),""),"")</f>
        <v/>
      </c>
    </row>
    <row r="67">
      <c r="A67" s="6" t="inlineStr">
        <is>
          <t>Limpiar las ventanas</t>
        </is>
      </c>
      <c r="B67" s="6" t="inlineStr">
        <is>
          <t>Toda la casa</t>
        </is>
      </c>
      <c r="C67" s="28" t="n">
        <v>1</v>
      </c>
      <c r="D67" s="6" t="inlineStr">
        <is>
          <t>Meses</t>
        </is>
      </c>
      <c r="E67" s="28" t="n">
        <v>30</v>
      </c>
      <c r="F67" s="6" t="n"/>
      <c r="G67" s="6" t="n"/>
      <c r="H67" s="29" t="inlineStr">
        <is>
          <t>Sí</t>
        </is>
      </c>
      <c r="I67" s="30">
        <f>IFERROR(IF(OR(A67="",C67=""),"",C67*INDEX('Ajustes'!$I$5:$I$8,MATCH(D67,'Ajustes'!$H$5:$H$8,0))),"")</f>
        <v/>
      </c>
      <c r="J67" s="31">
        <f>IFERROR(IF(I67="","",IF(G67="",IF('Ajustes'!$B$5="",TODAY(),'Ajustes'!$B$5)+MOD(ROW()*13,I67),IF(D67='Ajustes'!$H$7,EDATE(G67,C67),IF(D67='Ajustes'!$H$8,EDATE(G67,12*C67),G67+I67)))),"")</f>
        <v/>
      </c>
      <c r="K67" s="30">
        <f>IF(J67="","",J67-TODAY())</f>
        <v/>
      </c>
      <c r="L67" s="32">
        <f>IF(A67="","",IF(H67="No","Pausada",IF(K67="","",IF(K67&lt;0,"Atrasada",IF(K67=0,"Hoy",IF(K67&lt;=7,"Esta semana","Más adelante"))))))</f>
        <v/>
      </c>
      <c r="M67" s="27">
        <f>IFERROR(IF(AND(OR(L67="Atrasada",L67="Hoy",L67="Esta semana"),OR('Hoy'!$B$3='Ajustes'!$D$5,F67='Hoy'!$B$3)),K67+ROW()/100000,""),"")</f>
        <v/>
      </c>
      <c r="N67" s="27">
        <f>IF(OR(A67="",H67="No",I67=""),0,E67*7/I67)</f>
        <v/>
      </c>
      <c r="O67" s="27">
        <f>IFERROR(IF(AND(A67&lt;&gt;"",H67&lt;&gt;"No",I67&lt;&gt;"",OR('Hoy'!$B$3='Ajustes'!$D$5,F67='Hoy'!$B$3),J67&lt;=TODAY()),ROW(),""),"")</f>
        <v/>
      </c>
      <c r="P67" s="27">
        <f>IFERROR(IF(AND(A67&lt;&gt;"",H67&lt;&gt;"No",I67&lt;&gt;"",OR('Hoy'!$B$3='Ajustes'!$D$5,F67='Hoy'!$B$3),OR(J67=TODAY()+1,AND(I67&lt;=7,J67&gt;=TODAY(),J67&lt;TODAY()+1,MOD(TODAY()+1-J67,I67)=0))),ROW(),""),"")</f>
        <v/>
      </c>
      <c r="Q67" s="27">
        <f>IFERROR(IF(AND(A67&lt;&gt;"",H67&lt;&gt;"No",I67&lt;&gt;"",OR('Hoy'!$B$3='Ajustes'!$D$5,F67='Hoy'!$B$3),OR(J67=TODAY()+2,AND(I67&lt;=7,J67&gt;=TODAY(),J67&lt;TODAY()+2,MOD(TODAY()+2-J67,I67)=0))),ROW(),""),"")</f>
        <v/>
      </c>
      <c r="R67" s="27">
        <f>IFERROR(IF(AND(A67&lt;&gt;"",H67&lt;&gt;"No",I67&lt;&gt;"",OR('Hoy'!$B$3='Ajustes'!$D$5,F67='Hoy'!$B$3),OR(J67=TODAY()+3,AND(I67&lt;=7,J67&gt;=TODAY(),J67&lt;TODAY()+3,MOD(TODAY()+3-J67,I67)=0))),ROW(),""),"")</f>
        <v/>
      </c>
      <c r="S67" s="27">
        <f>IFERROR(IF(AND(A67&lt;&gt;"",H67&lt;&gt;"No",I67&lt;&gt;"",OR('Hoy'!$B$3='Ajustes'!$D$5,F67='Hoy'!$B$3),OR(J67=TODAY()+4,AND(I67&lt;=7,J67&gt;=TODAY(),J67&lt;TODAY()+4,MOD(TODAY()+4-J67,I67)=0))),ROW(),""),"")</f>
        <v/>
      </c>
      <c r="T67" s="27">
        <f>IFERROR(IF(AND(A67&lt;&gt;"",H67&lt;&gt;"No",I67&lt;&gt;"",OR('Hoy'!$B$3='Ajustes'!$D$5,F67='Hoy'!$B$3),OR(J67=TODAY()+5,AND(I67&lt;=7,J67&gt;=TODAY(),J67&lt;TODAY()+5,MOD(TODAY()+5-J67,I67)=0))),ROW(),""),"")</f>
        <v/>
      </c>
      <c r="U67" s="27">
        <f>IFERROR(IF(AND(A67&lt;&gt;"",H67&lt;&gt;"No",I67&lt;&gt;"",OR('Hoy'!$B$3='Ajustes'!$D$5,F67='Hoy'!$B$3),OR(J67=TODAY()+6,AND(I67&lt;=7,J67&gt;=TODAY(),J67&lt;TODAY()+6,MOD(TODAY()+6-J67,I67)=0))),ROW(),""),"")</f>
        <v/>
      </c>
    </row>
    <row r="68">
      <c r="A68" s="6" t="inlineStr">
        <is>
          <t>Limpiar filtros de aire y calefactores</t>
        </is>
      </c>
      <c r="B68" s="6" t="inlineStr">
        <is>
          <t>Toda la casa</t>
        </is>
      </c>
      <c r="C68" s="28" t="n">
        <v>3</v>
      </c>
      <c r="D68" s="6" t="inlineStr">
        <is>
          <t>Meses</t>
        </is>
      </c>
      <c r="E68" s="28" t="n">
        <v>15</v>
      </c>
      <c r="F68" s="6" t="n"/>
      <c r="G68" s="6" t="n"/>
      <c r="H68" s="29" t="inlineStr">
        <is>
          <t>Sí</t>
        </is>
      </c>
      <c r="I68" s="30">
        <f>IFERROR(IF(OR(A68="",C68=""),"",C68*INDEX('Ajustes'!$I$5:$I$8,MATCH(D68,'Ajustes'!$H$5:$H$8,0))),"")</f>
        <v/>
      </c>
      <c r="J68" s="31">
        <f>IFERROR(IF(I68="","",IF(G68="",IF('Ajustes'!$B$5="",TODAY(),'Ajustes'!$B$5)+MOD(ROW()*13,I68),IF(D68='Ajustes'!$H$7,EDATE(G68,C68),IF(D68='Ajustes'!$H$8,EDATE(G68,12*C68),G68+I68)))),"")</f>
        <v/>
      </c>
      <c r="K68" s="30">
        <f>IF(J68="","",J68-TODAY())</f>
        <v/>
      </c>
      <c r="L68" s="32">
        <f>IF(A68="","",IF(H68="No","Pausada",IF(K68="","",IF(K68&lt;0,"Atrasada",IF(K68=0,"Hoy",IF(K68&lt;=7,"Esta semana","Más adelante"))))))</f>
        <v/>
      </c>
      <c r="M68" s="27">
        <f>IFERROR(IF(AND(OR(L68="Atrasada",L68="Hoy",L68="Esta semana"),OR('Hoy'!$B$3='Ajustes'!$D$5,F68='Hoy'!$B$3)),K68+ROW()/100000,""),"")</f>
        <v/>
      </c>
      <c r="N68" s="27">
        <f>IF(OR(A68="",H68="No",I68=""),0,E68*7/I68)</f>
        <v/>
      </c>
      <c r="O68" s="27">
        <f>IFERROR(IF(AND(A68&lt;&gt;"",H68&lt;&gt;"No",I68&lt;&gt;"",OR('Hoy'!$B$3='Ajustes'!$D$5,F68='Hoy'!$B$3),J68&lt;=TODAY()),ROW(),""),"")</f>
        <v/>
      </c>
      <c r="P68" s="27">
        <f>IFERROR(IF(AND(A68&lt;&gt;"",H68&lt;&gt;"No",I68&lt;&gt;"",OR('Hoy'!$B$3='Ajustes'!$D$5,F68='Hoy'!$B$3),OR(J68=TODAY()+1,AND(I68&lt;=7,J68&gt;=TODAY(),J68&lt;TODAY()+1,MOD(TODAY()+1-J68,I68)=0))),ROW(),""),"")</f>
        <v/>
      </c>
      <c r="Q68" s="27">
        <f>IFERROR(IF(AND(A68&lt;&gt;"",H68&lt;&gt;"No",I68&lt;&gt;"",OR('Hoy'!$B$3='Ajustes'!$D$5,F68='Hoy'!$B$3),OR(J68=TODAY()+2,AND(I68&lt;=7,J68&gt;=TODAY(),J68&lt;TODAY()+2,MOD(TODAY()+2-J68,I68)=0))),ROW(),""),"")</f>
        <v/>
      </c>
      <c r="R68" s="27">
        <f>IFERROR(IF(AND(A68&lt;&gt;"",H68&lt;&gt;"No",I68&lt;&gt;"",OR('Hoy'!$B$3='Ajustes'!$D$5,F68='Hoy'!$B$3),OR(J68=TODAY()+3,AND(I68&lt;=7,J68&gt;=TODAY(),J68&lt;TODAY()+3,MOD(TODAY()+3-J68,I68)=0))),ROW(),""),"")</f>
        <v/>
      </c>
      <c r="S68" s="27">
        <f>IFERROR(IF(AND(A68&lt;&gt;"",H68&lt;&gt;"No",I68&lt;&gt;"",OR('Hoy'!$B$3='Ajustes'!$D$5,F68='Hoy'!$B$3),OR(J68=TODAY()+4,AND(I68&lt;=7,J68&gt;=TODAY(),J68&lt;TODAY()+4,MOD(TODAY()+4-J68,I68)=0))),ROW(),""),"")</f>
        <v/>
      </c>
      <c r="T68" s="27">
        <f>IFERROR(IF(AND(A68&lt;&gt;"",H68&lt;&gt;"No",I68&lt;&gt;"",OR('Hoy'!$B$3='Ajustes'!$D$5,F68='Hoy'!$B$3),OR(J68=TODAY()+5,AND(I68&lt;=7,J68&gt;=TODAY(),J68&lt;TODAY()+5,MOD(TODAY()+5-J68,I68)=0))),ROW(),""),"")</f>
        <v/>
      </c>
      <c r="U68" s="27">
        <f>IFERROR(IF(AND(A68&lt;&gt;"",H68&lt;&gt;"No",I68&lt;&gt;"",OR('Hoy'!$B$3='Ajustes'!$D$5,F68='Hoy'!$B$3),OR(J68=TODAY()+6,AND(I68&lt;=7,J68&gt;=TODAY(),J68&lt;TODAY()+6,MOD(TODAY()+6-J68,I68)=0))),ROW(),""),"")</f>
        <v/>
      </c>
    </row>
    <row r="69">
      <c r="A69" s="6" t="inlineStr">
        <is>
          <t>Probar detectores de humo / gas</t>
        </is>
      </c>
      <c r="B69" s="6" t="inlineStr">
        <is>
          <t>Toda la casa</t>
        </is>
      </c>
      <c r="C69" s="28" t="n">
        <v>6</v>
      </c>
      <c r="D69" s="6" t="inlineStr">
        <is>
          <t>Meses</t>
        </is>
      </c>
      <c r="E69" s="28" t="n">
        <v>5</v>
      </c>
      <c r="F69" s="6" t="n"/>
      <c r="G69" s="6" t="n"/>
      <c r="H69" s="29" t="inlineStr">
        <is>
          <t>Sí</t>
        </is>
      </c>
      <c r="I69" s="30">
        <f>IFERROR(IF(OR(A69="",C69=""),"",C69*INDEX('Ajustes'!$I$5:$I$8,MATCH(D69,'Ajustes'!$H$5:$H$8,0))),"")</f>
        <v/>
      </c>
      <c r="J69" s="31">
        <f>IFERROR(IF(I69="","",IF(G69="",IF('Ajustes'!$B$5="",TODAY(),'Ajustes'!$B$5)+MOD(ROW()*13,I69),IF(D69='Ajustes'!$H$7,EDATE(G69,C69),IF(D69='Ajustes'!$H$8,EDATE(G69,12*C69),G69+I69)))),"")</f>
        <v/>
      </c>
      <c r="K69" s="30">
        <f>IF(J69="","",J69-TODAY())</f>
        <v/>
      </c>
      <c r="L69" s="32">
        <f>IF(A69="","",IF(H69="No","Pausada",IF(K69="","",IF(K69&lt;0,"Atrasada",IF(K69=0,"Hoy",IF(K69&lt;=7,"Esta semana","Más adelante"))))))</f>
        <v/>
      </c>
      <c r="M69" s="27">
        <f>IFERROR(IF(AND(OR(L69="Atrasada",L69="Hoy",L69="Esta semana"),OR('Hoy'!$B$3='Ajustes'!$D$5,F69='Hoy'!$B$3)),K69+ROW()/100000,""),"")</f>
        <v/>
      </c>
      <c r="N69" s="27">
        <f>IF(OR(A69="",H69="No",I69=""),0,E69*7/I69)</f>
        <v/>
      </c>
      <c r="O69" s="27">
        <f>IFERROR(IF(AND(A69&lt;&gt;"",H69&lt;&gt;"No",I69&lt;&gt;"",OR('Hoy'!$B$3='Ajustes'!$D$5,F69='Hoy'!$B$3),J69&lt;=TODAY()),ROW(),""),"")</f>
        <v/>
      </c>
      <c r="P69" s="27">
        <f>IFERROR(IF(AND(A69&lt;&gt;"",H69&lt;&gt;"No",I69&lt;&gt;"",OR('Hoy'!$B$3='Ajustes'!$D$5,F69='Hoy'!$B$3),OR(J69=TODAY()+1,AND(I69&lt;=7,J69&gt;=TODAY(),J69&lt;TODAY()+1,MOD(TODAY()+1-J69,I69)=0))),ROW(),""),"")</f>
        <v/>
      </c>
      <c r="Q69" s="27">
        <f>IFERROR(IF(AND(A69&lt;&gt;"",H69&lt;&gt;"No",I69&lt;&gt;"",OR('Hoy'!$B$3='Ajustes'!$D$5,F69='Hoy'!$B$3),OR(J69=TODAY()+2,AND(I69&lt;=7,J69&gt;=TODAY(),J69&lt;TODAY()+2,MOD(TODAY()+2-J69,I69)=0))),ROW(),""),"")</f>
        <v/>
      </c>
      <c r="R69" s="27">
        <f>IFERROR(IF(AND(A69&lt;&gt;"",H69&lt;&gt;"No",I69&lt;&gt;"",OR('Hoy'!$B$3='Ajustes'!$D$5,F69='Hoy'!$B$3),OR(J69=TODAY()+3,AND(I69&lt;=7,J69&gt;=TODAY(),J69&lt;TODAY()+3,MOD(TODAY()+3-J69,I69)=0))),ROW(),""),"")</f>
        <v/>
      </c>
      <c r="S69" s="27">
        <f>IFERROR(IF(AND(A69&lt;&gt;"",H69&lt;&gt;"No",I69&lt;&gt;"",OR('Hoy'!$B$3='Ajustes'!$D$5,F69='Hoy'!$B$3),OR(J69=TODAY()+4,AND(I69&lt;=7,J69&gt;=TODAY(),J69&lt;TODAY()+4,MOD(TODAY()+4-J69,I69)=0))),ROW(),""),"")</f>
        <v/>
      </c>
      <c r="T69" s="27">
        <f>IFERROR(IF(AND(A69&lt;&gt;"",H69&lt;&gt;"No",I69&lt;&gt;"",OR('Hoy'!$B$3='Ajustes'!$D$5,F69='Hoy'!$B$3),OR(J69=TODAY()+5,AND(I69&lt;=7,J69&gt;=TODAY(),J69&lt;TODAY()+5,MOD(TODAY()+5-J69,I69)=0))),ROW(),""),"")</f>
        <v/>
      </c>
      <c r="U69" s="27">
        <f>IFERROR(IF(AND(A69&lt;&gt;"",H69&lt;&gt;"No",I69&lt;&gt;"",OR('Hoy'!$B$3='Ajustes'!$D$5,F69='Hoy'!$B$3),OR(J69=TODAY()+6,AND(I69&lt;=7,J69&gt;=TODAY(),J69&lt;TODAY()+6,MOD(TODAY()+6-J69,I69)=0))),ROW(),""),"")</f>
        <v/>
      </c>
    </row>
    <row r="70">
      <c r="A70" s="6" t="inlineStr">
        <is>
          <t>Revisar vencimientos de botiquín y alacena</t>
        </is>
      </c>
      <c r="B70" s="6" t="inlineStr">
        <is>
          <t>Toda la casa</t>
        </is>
      </c>
      <c r="C70" s="28" t="n">
        <v>6</v>
      </c>
      <c r="D70" s="6" t="inlineStr">
        <is>
          <t>Meses</t>
        </is>
      </c>
      <c r="E70" s="28" t="n">
        <v>20</v>
      </c>
      <c r="F70" s="6" t="n"/>
      <c r="G70" s="6" t="n"/>
      <c r="H70" s="29" t="inlineStr">
        <is>
          <t>Sí</t>
        </is>
      </c>
      <c r="I70" s="30">
        <f>IFERROR(IF(OR(A70="",C70=""),"",C70*INDEX('Ajustes'!$I$5:$I$8,MATCH(D70,'Ajustes'!$H$5:$H$8,0))),"")</f>
        <v/>
      </c>
      <c r="J70" s="31">
        <f>IFERROR(IF(I70="","",IF(G70="",IF('Ajustes'!$B$5="",TODAY(),'Ajustes'!$B$5)+MOD(ROW()*13,I70),IF(D70='Ajustes'!$H$7,EDATE(G70,C70),IF(D70='Ajustes'!$H$8,EDATE(G70,12*C70),G70+I70)))),"")</f>
        <v/>
      </c>
      <c r="K70" s="30">
        <f>IF(J70="","",J70-TODAY())</f>
        <v/>
      </c>
      <c r="L70" s="32">
        <f>IF(A70="","",IF(H70="No","Pausada",IF(K70="","",IF(K70&lt;0,"Atrasada",IF(K70=0,"Hoy",IF(K70&lt;=7,"Esta semana","Más adelante"))))))</f>
        <v/>
      </c>
      <c r="M70" s="27">
        <f>IFERROR(IF(AND(OR(L70="Atrasada",L70="Hoy",L70="Esta semana"),OR('Hoy'!$B$3='Ajustes'!$D$5,F70='Hoy'!$B$3)),K70+ROW()/100000,""),"")</f>
        <v/>
      </c>
      <c r="N70" s="27">
        <f>IF(OR(A70="",H70="No",I70=""),0,E70*7/I70)</f>
        <v/>
      </c>
      <c r="O70" s="27">
        <f>IFERROR(IF(AND(A70&lt;&gt;"",H70&lt;&gt;"No",I70&lt;&gt;"",OR('Hoy'!$B$3='Ajustes'!$D$5,F70='Hoy'!$B$3),J70&lt;=TODAY()),ROW(),""),"")</f>
        <v/>
      </c>
      <c r="P70" s="27">
        <f>IFERROR(IF(AND(A70&lt;&gt;"",H70&lt;&gt;"No",I70&lt;&gt;"",OR('Hoy'!$B$3='Ajustes'!$D$5,F70='Hoy'!$B$3),OR(J70=TODAY()+1,AND(I70&lt;=7,J70&gt;=TODAY(),J70&lt;TODAY()+1,MOD(TODAY()+1-J70,I70)=0))),ROW(),""),"")</f>
        <v/>
      </c>
      <c r="Q70" s="27">
        <f>IFERROR(IF(AND(A70&lt;&gt;"",H70&lt;&gt;"No",I70&lt;&gt;"",OR('Hoy'!$B$3='Ajustes'!$D$5,F70='Hoy'!$B$3),OR(J70=TODAY()+2,AND(I70&lt;=7,J70&gt;=TODAY(),J70&lt;TODAY()+2,MOD(TODAY()+2-J70,I70)=0))),ROW(),""),"")</f>
        <v/>
      </c>
      <c r="R70" s="27">
        <f>IFERROR(IF(AND(A70&lt;&gt;"",H70&lt;&gt;"No",I70&lt;&gt;"",OR('Hoy'!$B$3='Ajustes'!$D$5,F70='Hoy'!$B$3),OR(J70=TODAY()+3,AND(I70&lt;=7,J70&gt;=TODAY(),J70&lt;TODAY()+3,MOD(TODAY()+3-J70,I70)=0))),ROW(),""),"")</f>
        <v/>
      </c>
      <c r="S70" s="27">
        <f>IFERROR(IF(AND(A70&lt;&gt;"",H70&lt;&gt;"No",I70&lt;&gt;"",OR('Hoy'!$B$3='Ajustes'!$D$5,F70='Hoy'!$B$3),OR(J70=TODAY()+4,AND(I70&lt;=7,J70&gt;=TODAY(),J70&lt;TODAY()+4,MOD(TODAY()+4-J70,I70)=0))),ROW(),""),"")</f>
        <v/>
      </c>
      <c r="T70" s="27">
        <f>IFERROR(IF(AND(A70&lt;&gt;"",H70&lt;&gt;"No",I70&lt;&gt;"",OR('Hoy'!$B$3='Ajustes'!$D$5,F70='Hoy'!$B$3),OR(J70=TODAY()+5,AND(I70&lt;=7,J70&gt;=TODAY(),J70&lt;TODAY()+5,MOD(TODAY()+5-J70,I70)=0))),ROW(),""),"")</f>
        <v/>
      </c>
      <c r="U70" s="27">
        <f>IFERROR(IF(AND(A70&lt;&gt;"",H70&lt;&gt;"No",I70&lt;&gt;"",OR('Hoy'!$B$3='Ajustes'!$D$5,F70='Hoy'!$B$3),OR(J70=TODAY()+6,AND(I70&lt;=7,J70&gt;=TODAY(),J70&lt;TODAY()+6,MOD(TODAY()+6-J70,I70)=0))),ROW(),""),"")</f>
        <v/>
      </c>
    </row>
    <row r="71">
      <c r="A71" s="6" t="inlineStr">
        <is>
          <t>Lavar las cortinas</t>
        </is>
      </c>
      <c r="B71" s="6" t="inlineStr">
        <is>
          <t>Toda la casa</t>
        </is>
      </c>
      <c r="C71" s="28" t="n">
        <v>6</v>
      </c>
      <c r="D71" s="6" t="inlineStr">
        <is>
          <t>Meses</t>
        </is>
      </c>
      <c r="E71" s="28" t="n">
        <v>30</v>
      </c>
      <c r="F71" s="6" t="n"/>
      <c r="G71" s="6" t="n"/>
      <c r="H71" s="29" t="inlineStr">
        <is>
          <t>Sí</t>
        </is>
      </c>
      <c r="I71" s="30">
        <f>IFERROR(IF(OR(A71="",C71=""),"",C71*INDEX('Ajustes'!$I$5:$I$8,MATCH(D71,'Ajustes'!$H$5:$H$8,0))),"")</f>
        <v/>
      </c>
      <c r="J71" s="31">
        <f>IFERROR(IF(I71="","",IF(G71="",IF('Ajustes'!$B$5="",TODAY(),'Ajustes'!$B$5)+MOD(ROW()*13,I71),IF(D71='Ajustes'!$H$7,EDATE(G71,C71),IF(D71='Ajustes'!$H$8,EDATE(G71,12*C71),G71+I71)))),"")</f>
        <v/>
      </c>
      <c r="K71" s="30">
        <f>IF(J71="","",J71-TODAY())</f>
        <v/>
      </c>
      <c r="L71" s="32">
        <f>IF(A71="","",IF(H71="No","Pausada",IF(K71="","",IF(K71&lt;0,"Atrasada",IF(K71=0,"Hoy",IF(K71&lt;=7,"Esta semana","Más adelante"))))))</f>
        <v/>
      </c>
      <c r="M71" s="27">
        <f>IFERROR(IF(AND(OR(L71="Atrasada",L71="Hoy",L71="Esta semana"),OR('Hoy'!$B$3='Ajustes'!$D$5,F71='Hoy'!$B$3)),K71+ROW()/100000,""),"")</f>
        <v/>
      </c>
      <c r="N71" s="27">
        <f>IF(OR(A71="",H71="No",I71=""),0,E71*7/I71)</f>
        <v/>
      </c>
      <c r="O71" s="27">
        <f>IFERROR(IF(AND(A71&lt;&gt;"",H71&lt;&gt;"No",I71&lt;&gt;"",OR('Hoy'!$B$3='Ajustes'!$D$5,F71='Hoy'!$B$3),J71&lt;=TODAY()),ROW(),""),"")</f>
        <v/>
      </c>
      <c r="P71" s="27">
        <f>IFERROR(IF(AND(A71&lt;&gt;"",H71&lt;&gt;"No",I71&lt;&gt;"",OR('Hoy'!$B$3='Ajustes'!$D$5,F71='Hoy'!$B$3),OR(J71=TODAY()+1,AND(I71&lt;=7,J71&gt;=TODAY(),J71&lt;TODAY()+1,MOD(TODAY()+1-J71,I71)=0))),ROW(),""),"")</f>
        <v/>
      </c>
      <c r="Q71" s="27">
        <f>IFERROR(IF(AND(A71&lt;&gt;"",H71&lt;&gt;"No",I71&lt;&gt;"",OR('Hoy'!$B$3='Ajustes'!$D$5,F71='Hoy'!$B$3),OR(J71=TODAY()+2,AND(I71&lt;=7,J71&gt;=TODAY(),J71&lt;TODAY()+2,MOD(TODAY()+2-J71,I71)=0))),ROW(),""),"")</f>
        <v/>
      </c>
      <c r="R71" s="27">
        <f>IFERROR(IF(AND(A71&lt;&gt;"",H71&lt;&gt;"No",I71&lt;&gt;"",OR('Hoy'!$B$3='Ajustes'!$D$5,F71='Hoy'!$B$3),OR(J71=TODAY()+3,AND(I71&lt;=7,J71&gt;=TODAY(),J71&lt;TODAY()+3,MOD(TODAY()+3-J71,I71)=0))),ROW(),""),"")</f>
        <v/>
      </c>
      <c r="S71" s="27">
        <f>IFERROR(IF(AND(A71&lt;&gt;"",H71&lt;&gt;"No",I71&lt;&gt;"",OR('Hoy'!$B$3='Ajustes'!$D$5,F71='Hoy'!$B$3),OR(J71=TODAY()+4,AND(I71&lt;=7,J71&gt;=TODAY(),J71&lt;TODAY()+4,MOD(TODAY()+4-J71,I71)=0))),ROW(),""),"")</f>
        <v/>
      </c>
      <c r="T71" s="27">
        <f>IFERROR(IF(AND(A71&lt;&gt;"",H71&lt;&gt;"No",I71&lt;&gt;"",OR('Hoy'!$B$3='Ajustes'!$D$5,F71='Hoy'!$B$3),OR(J71=TODAY()+5,AND(I71&lt;=7,J71&gt;=TODAY(),J71&lt;TODAY()+5,MOD(TODAY()+5-J71,I71)=0))),ROW(),""),"")</f>
        <v/>
      </c>
      <c r="U71" s="27">
        <f>IFERROR(IF(AND(A71&lt;&gt;"",H71&lt;&gt;"No",I71&lt;&gt;"",OR('Hoy'!$B$3='Ajustes'!$D$5,F71='Hoy'!$B$3),OR(J71=TODAY()+6,AND(I71&lt;=7,J71&gt;=TODAY(),J71&lt;TODAY()+6,MOD(TODAY()+6-J71,I71)=0))),ROW(),""),"")</f>
        <v/>
      </c>
    </row>
    <row r="72">
      <c r="A72" s="6" t="inlineStr">
        <is>
          <t>Planear las comidas de la semana</t>
        </is>
      </c>
      <c r="B72" s="6" t="inlineStr">
        <is>
          <t>Trámites y compras</t>
        </is>
      </c>
      <c r="C72" s="28" t="n">
        <v>1</v>
      </c>
      <c r="D72" s="6" t="inlineStr">
        <is>
          <t>Semanas</t>
        </is>
      </c>
      <c r="E72" s="28" t="n">
        <v>15</v>
      </c>
      <c r="F72" s="6" t="n"/>
      <c r="G72" s="6" t="n"/>
      <c r="H72" s="29" t="inlineStr">
        <is>
          <t>Sí</t>
        </is>
      </c>
      <c r="I72" s="30">
        <f>IFERROR(IF(OR(A72="",C72=""),"",C72*INDEX('Ajustes'!$I$5:$I$8,MATCH(D72,'Ajustes'!$H$5:$H$8,0))),"")</f>
        <v/>
      </c>
      <c r="J72" s="31">
        <f>IFERROR(IF(I72="","",IF(G72="",IF('Ajustes'!$B$5="",TODAY(),'Ajustes'!$B$5)+MOD(ROW()*13,I72),IF(D72='Ajustes'!$H$7,EDATE(G72,C72),IF(D72='Ajustes'!$H$8,EDATE(G72,12*C72),G72+I72)))),"")</f>
        <v/>
      </c>
      <c r="K72" s="30">
        <f>IF(J72="","",J72-TODAY())</f>
        <v/>
      </c>
      <c r="L72" s="32">
        <f>IF(A72="","",IF(H72="No","Pausada",IF(K72="","",IF(K72&lt;0,"Atrasada",IF(K72=0,"Hoy",IF(K72&lt;=7,"Esta semana","Más adelante"))))))</f>
        <v/>
      </c>
      <c r="M72" s="27">
        <f>IFERROR(IF(AND(OR(L72="Atrasada",L72="Hoy",L72="Esta semana"),OR('Hoy'!$B$3='Ajustes'!$D$5,F72='Hoy'!$B$3)),K72+ROW()/100000,""),"")</f>
        <v/>
      </c>
      <c r="N72" s="27">
        <f>IF(OR(A72="",H72="No",I72=""),0,E72*7/I72)</f>
        <v/>
      </c>
      <c r="O72" s="27">
        <f>IFERROR(IF(AND(A72&lt;&gt;"",H72&lt;&gt;"No",I72&lt;&gt;"",OR('Hoy'!$B$3='Ajustes'!$D$5,F72='Hoy'!$B$3),J72&lt;=TODAY()),ROW(),""),"")</f>
        <v/>
      </c>
      <c r="P72" s="27">
        <f>IFERROR(IF(AND(A72&lt;&gt;"",H72&lt;&gt;"No",I72&lt;&gt;"",OR('Hoy'!$B$3='Ajustes'!$D$5,F72='Hoy'!$B$3),OR(J72=TODAY()+1,AND(I72&lt;=7,J72&gt;=TODAY(),J72&lt;TODAY()+1,MOD(TODAY()+1-J72,I72)=0))),ROW(),""),"")</f>
        <v/>
      </c>
      <c r="Q72" s="27">
        <f>IFERROR(IF(AND(A72&lt;&gt;"",H72&lt;&gt;"No",I72&lt;&gt;"",OR('Hoy'!$B$3='Ajustes'!$D$5,F72='Hoy'!$B$3),OR(J72=TODAY()+2,AND(I72&lt;=7,J72&gt;=TODAY(),J72&lt;TODAY()+2,MOD(TODAY()+2-J72,I72)=0))),ROW(),""),"")</f>
        <v/>
      </c>
      <c r="R72" s="27">
        <f>IFERROR(IF(AND(A72&lt;&gt;"",H72&lt;&gt;"No",I72&lt;&gt;"",OR('Hoy'!$B$3='Ajustes'!$D$5,F72='Hoy'!$B$3),OR(J72=TODAY()+3,AND(I72&lt;=7,J72&gt;=TODAY(),J72&lt;TODAY()+3,MOD(TODAY()+3-J72,I72)=0))),ROW(),""),"")</f>
        <v/>
      </c>
      <c r="S72" s="27">
        <f>IFERROR(IF(AND(A72&lt;&gt;"",H72&lt;&gt;"No",I72&lt;&gt;"",OR('Hoy'!$B$3='Ajustes'!$D$5,F72='Hoy'!$B$3),OR(J72=TODAY()+4,AND(I72&lt;=7,J72&gt;=TODAY(),J72&lt;TODAY()+4,MOD(TODAY()+4-J72,I72)=0))),ROW(),""),"")</f>
        <v/>
      </c>
      <c r="T72" s="27">
        <f>IFERROR(IF(AND(A72&lt;&gt;"",H72&lt;&gt;"No",I72&lt;&gt;"",OR('Hoy'!$B$3='Ajustes'!$D$5,F72='Hoy'!$B$3),OR(J72=TODAY()+5,AND(I72&lt;=7,J72&gt;=TODAY(),J72&lt;TODAY()+5,MOD(TODAY()+5-J72,I72)=0))),ROW(),""),"")</f>
        <v/>
      </c>
      <c r="U72" s="27">
        <f>IFERROR(IF(AND(A72&lt;&gt;"",H72&lt;&gt;"No",I72&lt;&gt;"",OR('Hoy'!$B$3='Ajustes'!$D$5,F72='Hoy'!$B$3),OR(J72=TODAY()+6,AND(I72&lt;=7,J72&gt;=TODAY(),J72&lt;TODAY()+6,MOD(TODAY()+6-J72,I72)=0))),ROW(),""),"")</f>
        <v/>
      </c>
    </row>
    <row r="73">
      <c r="A73" s="6" t="inlineStr">
        <is>
          <t>Hacer las compras del súper</t>
        </is>
      </c>
      <c r="B73" s="6" t="inlineStr">
        <is>
          <t>Trámites y compras</t>
        </is>
      </c>
      <c r="C73" s="28" t="n">
        <v>1</v>
      </c>
      <c r="D73" s="6" t="inlineStr">
        <is>
          <t>Semanas</t>
        </is>
      </c>
      <c r="E73" s="28" t="n">
        <v>60</v>
      </c>
      <c r="F73" s="6" t="n"/>
      <c r="G73" s="6" t="n"/>
      <c r="H73" s="29" t="inlineStr">
        <is>
          <t>Sí</t>
        </is>
      </c>
      <c r="I73" s="30">
        <f>IFERROR(IF(OR(A73="",C73=""),"",C73*INDEX('Ajustes'!$I$5:$I$8,MATCH(D73,'Ajustes'!$H$5:$H$8,0))),"")</f>
        <v/>
      </c>
      <c r="J73" s="31">
        <f>IFERROR(IF(I73="","",IF(G73="",IF('Ajustes'!$B$5="",TODAY(),'Ajustes'!$B$5)+MOD(ROW()*13,I73),IF(D73='Ajustes'!$H$7,EDATE(G73,C73),IF(D73='Ajustes'!$H$8,EDATE(G73,12*C73),G73+I73)))),"")</f>
        <v/>
      </c>
      <c r="K73" s="30">
        <f>IF(J73="","",J73-TODAY())</f>
        <v/>
      </c>
      <c r="L73" s="32">
        <f>IF(A73="","",IF(H73="No","Pausada",IF(K73="","",IF(K73&lt;0,"Atrasada",IF(K73=0,"Hoy",IF(K73&lt;=7,"Esta semana","Más adelante"))))))</f>
        <v/>
      </c>
      <c r="M73" s="27">
        <f>IFERROR(IF(AND(OR(L73="Atrasada",L73="Hoy",L73="Esta semana"),OR('Hoy'!$B$3='Ajustes'!$D$5,F73='Hoy'!$B$3)),K73+ROW()/100000,""),"")</f>
        <v/>
      </c>
      <c r="N73" s="27">
        <f>IF(OR(A73="",H73="No",I73=""),0,E73*7/I73)</f>
        <v/>
      </c>
      <c r="O73" s="27">
        <f>IFERROR(IF(AND(A73&lt;&gt;"",H73&lt;&gt;"No",I73&lt;&gt;"",OR('Hoy'!$B$3='Ajustes'!$D$5,F73='Hoy'!$B$3),J73&lt;=TODAY()),ROW(),""),"")</f>
        <v/>
      </c>
      <c r="P73" s="27">
        <f>IFERROR(IF(AND(A73&lt;&gt;"",H73&lt;&gt;"No",I73&lt;&gt;"",OR('Hoy'!$B$3='Ajustes'!$D$5,F73='Hoy'!$B$3),OR(J73=TODAY()+1,AND(I73&lt;=7,J73&gt;=TODAY(),J73&lt;TODAY()+1,MOD(TODAY()+1-J73,I73)=0))),ROW(),""),"")</f>
        <v/>
      </c>
      <c r="Q73" s="27">
        <f>IFERROR(IF(AND(A73&lt;&gt;"",H73&lt;&gt;"No",I73&lt;&gt;"",OR('Hoy'!$B$3='Ajustes'!$D$5,F73='Hoy'!$B$3),OR(J73=TODAY()+2,AND(I73&lt;=7,J73&gt;=TODAY(),J73&lt;TODAY()+2,MOD(TODAY()+2-J73,I73)=0))),ROW(),""),"")</f>
        <v/>
      </c>
      <c r="R73" s="27">
        <f>IFERROR(IF(AND(A73&lt;&gt;"",H73&lt;&gt;"No",I73&lt;&gt;"",OR('Hoy'!$B$3='Ajustes'!$D$5,F73='Hoy'!$B$3),OR(J73=TODAY()+3,AND(I73&lt;=7,J73&gt;=TODAY(),J73&lt;TODAY()+3,MOD(TODAY()+3-J73,I73)=0))),ROW(),""),"")</f>
        <v/>
      </c>
      <c r="S73" s="27">
        <f>IFERROR(IF(AND(A73&lt;&gt;"",H73&lt;&gt;"No",I73&lt;&gt;"",OR('Hoy'!$B$3='Ajustes'!$D$5,F73='Hoy'!$B$3),OR(J73=TODAY()+4,AND(I73&lt;=7,J73&gt;=TODAY(),J73&lt;TODAY()+4,MOD(TODAY()+4-J73,I73)=0))),ROW(),""),"")</f>
        <v/>
      </c>
      <c r="T73" s="27">
        <f>IFERROR(IF(AND(A73&lt;&gt;"",H73&lt;&gt;"No",I73&lt;&gt;"",OR('Hoy'!$B$3='Ajustes'!$D$5,F73='Hoy'!$B$3),OR(J73=TODAY()+5,AND(I73&lt;=7,J73&gt;=TODAY(),J73&lt;TODAY()+5,MOD(TODAY()+5-J73,I73)=0))),ROW(),""),"")</f>
        <v/>
      </c>
      <c r="U73" s="27">
        <f>IFERROR(IF(AND(A73&lt;&gt;"",H73&lt;&gt;"No",I73&lt;&gt;"",OR('Hoy'!$B$3='Ajustes'!$D$5,F73='Hoy'!$B$3),OR(J73=TODAY()+6,AND(I73&lt;=7,J73&gt;=TODAY(),J73&lt;TODAY()+6,MOD(TODAY()+6-J73,I73)=0))),ROW(),""),"")</f>
        <v/>
      </c>
    </row>
    <row r="74">
      <c r="A74" s="6" t="inlineStr">
        <is>
          <t>Ordenar correo y papeles</t>
        </is>
      </c>
      <c r="B74" s="6" t="inlineStr">
        <is>
          <t>Trámites y compras</t>
        </is>
      </c>
      <c r="C74" s="28" t="n">
        <v>1</v>
      </c>
      <c r="D74" s="6" t="inlineStr">
        <is>
          <t>Semanas</t>
        </is>
      </c>
      <c r="E74" s="28" t="n">
        <v>10</v>
      </c>
      <c r="F74" s="6" t="n"/>
      <c r="G74" s="6" t="n"/>
      <c r="H74" s="29" t="inlineStr">
        <is>
          <t>Sí</t>
        </is>
      </c>
      <c r="I74" s="30">
        <f>IFERROR(IF(OR(A74="",C74=""),"",C74*INDEX('Ajustes'!$I$5:$I$8,MATCH(D74,'Ajustes'!$H$5:$H$8,0))),"")</f>
        <v/>
      </c>
      <c r="J74" s="31">
        <f>IFERROR(IF(I74="","",IF(G74="",IF('Ajustes'!$B$5="",TODAY(),'Ajustes'!$B$5)+MOD(ROW()*13,I74),IF(D74='Ajustes'!$H$7,EDATE(G74,C74),IF(D74='Ajustes'!$H$8,EDATE(G74,12*C74),G74+I74)))),"")</f>
        <v/>
      </c>
      <c r="K74" s="30">
        <f>IF(J74="","",J74-TODAY())</f>
        <v/>
      </c>
      <c r="L74" s="32">
        <f>IF(A74="","",IF(H74="No","Pausada",IF(K74="","",IF(K74&lt;0,"Atrasada",IF(K74=0,"Hoy",IF(K74&lt;=7,"Esta semana","Más adelante"))))))</f>
        <v/>
      </c>
      <c r="M74" s="27">
        <f>IFERROR(IF(AND(OR(L74="Atrasada",L74="Hoy",L74="Esta semana"),OR('Hoy'!$B$3='Ajustes'!$D$5,F74='Hoy'!$B$3)),K74+ROW()/100000,""),"")</f>
        <v/>
      </c>
      <c r="N74" s="27">
        <f>IF(OR(A74="",H74="No",I74=""),0,E74*7/I74)</f>
        <v/>
      </c>
      <c r="O74" s="27">
        <f>IFERROR(IF(AND(A74&lt;&gt;"",H74&lt;&gt;"No",I74&lt;&gt;"",OR('Hoy'!$B$3='Ajustes'!$D$5,F74='Hoy'!$B$3),J74&lt;=TODAY()),ROW(),""),"")</f>
        <v/>
      </c>
      <c r="P74" s="27">
        <f>IFERROR(IF(AND(A74&lt;&gt;"",H74&lt;&gt;"No",I74&lt;&gt;"",OR('Hoy'!$B$3='Ajustes'!$D$5,F74='Hoy'!$B$3),OR(J74=TODAY()+1,AND(I74&lt;=7,J74&gt;=TODAY(),J74&lt;TODAY()+1,MOD(TODAY()+1-J74,I74)=0))),ROW(),""),"")</f>
        <v/>
      </c>
      <c r="Q74" s="27">
        <f>IFERROR(IF(AND(A74&lt;&gt;"",H74&lt;&gt;"No",I74&lt;&gt;"",OR('Hoy'!$B$3='Ajustes'!$D$5,F74='Hoy'!$B$3),OR(J74=TODAY()+2,AND(I74&lt;=7,J74&gt;=TODAY(),J74&lt;TODAY()+2,MOD(TODAY()+2-J74,I74)=0))),ROW(),""),"")</f>
        <v/>
      </c>
      <c r="R74" s="27">
        <f>IFERROR(IF(AND(A74&lt;&gt;"",H74&lt;&gt;"No",I74&lt;&gt;"",OR('Hoy'!$B$3='Ajustes'!$D$5,F74='Hoy'!$B$3),OR(J74=TODAY()+3,AND(I74&lt;=7,J74&gt;=TODAY(),J74&lt;TODAY()+3,MOD(TODAY()+3-J74,I74)=0))),ROW(),""),"")</f>
        <v/>
      </c>
      <c r="S74" s="27">
        <f>IFERROR(IF(AND(A74&lt;&gt;"",H74&lt;&gt;"No",I74&lt;&gt;"",OR('Hoy'!$B$3='Ajustes'!$D$5,F74='Hoy'!$B$3),OR(J74=TODAY()+4,AND(I74&lt;=7,J74&gt;=TODAY(),J74&lt;TODAY()+4,MOD(TODAY()+4-J74,I74)=0))),ROW(),""),"")</f>
        <v/>
      </c>
      <c r="T74" s="27">
        <f>IFERROR(IF(AND(A74&lt;&gt;"",H74&lt;&gt;"No",I74&lt;&gt;"",OR('Hoy'!$B$3='Ajustes'!$D$5,F74='Hoy'!$B$3),OR(J74=TODAY()+5,AND(I74&lt;=7,J74&gt;=TODAY(),J74&lt;TODAY()+5,MOD(TODAY()+5-J74,I74)=0))),ROW(),""),"")</f>
        <v/>
      </c>
      <c r="U74" s="27">
        <f>IFERROR(IF(AND(A74&lt;&gt;"",H74&lt;&gt;"No",I74&lt;&gt;"",OR('Hoy'!$B$3='Ajustes'!$D$5,F74='Hoy'!$B$3),OR(J74=TODAY()+6,AND(I74&lt;=7,J74&gt;=TODAY(),J74&lt;TODAY()+6,MOD(TODAY()+6-J74,I74)=0))),ROW(),""),"")</f>
        <v/>
      </c>
    </row>
    <row r="75">
      <c r="A75" s="6" t="inlineStr">
        <is>
          <t>Reponer artículos de limpieza y hogar</t>
        </is>
      </c>
      <c r="B75" s="6" t="inlineStr">
        <is>
          <t>Trámites y compras</t>
        </is>
      </c>
      <c r="C75" s="28" t="n">
        <v>2</v>
      </c>
      <c r="D75" s="6" t="inlineStr">
        <is>
          <t>Semanas</t>
        </is>
      </c>
      <c r="E75" s="28" t="n">
        <v>10</v>
      </c>
      <c r="F75" s="6" t="n"/>
      <c r="G75" s="6" t="n"/>
      <c r="H75" s="29" t="inlineStr">
        <is>
          <t>Sí</t>
        </is>
      </c>
      <c r="I75" s="30">
        <f>IFERROR(IF(OR(A75="",C75=""),"",C75*INDEX('Ajustes'!$I$5:$I$8,MATCH(D75,'Ajustes'!$H$5:$H$8,0))),"")</f>
        <v/>
      </c>
      <c r="J75" s="31">
        <f>IFERROR(IF(I75="","",IF(G75="",IF('Ajustes'!$B$5="",TODAY(),'Ajustes'!$B$5)+MOD(ROW()*13,I75),IF(D75='Ajustes'!$H$7,EDATE(G75,C75),IF(D75='Ajustes'!$H$8,EDATE(G75,12*C75),G75+I75)))),"")</f>
        <v/>
      </c>
      <c r="K75" s="30">
        <f>IF(J75="","",J75-TODAY())</f>
        <v/>
      </c>
      <c r="L75" s="32">
        <f>IF(A75="","",IF(H75="No","Pausada",IF(K75="","",IF(K75&lt;0,"Atrasada",IF(K75=0,"Hoy",IF(K75&lt;=7,"Esta semana","Más adelante"))))))</f>
        <v/>
      </c>
      <c r="M75" s="27">
        <f>IFERROR(IF(AND(OR(L75="Atrasada",L75="Hoy",L75="Esta semana"),OR('Hoy'!$B$3='Ajustes'!$D$5,F75='Hoy'!$B$3)),K75+ROW()/100000,""),"")</f>
        <v/>
      </c>
      <c r="N75" s="27">
        <f>IF(OR(A75="",H75="No",I75=""),0,E75*7/I75)</f>
        <v/>
      </c>
      <c r="O75" s="27">
        <f>IFERROR(IF(AND(A75&lt;&gt;"",H75&lt;&gt;"No",I75&lt;&gt;"",OR('Hoy'!$B$3='Ajustes'!$D$5,F75='Hoy'!$B$3),J75&lt;=TODAY()),ROW(),""),"")</f>
        <v/>
      </c>
      <c r="P75" s="27">
        <f>IFERROR(IF(AND(A75&lt;&gt;"",H75&lt;&gt;"No",I75&lt;&gt;"",OR('Hoy'!$B$3='Ajustes'!$D$5,F75='Hoy'!$B$3),OR(J75=TODAY()+1,AND(I75&lt;=7,J75&gt;=TODAY(),J75&lt;TODAY()+1,MOD(TODAY()+1-J75,I75)=0))),ROW(),""),"")</f>
        <v/>
      </c>
      <c r="Q75" s="27">
        <f>IFERROR(IF(AND(A75&lt;&gt;"",H75&lt;&gt;"No",I75&lt;&gt;"",OR('Hoy'!$B$3='Ajustes'!$D$5,F75='Hoy'!$B$3),OR(J75=TODAY()+2,AND(I75&lt;=7,J75&gt;=TODAY(),J75&lt;TODAY()+2,MOD(TODAY()+2-J75,I75)=0))),ROW(),""),"")</f>
        <v/>
      </c>
      <c r="R75" s="27">
        <f>IFERROR(IF(AND(A75&lt;&gt;"",H75&lt;&gt;"No",I75&lt;&gt;"",OR('Hoy'!$B$3='Ajustes'!$D$5,F75='Hoy'!$B$3),OR(J75=TODAY()+3,AND(I75&lt;=7,J75&gt;=TODAY(),J75&lt;TODAY()+3,MOD(TODAY()+3-J75,I75)=0))),ROW(),""),"")</f>
        <v/>
      </c>
      <c r="S75" s="27">
        <f>IFERROR(IF(AND(A75&lt;&gt;"",H75&lt;&gt;"No",I75&lt;&gt;"",OR('Hoy'!$B$3='Ajustes'!$D$5,F75='Hoy'!$B$3),OR(J75=TODAY()+4,AND(I75&lt;=7,J75&gt;=TODAY(),J75&lt;TODAY()+4,MOD(TODAY()+4-J75,I75)=0))),ROW(),""),"")</f>
        <v/>
      </c>
      <c r="T75" s="27">
        <f>IFERROR(IF(AND(A75&lt;&gt;"",H75&lt;&gt;"No",I75&lt;&gt;"",OR('Hoy'!$B$3='Ajustes'!$D$5,F75='Hoy'!$B$3),OR(J75=TODAY()+5,AND(I75&lt;=7,J75&gt;=TODAY(),J75&lt;TODAY()+5,MOD(TODAY()+5-J75,I75)=0))),ROW(),""),"")</f>
        <v/>
      </c>
      <c r="U75" s="27">
        <f>IFERROR(IF(AND(A75&lt;&gt;"",H75&lt;&gt;"No",I75&lt;&gt;"",OR('Hoy'!$B$3='Ajustes'!$D$5,F75='Hoy'!$B$3),OR(J75=TODAY()+6,AND(I75&lt;=7,J75&gt;=TODAY(),J75&lt;TODAY()+6,MOD(TODAY()+6-J75,I75)=0))),ROW(),""),"")</f>
        <v/>
      </c>
    </row>
    <row r="76">
      <c r="A76" s="6" t="inlineStr">
        <is>
          <t>Pagar las cuentas</t>
        </is>
      </c>
      <c r="B76" s="6" t="inlineStr">
        <is>
          <t>Trámites y compras</t>
        </is>
      </c>
      <c r="C76" s="28" t="n">
        <v>1</v>
      </c>
      <c r="D76" s="6" t="inlineStr">
        <is>
          <t>Meses</t>
        </is>
      </c>
      <c r="E76" s="28" t="n">
        <v>20</v>
      </c>
      <c r="F76" s="6" t="n"/>
      <c r="G76" s="6" t="n"/>
      <c r="H76" s="29" t="inlineStr">
        <is>
          <t>Sí</t>
        </is>
      </c>
      <c r="I76" s="30">
        <f>IFERROR(IF(OR(A76="",C76=""),"",C76*INDEX('Ajustes'!$I$5:$I$8,MATCH(D76,'Ajustes'!$H$5:$H$8,0))),"")</f>
        <v/>
      </c>
      <c r="J76" s="31">
        <f>IFERROR(IF(I76="","",IF(G76="",IF('Ajustes'!$B$5="",TODAY(),'Ajustes'!$B$5)+MOD(ROW()*13,I76),IF(D76='Ajustes'!$H$7,EDATE(G76,C76),IF(D76='Ajustes'!$H$8,EDATE(G76,12*C76),G76+I76)))),"")</f>
        <v/>
      </c>
      <c r="K76" s="30">
        <f>IF(J76="","",J76-TODAY())</f>
        <v/>
      </c>
      <c r="L76" s="32">
        <f>IF(A76="","",IF(H76="No","Pausada",IF(K76="","",IF(K76&lt;0,"Atrasada",IF(K76=0,"Hoy",IF(K76&lt;=7,"Esta semana","Más adelante"))))))</f>
        <v/>
      </c>
      <c r="M76" s="27">
        <f>IFERROR(IF(AND(OR(L76="Atrasada",L76="Hoy",L76="Esta semana"),OR('Hoy'!$B$3='Ajustes'!$D$5,F76='Hoy'!$B$3)),K76+ROW()/100000,""),"")</f>
        <v/>
      </c>
      <c r="N76" s="27">
        <f>IF(OR(A76="",H76="No",I76=""),0,E76*7/I76)</f>
        <v/>
      </c>
      <c r="O76" s="27">
        <f>IFERROR(IF(AND(A76&lt;&gt;"",H76&lt;&gt;"No",I76&lt;&gt;"",OR('Hoy'!$B$3='Ajustes'!$D$5,F76='Hoy'!$B$3),J76&lt;=TODAY()),ROW(),""),"")</f>
        <v/>
      </c>
      <c r="P76" s="27">
        <f>IFERROR(IF(AND(A76&lt;&gt;"",H76&lt;&gt;"No",I76&lt;&gt;"",OR('Hoy'!$B$3='Ajustes'!$D$5,F76='Hoy'!$B$3),OR(J76=TODAY()+1,AND(I76&lt;=7,J76&gt;=TODAY(),J76&lt;TODAY()+1,MOD(TODAY()+1-J76,I76)=0))),ROW(),""),"")</f>
        <v/>
      </c>
      <c r="Q76" s="27">
        <f>IFERROR(IF(AND(A76&lt;&gt;"",H76&lt;&gt;"No",I76&lt;&gt;"",OR('Hoy'!$B$3='Ajustes'!$D$5,F76='Hoy'!$B$3),OR(J76=TODAY()+2,AND(I76&lt;=7,J76&gt;=TODAY(),J76&lt;TODAY()+2,MOD(TODAY()+2-J76,I76)=0))),ROW(),""),"")</f>
        <v/>
      </c>
      <c r="R76" s="27">
        <f>IFERROR(IF(AND(A76&lt;&gt;"",H76&lt;&gt;"No",I76&lt;&gt;"",OR('Hoy'!$B$3='Ajustes'!$D$5,F76='Hoy'!$B$3),OR(J76=TODAY()+3,AND(I76&lt;=7,J76&gt;=TODAY(),J76&lt;TODAY()+3,MOD(TODAY()+3-J76,I76)=0))),ROW(),""),"")</f>
        <v/>
      </c>
      <c r="S76" s="27">
        <f>IFERROR(IF(AND(A76&lt;&gt;"",H76&lt;&gt;"No",I76&lt;&gt;"",OR('Hoy'!$B$3='Ajustes'!$D$5,F76='Hoy'!$B$3),OR(J76=TODAY()+4,AND(I76&lt;=7,J76&gt;=TODAY(),J76&lt;TODAY()+4,MOD(TODAY()+4-J76,I76)=0))),ROW(),""),"")</f>
        <v/>
      </c>
      <c r="T76" s="27">
        <f>IFERROR(IF(AND(A76&lt;&gt;"",H76&lt;&gt;"No",I76&lt;&gt;"",OR('Hoy'!$B$3='Ajustes'!$D$5,F76='Hoy'!$B$3),OR(J76=TODAY()+5,AND(I76&lt;=7,J76&gt;=TODAY(),J76&lt;TODAY()+5,MOD(TODAY()+5-J76,I76)=0))),ROW(),""),"")</f>
        <v/>
      </c>
      <c r="U76" s="27">
        <f>IFERROR(IF(AND(A76&lt;&gt;"",H76&lt;&gt;"No",I76&lt;&gt;"",OR('Hoy'!$B$3='Ajustes'!$D$5,F76='Hoy'!$B$3),OR(J76=TODAY()+6,AND(I76&lt;=7,J76&gt;=TODAY(),J76&lt;TODAY()+6,MOD(TODAY()+6-J76,I76)=0))),ROW(),""),"")</f>
        <v/>
      </c>
    </row>
    <row r="77">
      <c r="A77" s="6" t="inlineStr">
        <is>
          <t>Revisar el presupuesto del hogar</t>
        </is>
      </c>
      <c r="B77" s="6" t="inlineStr">
        <is>
          <t>Trámites y compras</t>
        </is>
      </c>
      <c r="C77" s="28" t="n">
        <v>1</v>
      </c>
      <c r="D77" s="6" t="inlineStr">
        <is>
          <t>Meses</t>
        </is>
      </c>
      <c r="E77" s="28" t="n">
        <v>20</v>
      </c>
      <c r="F77" s="6" t="n"/>
      <c r="G77" s="6" t="n"/>
      <c r="H77" s="29" t="inlineStr">
        <is>
          <t>Sí</t>
        </is>
      </c>
      <c r="I77" s="30">
        <f>IFERROR(IF(OR(A77="",C77=""),"",C77*INDEX('Ajustes'!$I$5:$I$8,MATCH(D77,'Ajustes'!$H$5:$H$8,0))),"")</f>
        <v/>
      </c>
      <c r="J77" s="31">
        <f>IFERROR(IF(I77="","",IF(G77="",IF('Ajustes'!$B$5="",TODAY(),'Ajustes'!$B$5)+MOD(ROW()*13,I77),IF(D77='Ajustes'!$H$7,EDATE(G77,C77),IF(D77='Ajustes'!$H$8,EDATE(G77,12*C77),G77+I77)))),"")</f>
        <v/>
      </c>
      <c r="K77" s="30">
        <f>IF(J77="","",J77-TODAY())</f>
        <v/>
      </c>
      <c r="L77" s="32">
        <f>IF(A77="","",IF(H77="No","Pausada",IF(K77="","",IF(K77&lt;0,"Atrasada",IF(K77=0,"Hoy",IF(K77&lt;=7,"Esta semana","Más adelante"))))))</f>
        <v/>
      </c>
      <c r="M77" s="27">
        <f>IFERROR(IF(AND(OR(L77="Atrasada",L77="Hoy",L77="Esta semana"),OR('Hoy'!$B$3='Ajustes'!$D$5,F77='Hoy'!$B$3)),K77+ROW()/100000,""),"")</f>
        <v/>
      </c>
      <c r="N77" s="27">
        <f>IF(OR(A77="",H77="No",I77=""),0,E77*7/I77)</f>
        <v/>
      </c>
      <c r="O77" s="27">
        <f>IFERROR(IF(AND(A77&lt;&gt;"",H77&lt;&gt;"No",I77&lt;&gt;"",OR('Hoy'!$B$3='Ajustes'!$D$5,F77='Hoy'!$B$3),J77&lt;=TODAY()),ROW(),""),"")</f>
        <v/>
      </c>
      <c r="P77" s="27">
        <f>IFERROR(IF(AND(A77&lt;&gt;"",H77&lt;&gt;"No",I77&lt;&gt;"",OR('Hoy'!$B$3='Ajustes'!$D$5,F77='Hoy'!$B$3),OR(J77=TODAY()+1,AND(I77&lt;=7,J77&gt;=TODAY(),J77&lt;TODAY()+1,MOD(TODAY()+1-J77,I77)=0))),ROW(),""),"")</f>
        <v/>
      </c>
      <c r="Q77" s="27">
        <f>IFERROR(IF(AND(A77&lt;&gt;"",H77&lt;&gt;"No",I77&lt;&gt;"",OR('Hoy'!$B$3='Ajustes'!$D$5,F77='Hoy'!$B$3),OR(J77=TODAY()+2,AND(I77&lt;=7,J77&gt;=TODAY(),J77&lt;TODAY()+2,MOD(TODAY()+2-J77,I77)=0))),ROW(),""),"")</f>
        <v/>
      </c>
      <c r="R77" s="27">
        <f>IFERROR(IF(AND(A77&lt;&gt;"",H77&lt;&gt;"No",I77&lt;&gt;"",OR('Hoy'!$B$3='Ajustes'!$D$5,F77='Hoy'!$B$3),OR(J77=TODAY()+3,AND(I77&lt;=7,J77&gt;=TODAY(),J77&lt;TODAY()+3,MOD(TODAY()+3-J77,I77)=0))),ROW(),""),"")</f>
        <v/>
      </c>
      <c r="S77" s="27">
        <f>IFERROR(IF(AND(A77&lt;&gt;"",H77&lt;&gt;"No",I77&lt;&gt;"",OR('Hoy'!$B$3='Ajustes'!$D$5,F77='Hoy'!$B$3),OR(J77=TODAY()+4,AND(I77&lt;=7,J77&gt;=TODAY(),J77&lt;TODAY()+4,MOD(TODAY()+4-J77,I77)=0))),ROW(),""),"")</f>
        <v/>
      </c>
      <c r="T77" s="27">
        <f>IFERROR(IF(AND(A77&lt;&gt;"",H77&lt;&gt;"No",I77&lt;&gt;"",OR('Hoy'!$B$3='Ajustes'!$D$5,F77='Hoy'!$B$3),OR(J77=TODAY()+5,AND(I77&lt;=7,J77&gt;=TODAY(),J77&lt;TODAY()+5,MOD(TODAY()+5-J77,I77)=0))),ROW(),""),"")</f>
        <v/>
      </c>
      <c r="U77" s="27">
        <f>IFERROR(IF(AND(A77&lt;&gt;"",H77&lt;&gt;"No",I77&lt;&gt;"",OR('Hoy'!$B$3='Ajustes'!$D$5,F77='Hoy'!$B$3),OR(J77=TODAY()+6,AND(I77&lt;=7,J77&gt;=TODAY(),J77&lt;TODAY()+6,MOD(TODAY()+6-J77,I77)=0))),ROW(),""),"")</f>
        <v/>
      </c>
    </row>
    <row r="78">
      <c r="A78" s="6" t="inlineStr">
        <is>
          <t>Hacer copia de seguridad de celular y compu</t>
        </is>
      </c>
      <c r="B78" s="6" t="inlineStr">
        <is>
          <t>Trámites y compras</t>
        </is>
      </c>
      <c r="C78" s="28" t="n">
        <v>1</v>
      </c>
      <c r="D78" s="6" t="inlineStr">
        <is>
          <t>Meses</t>
        </is>
      </c>
      <c r="E78" s="28" t="n">
        <v>10</v>
      </c>
      <c r="F78" s="6" t="n"/>
      <c r="G78" s="6" t="n"/>
      <c r="H78" s="29" t="inlineStr">
        <is>
          <t>Sí</t>
        </is>
      </c>
      <c r="I78" s="30">
        <f>IFERROR(IF(OR(A78="",C78=""),"",C78*INDEX('Ajustes'!$I$5:$I$8,MATCH(D78,'Ajustes'!$H$5:$H$8,0))),"")</f>
        <v/>
      </c>
      <c r="J78" s="31">
        <f>IFERROR(IF(I78="","",IF(G78="",IF('Ajustes'!$B$5="",TODAY(),'Ajustes'!$B$5)+MOD(ROW()*13,I78),IF(D78='Ajustes'!$H$7,EDATE(G78,C78),IF(D78='Ajustes'!$H$8,EDATE(G78,12*C78),G78+I78)))),"")</f>
        <v/>
      </c>
      <c r="K78" s="30">
        <f>IF(J78="","",J78-TODAY())</f>
        <v/>
      </c>
      <c r="L78" s="32">
        <f>IF(A78="","",IF(H78="No","Pausada",IF(K78="","",IF(K78&lt;0,"Atrasada",IF(K78=0,"Hoy",IF(K78&lt;=7,"Esta semana","Más adelante"))))))</f>
        <v/>
      </c>
      <c r="M78" s="27">
        <f>IFERROR(IF(AND(OR(L78="Atrasada",L78="Hoy",L78="Esta semana"),OR('Hoy'!$B$3='Ajustes'!$D$5,F78='Hoy'!$B$3)),K78+ROW()/100000,""),"")</f>
        <v/>
      </c>
      <c r="N78" s="27">
        <f>IF(OR(A78="",H78="No",I78=""),0,E78*7/I78)</f>
        <v/>
      </c>
      <c r="O78" s="27">
        <f>IFERROR(IF(AND(A78&lt;&gt;"",H78&lt;&gt;"No",I78&lt;&gt;"",OR('Hoy'!$B$3='Ajustes'!$D$5,F78='Hoy'!$B$3),J78&lt;=TODAY()),ROW(),""),"")</f>
        <v/>
      </c>
      <c r="P78" s="27">
        <f>IFERROR(IF(AND(A78&lt;&gt;"",H78&lt;&gt;"No",I78&lt;&gt;"",OR('Hoy'!$B$3='Ajustes'!$D$5,F78='Hoy'!$B$3),OR(J78=TODAY()+1,AND(I78&lt;=7,J78&gt;=TODAY(),J78&lt;TODAY()+1,MOD(TODAY()+1-J78,I78)=0))),ROW(),""),"")</f>
        <v/>
      </c>
      <c r="Q78" s="27">
        <f>IFERROR(IF(AND(A78&lt;&gt;"",H78&lt;&gt;"No",I78&lt;&gt;"",OR('Hoy'!$B$3='Ajustes'!$D$5,F78='Hoy'!$B$3),OR(J78=TODAY()+2,AND(I78&lt;=7,J78&gt;=TODAY(),J78&lt;TODAY()+2,MOD(TODAY()+2-J78,I78)=0))),ROW(),""),"")</f>
        <v/>
      </c>
      <c r="R78" s="27">
        <f>IFERROR(IF(AND(A78&lt;&gt;"",H78&lt;&gt;"No",I78&lt;&gt;"",OR('Hoy'!$B$3='Ajustes'!$D$5,F78='Hoy'!$B$3),OR(J78=TODAY()+3,AND(I78&lt;=7,J78&gt;=TODAY(),J78&lt;TODAY()+3,MOD(TODAY()+3-J78,I78)=0))),ROW(),""),"")</f>
        <v/>
      </c>
      <c r="S78" s="27">
        <f>IFERROR(IF(AND(A78&lt;&gt;"",H78&lt;&gt;"No",I78&lt;&gt;"",OR('Hoy'!$B$3='Ajustes'!$D$5,F78='Hoy'!$B$3),OR(J78=TODAY()+4,AND(I78&lt;=7,J78&gt;=TODAY(),J78&lt;TODAY()+4,MOD(TODAY()+4-J78,I78)=0))),ROW(),""),"")</f>
        <v/>
      </c>
      <c r="T78" s="27">
        <f>IFERROR(IF(AND(A78&lt;&gt;"",H78&lt;&gt;"No",I78&lt;&gt;"",OR('Hoy'!$B$3='Ajustes'!$D$5,F78='Hoy'!$B$3),OR(J78=TODAY()+5,AND(I78&lt;=7,J78&gt;=TODAY(),J78&lt;TODAY()+5,MOD(TODAY()+5-J78,I78)=0))),ROW(),""),"")</f>
        <v/>
      </c>
      <c r="U78" s="27">
        <f>IFERROR(IF(AND(A78&lt;&gt;"",H78&lt;&gt;"No",I78&lt;&gt;"",OR('Hoy'!$B$3='Ajustes'!$D$5,F78='Hoy'!$B$3),OR(J78=TODAY()+6,AND(I78&lt;=7,J78&gt;=TODAY(),J78&lt;TODAY()+6,MOD(TODAY()+6-J78,I78)=0))),ROW(),""),"")</f>
        <v/>
      </c>
    </row>
    <row r="79">
      <c r="A79" s="6" t="inlineStr">
        <is>
          <t>Turno de dentista / chequeo médico</t>
        </is>
      </c>
      <c r="B79" s="6" t="inlineStr">
        <is>
          <t>Trámites y compras</t>
        </is>
      </c>
      <c r="C79" s="28" t="n">
        <v>6</v>
      </c>
      <c r="D79" s="6" t="inlineStr">
        <is>
          <t>Meses</t>
        </is>
      </c>
      <c r="E79" s="28" t="n">
        <v>10</v>
      </c>
      <c r="F79" s="6" t="n"/>
      <c r="G79" s="6" t="n"/>
      <c r="H79" s="29" t="inlineStr">
        <is>
          <t>Sí</t>
        </is>
      </c>
      <c r="I79" s="30">
        <f>IFERROR(IF(OR(A79="",C79=""),"",C79*INDEX('Ajustes'!$I$5:$I$8,MATCH(D79,'Ajustes'!$H$5:$H$8,0))),"")</f>
        <v/>
      </c>
      <c r="J79" s="31">
        <f>IFERROR(IF(I79="","",IF(G79="",IF('Ajustes'!$B$5="",TODAY(),'Ajustes'!$B$5)+MOD(ROW()*13,I79),IF(D79='Ajustes'!$H$7,EDATE(G79,C79),IF(D79='Ajustes'!$H$8,EDATE(G79,12*C79),G79+I79)))),"")</f>
        <v/>
      </c>
      <c r="K79" s="30">
        <f>IF(J79="","",J79-TODAY())</f>
        <v/>
      </c>
      <c r="L79" s="32">
        <f>IF(A79="","",IF(H79="No","Pausada",IF(K79="","",IF(K79&lt;0,"Atrasada",IF(K79=0,"Hoy",IF(K79&lt;=7,"Esta semana","Más adelante"))))))</f>
        <v/>
      </c>
      <c r="M79" s="27">
        <f>IFERROR(IF(AND(OR(L79="Atrasada",L79="Hoy",L79="Esta semana"),OR('Hoy'!$B$3='Ajustes'!$D$5,F79='Hoy'!$B$3)),K79+ROW()/100000,""),"")</f>
        <v/>
      </c>
      <c r="N79" s="27">
        <f>IF(OR(A79="",H79="No",I79=""),0,E79*7/I79)</f>
        <v/>
      </c>
      <c r="O79" s="27">
        <f>IFERROR(IF(AND(A79&lt;&gt;"",H79&lt;&gt;"No",I79&lt;&gt;"",OR('Hoy'!$B$3='Ajustes'!$D$5,F79='Hoy'!$B$3),J79&lt;=TODAY()),ROW(),""),"")</f>
        <v/>
      </c>
      <c r="P79" s="27">
        <f>IFERROR(IF(AND(A79&lt;&gt;"",H79&lt;&gt;"No",I79&lt;&gt;"",OR('Hoy'!$B$3='Ajustes'!$D$5,F79='Hoy'!$B$3),OR(J79=TODAY()+1,AND(I79&lt;=7,J79&gt;=TODAY(),J79&lt;TODAY()+1,MOD(TODAY()+1-J79,I79)=0))),ROW(),""),"")</f>
        <v/>
      </c>
      <c r="Q79" s="27">
        <f>IFERROR(IF(AND(A79&lt;&gt;"",H79&lt;&gt;"No",I79&lt;&gt;"",OR('Hoy'!$B$3='Ajustes'!$D$5,F79='Hoy'!$B$3),OR(J79=TODAY()+2,AND(I79&lt;=7,J79&gt;=TODAY(),J79&lt;TODAY()+2,MOD(TODAY()+2-J79,I79)=0))),ROW(),""),"")</f>
        <v/>
      </c>
      <c r="R79" s="27">
        <f>IFERROR(IF(AND(A79&lt;&gt;"",H79&lt;&gt;"No",I79&lt;&gt;"",OR('Hoy'!$B$3='Ajustes'!$D$5,F79='Hoy'!$B$3),OR(J79=TODAY()+3,AND(I79&lt;=7,J79&gt;=TODAY(),J79&lt;TODAY()+3,MOD(TODAY()+3-J79,I79)=0))),ROW(),""),"")</f>
        <v/>
      </c>
      <c r="S79" s="27">
        <f>IFERROR(IF(AND(A79&lt;&gt;"",H79&lt;&gt;"No",I79&lt;&gt;"",OR('Hoy'!$B$3='Ajustes'!$D$5,F79='Hoy'!$B$3),OR(J79=TODAY()+4,AND(I79&lt;=7,J79&gt;=TODAY(),J79&lt;TODAY()+4,MOD(TODAY()+4-J79,I79)=0))),ROW(),""),"")</f>
        <v/>
      </c>
      <c r="T79" s="27">
        <f>IFERROR(IF(AND(A79&lt;&gt;"",H79&lt;&gt;"No",I79&lt;&gt;"",OR('Hoy'!$B$3='Ajustes'!$D$5,F79='Hoy'!$B$3),OR(J79=TODAY()+5,AND(I79&lt;=7,J79&gt;=TODAY(),J79&lt;TODAY()+5,MOD(TODAY()+5-J79,I79)=0))),ROW(),""),"")</f>
        <v/>
      </c>
      <c r="U79" s="27">
        <f>IFERROR(IF(AND(A79&lt;&gt;"",H79&lt;&gt;"No",I79&lt;&gt;"",OR('Hoy'!$B$3='Ajustes'!$D$5,F79='Hoy'!$B$3),OR(J79=TODAY()+6,AND(I79&lt;=7,J79&gt;=TODAY(),J79&lt;TODAY()+6,MOD(TODAY()+6-J79,I79)=0))),ROW(),""),"")</f>
        <v/>
      </c>
    </row>
    <row r="80">
      <c r="A80" s="6" t="inlineStr">
        <is>
          <t>Revisar presión de neumáticos y fluidos</t>
        </is>
      </c>
      <c r="B80" s="6" t="inlineStr">
        <is>
          <t>Auto y exterior</t>
        </is>
      </c>
      <c r="C80" s="28" t="n">
        <v>1</v>
      </c>
      <c r="D80" s="6" t="inlineStr">
        <is>
          <t>Meses</t>
        </is>
      </c>
      <c r="E80" s="28" t="n">
        <v>15</v>
      </c>
      <c r="F80" s="6" t="n"/>
      <c r="G80" s="6" t="n"/>
      <c r="H80" s="29" t="inlineStr">
        <is>
          <t>Sí</t>
        </is>
      </c>
      <c r="I80" s="30">
        <f>IFERROR(IF(OR(A80="",C80=""),"",C80*INDEX('Ajustes'!$I$5:$I$8,MATCH(D80,'Ajustes'!$H$5:$H$8,0))),"")</f>
        <v/>
      </c>
      <c r="J80" s="31">
        <f>IFERROR(IF(I80="","",IF(G80="",IF('Ajustes'!$B$5="",TODAY(),'Ajustes'!$B$5)+MOD(ROW()*13,I80),IF(D80='Ajustes'!$H$7,EDATE(G80,C80),IF(D80='Ajustes'!$H$8,EDATE(G80,12*C80),G80+I80)))),"")</f>
        <v/>
      </c>
      <c r="K80" s="30">
        <f>IF(J80="","",J80-TODAY())</f>
        <v/>
      </c>
      <c r="L80" s="32">
        <f>IF(A80="","",IF(H80="No","Pausada",IF(K80="","",IF(K80&lt;0,"Atrasada",IF(K80=0,"Hoy",IF(K80&lt;=7,"Esta semana","Más adelante"))))))</f>
        <v/>
      </c>
      <c r="M80" s="27">
        <f>IFERROR(IF(AND(OR(L80="Atrasada",L80="Hoy",L80="Esta semana"),OR('Hoy'!$B$3='Ajustes'!$D$5,F80='Hoy'!$B$3)),K80+ROW()/100000,""),"")</f>
        <v/>
      </c>
      <c r="N80" s="27">
        <f>IF(OR(A80="",H80="No",I80=""),0,E80*7/I80)</f>
        <v/>
      </c>
      <c r="O80" s="27">
        <f>IFERROR(IF(AND(A80&lt;&gt;"",H80&lt;&gt;"No",I80&lt;&gt;"",OR('Hoy'!$B$3='Ajustes'!$D$5,F80='Hoy'!$B$3),J80&lt;=TODAY()),ROW(),""),"")</f>
        <v/>
      </c>
      <c r="P80" s="27">
        <f>IFERROR(IF(AND(A80&lt;&gt;"",H80&lt;&gt;"No",I80&lt;&gt;"",OR('Hoy'!$B$3='Ajustes'!$D$5,F80='Hoy'!$B$3),OR(J80=TODAY()+1,AND(I80&lt;=7,J80&gt;=TODAY(),J80&lt;TODAY()+1,MOD(TODAY()+1-J80,I80)=0))),ROW(),""),"")</f>
        <v/>
      </c>
      <c r="Q80" s="27">
        <f>IFERROR(IF(AND(A80&lt;&gt;"",H80&lt;&gt;"No",I80&lt;&gt;"",OR('Hoy'!$B$3='Ajustes'!$D$5,F80='Hoy'!$B$3),OR(J80=TODAY()+2,AND(I80&lt;=7,J80&gt;=TODAY(),J80&lt;TODAY()+2,MOD(TODAY()+2-J80,I80)=0))),ROW(),""),"")</f>
        <v/>
      </c>
      <c r="R80" s="27">
        <f>IFERROR(IF(AND(A80&lt;&gt;"",H80&lt;&gt;"No",I80&lt;&gt;"",OR('Hoy'!$B$3='Ajustes'!$D$5,F80='Hoy'!$B$3),OR(J80=TODAY()+3,AND(I80&lt;=7,J80&gt;=TODAY(),J80&lt;TODAY()+3,MOD(TODAY()+3-J80,I80)=0))),ROW(),""),"")</f>
        <v/>
      </c>
      <c r="S80" s="27">
        <f>IFERROR(IF(AND(A80&lt;&gt;"",H80&lt;&gt;"No",I80&lt;&gt;"",OR('Hoy'!$B$3='Ajustes'!$D$5,F80='Hoy'!$B$3),OR(J80=TODAY()+4,AND(I80&lt;=7,J80&gt;=TODAY(),J80&lt;TODAY()+4,MOD(TODAY()+4-J80,I80)=0))),ROW(),""),"")</f>
        <v/>
      </c>
      <c r="T80" s="27">
        <f>IFERROR(IF(AND(A80&lt;&gt;"",H80&lt;&gt;"No",I80&lt;&gt;"",OR('Hoy'!$B$3='Ajustes'!$D$5,F80='Hoy'!$B$3),OR(J80=TODAY()+5,AND(I80&lt;=7,J80&gt;=TODAY(),J80&lt;TODAY()+5,MOD(TODAY()+5-J80,I80)=0))),ROW(),""),"")</f>
        <v/>
      </c>
      <c r="U80" s="27">
        <f>IFERROR(IF(AND(A80&lt;&gt;"",H80&lt;&gt;"No",I80&lt;&gt;"",OR('Hoy'!$B$3='Ajustes'!$D$5,F80='Hoy'!$B$3),OR(J80=TODAY()+6,AND(I80&lt;=7,J80&gt;=TODAY(),J80&lt;TODAY()+6,MOD(TODAY()+6-J80,I80)=0))),ROW(),""),"")</f>
        <v/>
      </c>
    </row>
    <row r="81">
      <c r="A81" s="6" t="inlineStr">
        <is>
          <t>Lavar el auto</t>
        </is>
      </c>
      <c r="B81" s="6" t="inlineStr">
        <is>
          <t>Auto y exterior</t>
        </is>
      </c>
      <c r="C81" s="28" t="n">
        <v>1</v>
      </c>
      <c r="D81" s="6" t="inlineStr">
        <is>
          <t>Meses</t>
        </is>
      </c>
      <c r="E81" s="28" t="n">
        <v>30</v>
      </c>
      <c r="F81" s="6" t="n"/>
      <c r="G81" s="6" t="n"/>
      <c r="H81" s="29" t="inlineStr">
        <is>
          <t>Sí</t>
        </is>
      </c>
      <c r="I81" s="30">
        <f>IFERROR(IF(OR(A81="",C81=""),"",C81*INDEX('Ajustes'!$I$5:$I$8,MATCH(D81,'Ajustes'!$H$5:$H$8,0))),"")</f>
        <v/>
      </c>
      <c r="J81" s="31">
        <f>IFERROR(IF(I81="","",IF(G81="",IF('Ajustes'!$B$5="",TODAY(),'Ajustes'!$B$5)+MOD(ROW()*13,I81),IF(D81='Ajustes'!$H$7,EDATE(G81,C81),IF(D81='Ajustes'!$H$8,EDATE(G81,12*C81),G81+I81)))),"")</f>
        <v/>
      </c>
      <c r="K81" s="30">
        <f>IF(J81="","",J81-TODAY())</f>
        <v/>
      </c>
      <c r="L81" s="32">
        <f>IF(A81="","",IF(H81="No","Pausada",IF(K81="","",IF(K81&lt;0,"Atrasada",IF(K81=0,"Hoy",IF(K81&lt;=7,"Esta semana","Más adelante"))))))</f>
        <v/>
      </c>
      <c r="M81" s="27">
        <f>IFERROR(IF(AND(OR(L81="Atrasada",L81="Hoy",L81="Esta semana"),OR('Hoy'!$B$3='Ajustes'!$D$5,F81='Hoy'!$B$3)),K81+ROW()/100000,""),"")</f>
        <v/>
      </c>
      <c r="N81" s="27">
        <f>IF(OR(A81="",H81="No",I81=""),0,E81*7/I81)</f>
        <v/>
      </c>
      <c r="O81" s="27">
        <f>IFERROR(IF(AND(A81&lt;&gt;"",H81&lt;&gt;"No",I81&lt;&gt;"",OR('Hoy'!$B$3='Ajustes'!$D$5,F81='Hoy'!$B$3),J81&lt;=TODAY()),ROW(),""),"")</f>
        <v/>
      </c>
      <c r="P81" s="27">
        <f>IFERROR(IF(AND(A81&lt;&gt;"",H81&lt;&gt;"No",I81&lt;&gt;"",OR('Hoy'!$B$3='Ajustes'!$D$5,F81='Hoy'!$B$3),OR(J81=TODAY()+1,AND(I81&lt;=7,J81&gt;=TODAY(),J81&lt;TODAY()+1,MOD(TODAY()+1-J81,I81)=0))),ROW(),""),"")</f>
        <v/>
      </c>
      <c r="Q81" s="27">
        <f>IFERROR(IF(AND(A81&lt;&gt;"",H81&lt;&gt;"No",I81&lt;&gt;"",OR('Hoy'!$B$3='Ajustes'!$D$5,F81='Hoy'!$B$3),OR(J81=TODAY()+2,AND(I81&lt;=7,J81&gt;=TODAY(),J81&lt;TODAY()+2,MOD(TODAY()+2-J81,I81)=0))),ROW(),""),"")</f>
        <v/>
      </c>
      <c r="R81" s="27">
        <f>IFERROR(IF(AND(A81&lt;&gt;"",H81&lt;&gt;"No",I81&lt;&gt;"",OR('Hoy'!$B$3='Ajustes'!$D$5,F81='Hoy'!$B$3),OR(J81=TODAY()+3,AND(I81&lt;=7,J81&gt;=TODAY(),J81&lt;TODAY()+3,MOD(TODAY()+3-J81,I81)=0))),ROW(),""),"")</f>
        <v/>
      </c>
      <c r="S81" s="27">
        <f>IFERROR(IF(AND(A81&lt;&gt;"",H81&lt;&gt;"No",I81&lt;&gt;"",OR('Hoy'!$B$3='Ajustes'!$D$5,F81='Hoy'!$B$3),OR(J81=TODAY()+4,AND(I81&lt;=7,J81&gt;=TODAY(),J81&lt;TODAY()+4,MOD(TODAY()+4-J81,I81)=0))),ROW(),""),"")</f>
        <v/>
      </c>
      <c r="T81" s="27">
        <f>IFERROR(IF(AND(A81&lt;&gt;"",H81&lt;&gt;"No",I81&lt;&gt;"",OR('Hoy'!$B$3='Ajustes'!$D$5,F81='Hoy'!$B$3),OR(J81=TODAY()+5,AND(I81&lt;=7,J81&gt;=TODAY(),J81&lt;TODAY()+5,MOD(TODAY()+5-J81,I81)=0))),ROW(),""),"")</f>
        <v/>
      </c>
      <c r="U81" s="27">
        <f>IFERROR(IF(AND(A81&lt;&gt;"",H81&lt;&gt;"No",I81&lt;&gt;"",OR('Hoy'!$B$3='Ajustes'!$D$5,F81='Hoy'!$B$3),OR(J81=TODAY()+6,AND(I81&lt;=7,J81&gt;=TODAY(),J81&lt;TODAY()+6,MOD(TODAY()+6-J81,I81)=0))),ROW(),""),"")</f>
        <v/>
      </c>
    </row>
    <row r="82">
      <c r="A82" s="6" t="inlineStr">
        <is>
          <t>Barrer balcón / patio</t>
        </is>
      </c>
      <c r="B82" s="6" t="inlineStr">
        <is>
          <t>Auto y exterior</t>
        </is>
      </c>
      <c r="C82" s="28" t="n">
        <v>1</v>
      </c>
      <c r="D82" s="6" t="inlineStr">
        <is>
          <t>Semanas</t>
        </is>
      </c>
      <c r="E82" s="28" t="n">
        <v>10</v>
      </c>
      <c r="F82" s="6" t="n"/>
      <c r="G82" s="6" t="n"/>
      <c r="H82" s="29" t="inlineStr">
        <is>
          <t>Sí</t>
        </is>
      </c>
      <c r="I82" s="30">
        <f>IFERROR(IF(OR(A82="",C82=""),"",C82*INDEX('Ajustes'!$I$5:$I$8,MATCH(D82,'Ajustes'!$H$5:$H$8,0))),"")</f>
        <v/>
      </c>
      <c r="J82" s="31">
        <f>IFERROR(IF(I82="","",IF(G82="",IF('Ajustes'!$B$5="",TODAY(),'Ajustes'!$B$5)+MOD(ROW()*13,I82),IF(D82='Ajustes'!$H$7,EDATE(G82,C82),IF(D82='Ajustes'!$H$8,EDATE(G82,12*C82),G82+I82)))),"")</f>
        <v/>
      </c>
      <c r="K82" s="30">
        <f>IF(J82="","",J82-TODAY())</f>
        <v/>
      </c>
      <c r="L82" s="32">
        <f>IF(A82="","",IF(H82="No","Pausada",IF(K82="","",IF(K82&lt;0,"Atrasada",IF(K82=0,"Hoy",IF(K82&lt;=7,"Esta semana","Más adelante"))))))</f>
        <v/>
      </c>
      <c r="M82" s="27">
        <f>IFERROR(IF(AND(OR(L82="Atrasada",L82="Hoy",L82="Esta semana"),OR('Hoy'!$B$3='Ajustes'!$D$5,F82='Hoy'!$B$3)),K82+ROW()/100000,""),"")</f>
        <v/>
      </c>
      <c r="N82" s="27">
        <f>IF(OR(A82="",H82="No",I82=""),0,E82*7/I82)</f>
        <v/>
      </c>
      <c r="O82" s="27">
        <f>IFERROR(IF(AND(A82&lt;&gt;"",H82&lt;&gt;"No",I82&lt;&gt;"",OR('Hoy'!$B$3='Ajustes'!$D$5,F82='Hoy'!$B$3),J82&lt;=TODAY()),ROW(),""),"")</f>
        <v/>
      </c>
      <c r="P82" s="27">
        <f>IFERROR(IF(AND(A82&lt;&gt;"",H82&lt;&gt;"No",I82&lt;&gt;"",OR('Hoy'!$B$3='Ajustes'!$D$5,F82='Hoy'!$B$3),OR(J82=TODAY()+1,AND(I82&lt;=7,J82&gt;=TODAY(),J82&lt;TODAY()+1,MOD(TODAY()+1-J82,I82)=0))),ROW(),""),"")</f>
        <v/>
      </c>
      <c r="Q82" s="27">
        <f>IFERROR(IF(AND(A82&lt;&gt;"",H82&lt;&gt;"No",I82&lt;&gt;"",OR('Hoy'!$B$3='Ajustes'!$D$5,F82='Hoy'!$B$3),OR(J82=TODAY()+2,AND(I82&lt;=7,J82&gt;=TODAY(),J82&lt;TODAY()+2,MOD(TODAY()+2-J82,I82)=0))),ROW(),""),"")</f>
        <v/>
      </c>
      <c r="R82" s="27">
        <f>IFERROR(IF(AND(A82&lt;&gt;"",H82&lt;&gt;"No",I82&lt;&gt;"",OR('Hoy'!$B$3='Ajustes'!$D$5,F82='Hoy'!$B$3),OR(J82=TODAY()+3,AND(I82&lt;=7,J82&gt;=TODAY(),J82&lt;TODAY()+3,MOD(TODAY()+3-J82,I82)=0))),ROW(),""),"")</f>
        <v/>
      </c>
      <c r="S82" s="27">
        <f>IFERROR(IF(AND(A82&lt;&gt;"",H82&lt;&gt;"No",I82&lt;&gt;"",OR('Hoy'!$B$3='Ajustes'!$D$5,F82='Hoy'!$B$3),OR(J82=TODAY()+4,AND(I82&lt;=7,J82&gt;=TODAY(),J82&lt;TODAY()+4,MOD(TODAY()+4-J82,I82)=0))),ROW(),""),"")</f>
        <v/>
      </c>
      <c r="T82" s="27">
        <f>IFERROR(IF(AND(A82&lt;&gt;"",H82&lt;&gt;"No",I82&lt;&gt;"",OR('Hoy'!$B$3='Ajustes'!$D$5,F82='Hoy'!$B$3),OR(J82=TODAY()+5,AND(I82&lt;=7,J82&gt;=TODAY(),J82&lt;TODAY()+5,MOD(TODAY()+5-J82,I82)=0))),ROW(),""),"")</f>
        <v/>
      </c>
      <c r="U82" s="27">
        <f>IFERROR(IF(AND(A82&lt;&gt;"",H82&lt;&gt;"No",I82&lt;&gt;"",OR('Hoy'!$B$3='Ajustes'!$D$5,F82='Hoy'!$B$3),OR(J82=TODAY()+6,AND(I82&lt;=7,J82&gt;=TODAY(),J82&lt;TODAY()+6,MOD(TODAY()+6-J82,I82)=0))),ROW(),""),"")</f>
        <v/>
      </c>
    </row>
    <row r="83">
      <c r="A83" s="6" t="n"/>
      <c r="B83" s="6" t="n"/>
      <c r="C83" s="28" t="n"/>
      <c r="D83" s="6" t="n"/>
      <c r="E83" s="28" t="n"/>
      <c r="F83" s="6" t="n"/>
      <c r="G83" s="6" t="n"/>
      <c r="H83" s="29" t="inlineStr">
        <is>
          <t>Sí</t>
        </is>
      </c>
      <c r="I83" s="30">
        <f>IFERROR(IF(OR(A83="",C83=""),"",C83*INDEX('Ajustes'!$I$5:$I$8,MATCH(D83,'Ajustes'!$H$5:$H$8,0))),"")</f>
        <v/>
      </c>
      <c r="J83" s="31">
        <f>IFERROR(IF(I83="","",IF(G83="",IF('Ajustes'!$B$5="",TODAY(),'Ajustes'!$B$5)+MOD(ROW()*13,I83),IF(D83='Ajustes'!$H$7,EDATE(G83,C83),IF(D83='Ajustes'!$H$8,EDATE(G83,12*C83),G83+I83)))),"")</f>
        <v/>
      </c>
      <c r="K83" s="30">
        <f>IF(J83="","",J83-TODAY())</f>
        <v/>
      </c>
      <c r="L83" s="32">
        <f>IF(A83="","",IF(H83="No","Pausada",IF(K83="","",IF(K83&lt;0,"Atrasada",IF(K83=0,"Hoy",IF(K83&lt;=7,"Esta semana","Más adelante"))))))</f>
        <v/>
      </c>
      <c r="M83" s="27">
        <f>IFERROR(IF(AND(OR(L83="Atrasada",L83="Hoy",L83="Esta semana"),OR('Hoy'!$B$3='Ajustes'!$D$5,F83='Hoy'!$B$3)),K83+ROW()/100000,""),"")</f>
        <v/>
      </c>
      <c r="N83" s="27">
        <f>IF(OR(A83="",H83="No",I83=""),0,E83*7/I83)</f>
        <v/>
      </c>
      <c r="O83" s="27">
        <f>IFERROR(IF(AND(A83&lt;&gt;"",H83&lt;&gt;"No",I83&lt;&gt;"",OR('Hoy'!$B$3='Ajustes'!$D$5,F83='Hoy'!$B$3),J83&lt;=TODAY()),ROW(),""),"")</f>
        <v/>
      </c>
      <c r="P83" s="27">
        <f>IFERROR(IF(AND(A83&lt;&gt;"",H83&lt;&gt;"No",I83&lt;&gt;"",OR('Hoy'!$B$3='Ajustes'!$D$5,F83='Hoy'!$B$3),OR(J83=TODAY()+1,AND(I83&lt;=7,J83&gt;=TODAY(),J83&lt;TODAY()+1,MOD(TODAY()+1-J83,I83)=0))),ROW(),""),"")</f>
        <v/>
      </c>
      <c r="Q83" s="27">
        <f>IFERROR(IF(AND(A83&lt;&gt;"",H83&lt;&gt;"No",I83&lt;&gt;"",OR('Hoy'!$B$3='Ajustes'!$D$5,F83='Hoy'!$B$3),OR(J83=TODAY()+2,AND(I83&lt;=7,J83&gt;=TODAY(),J83&lt;TODAY()+2,MOD(TODAY()+2-J83,I83)=0))),ROW(),""),"")</f>
        <v/>
      </c>
      <c r="R83" s="27">
        <f>IFERROR(IF(AND(A83&lt;&gt;"",H83&lt;&gt;"No",I83&lt;&gt;"",OR('Hoy'!$B$3='Ajustes'!$D$5,F83='Hoy'!$B$3),OR(J83=TODAY()+3,AND(I83&lt;=7,J83&gt;=TODAY(),J83&lt;TODAY()+3,MOD(TODAY()+3-J83,I83)=0))),ROW(),""),"")</f>
        <v/>
      </c>
      <c r="S83" s="27">
        <f>IFERROR(IF(AND(A83&lt;&gt;"",H83&lt;&gt;"No",I83&lt;&gt;"",OR('Hoy'!$B$3='Ajustes'!$D$5,F83='Hoy'!$B$3),OR(J83=TODAY()+4,AND(I83&lt;=7,J83&gt;=TODAY(),J83&lt;TODAY()+4,MOD(TODAY()+4-J83,I83)=0))),ROW(),""),"")</f>
        <v/>
      </c>
      <c r="T83" s="27">
        <f>IFERROR(IF(AND(A83&lt;&gt;"",H83&lt;&gt;"No",I83&lt;&gt;"",OR('Hoy'!$B$3='Ajustes'!$D$5,F83='Hoy'!$B$3),OR(J83=TODAY()+5,AND(I83&lt;=7,J83&gt;=TODAY(),J83&lt;TODAY()+5,MOD(TODAY()+5-J83,I83)=0))),ROW(),""),"")</f>
        <v/>
      </c>
      <c r="U83" s="27">
        <f>IFERROR(IF(AND(A83&lt;&gt;"",H83&lt;&gt;"No",I83&lt;&gt;"",OR('Hoy'!$B$3='Ajustes'!$D$5,F83='Hoy'!$B$3),OR(J83=TODAY()+6,AND(I83&lt;=7,J83&gt;=TODAY(),J83&lt;TODAY()+6,MOD(TODAY()+6-J83,I83)=0))),ROW(),""),"")</f>
        <v/>
      </c>
    </row>
    <row r="84">
      <c r="A84" s="6" t="n"/>
      <c r="B84" s="6" t="n"/>
      <c r="C84" s="28" t="n"/>
      <c r="D84" s="6" t="n"/>
      <c r="E84" s="28" t="n"/>
      <c r="F84" s="6" t="n"/>
      <c r="G84" s="6" t="n"/>
      <c r="H84" s="29" t="inlineStr">
        <is>
          <t>Sí</t>
        </is>
      </c>
      <c r="I84" s="30">
        <f>IFERROR(IF(OR(A84="",C84=""),"",C84*INDEX('Ajustes'!$I$5:$I$8,MATCH(D84,'Ajustes'!$H$5:$H$8,0))),"")</f>
        <v/>
      </c>
      <c r="J84" s="31">
        <f>IFERROR(IF(I84="","",IF(G84="",IF('Ajustes'!$B$5="",TODAY(),'Ajustes'!$B$5)+MOD(ROW()*13,I84),IF(D84='Ajustes'!$H$7,EDATE(G84,C84),IF(D84='Ajustes'!$H$8,EDATE(G84,12*C84),G84+I84)))),"")</f>
        <v/>
      </c>
      <c r="K84" s="30">
        <f>IF(J84="","",J84-TODAY())</f>
        <v/>
      </c>
      <c r="L84" s="32">
        <f>IF(A84="","",IF(H84="No","Pausada",IF(K84="","",IF(K84&lt;0,"Atrasada",IF(K84=0,"Hoy",IF(K84&lt;=7,"Esta semana","Más adelante"))))))</f>
        <v/>
      </c>
      <c r="M84" s="27">
        <f>IFERROR(IF(AND(OR(L84="Atrasada",L84="Hoy",L84="Esta semana"),OR('Hoy'!$B$3='Ajustes'!$D$5,F84='Hoy'!$B$3)),K84+ROW()/100000,""),"")</f>
        <v/>
      </c>
      <c r="N84" s="27">
        <f>IF(OR(A84="",H84="No",I84=""),0,E84*7/I84)</f>
        <v/>
      </c>
      <c r="O84" s="27">
        <f>IFERROR(IF(AND(A84&lt;&gt;"",H84&lt;&gt;"No",I84&lt;&gt;"",OR('Hoy'!$B$3='Ajustes'!$D$5,F84='Hoy'!$B$3),J84&lt;=TODAY()),ROW(),""),"")</f>
        <v/>
      </c>
      <c r="P84" s="27">
        <f>IFERROR(IF(AND(A84&lt;&gt;"",H84&lt;&gt;"No",I84&lt;&gt;"",OR('Hoy'!$B$3='Ajustes'!$D$5,F84='Hoy'!$B$3),OR(J84=TODAY()+1,AND(I84&lt;=7,J84&gt;=TODAY(),J84&lt;TODAY()+1,MOD(TODAY()+1-J84,I84)=0))),ROW(),""),"")</f>
        <v/>
      </c>
      <c r="Q84" s="27">
        <f>IFERROR(IF(AND(A84&lt;&gt;"",H84&lt;&gt;"No",I84&lt;&gt;"",OR('Hoy'!$B$3='Ajustes'!$D$5,F84='Hoy'!$B$3),OR(J84=TODAY()+2,AND(I84&lt;=7,J84&gt;=TODAY(),J84&lt;TODAY()+2,MOD(TODAY()+2-J84,I84)=0))),ROW(),""),"")</f>
        <v/>
      </c>
      <c r="R84" s="27">
        <f>IFERROR(IF(AND(A84&lt;&gt;"",H84&lt;&gt;"No",I84&lt;&gt;"",OR('Hoy'!$B$3='Ajustes'!$D$5,F84='Hoy'!$B$3),OR(J84=TODAY()+3,AND(I84&lt;=7,J84&gt;=TODAY(),J84&lt;TODAY()+3,MOD(TODAY()+3-J84,I84)=0))),ROW(),""),"")</f>
        <v/>
      </c>
      <c r="S84" s="27">
        <f>IFERROR(IF(AND(A84&lt;&gt;"",H84&lt;&gt;"No",I84&lt;&gt;"",OR('Hoy'!$B$3='Ajustes'!$D$5,F84='Hoy'!$B$3),OR(J84=TODAY()+4,AND(I84&lt;=7,J84&gt;=TODAY(),J84&lt;TODAY()+4,MOD(TODAY()+4-J84,I84)=0))),ROW(),""),"")</f>
        <v/>
      </c>
      <c r="T84" s="27">
        <f>IFERROR(IF(AND(A84&lt;&gt;"",H84&lt;&gt;"No",I84&lt;&gt;"",OR('Hoy'!$B$3='Ajustes'!$D$5,F84='Hoy'!$B$3),OR(J84=TODAY()+5,AND(I84&lt;=7,J84&gt;=TODAY(),J84&lt;TODAY()+5,MOD(TODAY()+5-J84,I84)=0))),ROW(),""),"")</f>
        <v/>
      </c>
      <c r="U84" s="27">
        <f>IFERROR(IF(AND(A84&lt;&gt;"",H84&lt;&gt;"No",I84&lt;&gt;"",OR('Hoy'!$B$3='Ajustes'!$D$5,F84='Hoy'!$B$3),OR(J84=TODAY()+6,AND(I84&lt;=7,J84&gt;=TODAY(),J84&lt;TODAY()+6,MOD(TODAY()+6-J84,I84)=0))),ROW(),""),"")</f>
        <v/>
      </c>
    </row>
    <row r="85">
      <c r="A85" s="6" t="n"/>
      <c r="B85" s="6" t="n"/>
      <c r="C85" s="28" t="n"/>
      <c r="D85" s="6" t="n"/>
      <c r="E85" s="28" t="n"/>
      <c r="F85" s="6" t="n"/>
      <c r="G85" s="6" t="n"/>
      <c r="H85" s="29" t="inlineStr">
        <is>
          <t>Sí</t>
        </is>
      </c>
      <c r="I85" s="30">
        <f>IFERROR(IF(OR(A85="",C85=""),"",C85*INDEX('Ajustes'!$I$5:$I$8,MATCH(D85,'Ajustes'!$H$5:$H$8,0))),"")</f>
        <v/>
      </c>
      <c r="J85" s="31">
        <f>IFERROR(IF(I85="","",IF(G85="",IF('Ajustes'!$B$5="",TODAY(),'Ajustes'!$B$5)+MOD(ROW()*13,I85),IF(D85='Ajustes'!$H$7,EDATE(G85,C85),IF(D85='Ajustes'!$H$8,EDATE(G85,12*C85),G85+I85)))),"")</f>
        <v/>
      </c>
      <c r="K85" s="30">
        <f>IF(J85="","",J85-TODAY())</f>
        <v/>
      </c>
      <c r="L85" s="32">
        <f>IF(A85="","",IF(H85="No","Pausada",IF(K85="","",IF(K85&lt;0,"Atrasada",IF(K85=0,"Hoy",IF(K85&lt;=7,"Esta semana","Más adelante"))))))</f>
        <v/>
      </c>
      <c r="M85" s="27">
        <f>IFERROR(IF(AND(OR(L85="Atrasada",L85="Hoy",L85="Esta semana"),OR('Hoy'!$B$3='Ajustes'!$D$5,F85='Hoy'!$B$3)),K85+ROW()/100000,""),"")</f>
        <v/>
      </c>
      <c r="N85" s="27">
        <f>IF(OR(A85="",H85="No",I85=""),0,E85*7/I85)</f>
        <v/>
      </c>
      <c r="O85" s="27">
        <f>IFERROR(IF(AND(A85&lt;&gt;"",H85&lt;&gt;"No",I85&lt;&gt;"",OR('Hoy'!$B$3='Ajustes'!$D$5,F85='Hoy'!$B$3),J85&lt;=TODAY()),ROW(),""),"")</f>
        <v/>
      </c>
      <c r="P85" s="27">
        <f>IFERROR(IF(AND(A85&lt;&gt;"",H85&lt;&gt;"No",I85&lt;&gt;"",OR('Hoy'!$B$3='Ajustes'!$D$5,F85='Hoy'!$B$3),OR(J85=TODAY()+1,AND(I85&lt;=7,J85&gt;=TODAY(),J85&lt;TODAY()+1,MOD(TODAY()+1-J85,I85)=0))),ROW(),""),"")</f>
        <v/>
      </c>
      <c r="Q85" s="27">
        <f>IFERROR(IF(AND(A85&lt;&gt;"",H85&lt;&gt;"No",I85&lt;&gt;"",OR('Hoy'!$B$3='Ajustes'!$D$5,F85='Hoy'!$B$3),OR(J85=TODAY()+2,AND(I85&lt;=7,J85&gt;=TODAY(),J85&lt;TODAY()+2,MOD(TODAY()+2-J85,I85)=0))),ROW(),""),"")</f>
        <v/>
      </c>
      <c r="R85" s="27">
        <f>IFERROR(IF(AND(A85&lt;&gt;"",H85&lt;&gt;"No",I85&lt;&gt;"",OR('Hoy'!$B$3='Ajustes'!$D$5,F85='Hoy'!$B$3),OR(J85=TODAY()+3,AND(I85&lt;=7,J85&gt;=TODAY(),J85&lt;TODAY()+3,MOD(TODAY()+3-J85,I85)=0))),ROW(),""),"")</f>
        <v/>
      </c>
      <c r="S85" s="27">
        <f>IFERROR(IF(AND(A85&lt;&gt;"",H85&lt;&gt;"No",I85&lt;&gt;"",OR('Hoy'!$B$3='Ajustes'!$D$5,F85='Hoy'!$B$3),OR(J85=TODAY()+4,AND(I85&lt;=7,J85&gt;=TODAY(),J85&lt;TODAY()+4,MOD(TODAY()+4-J85,I85)=0))),ROW(),""),"")</f>
        <v/>
      </c>
      <c r="T85" s="27">
        <f>IFERROR(IF(AND(A85&lt;&gt;"",H85&lt;&gt;"No",I85&lt;&gt;"",OR('Hoy'!$B$3='Ajustes'!$D$5,F85='Hoy'!$B$3),OR(J85=TODAY()+5,AND(I85&lt;=7,J85&gt;=TODAY(),J85&lt;TODAY()+5,MOD(TODAY()+5-J85,I85)=0))),ROW(),""),"")</f>
        <v/>
      </c>
      <c r="U85" s="27">
        <f>IFERROR(IF(AND(A85&lt;&gt;"",H85&lt;&gt;"No",I85&lt;&gt;"",OR('Hoy'!$B$3='Ajustes'!$D$5,F85='Hoy'!$B$3),OR(J85=TODAY()+6,AND(I85&lt;=7,J85&gt;=TODAY(),J85&lt;TODAY()+6,MOD(TODAY()+6-J85,I85)=0))),ROW(),""),"")</f>
        <v/>
      </c>
    </row>
    <row r="86">
      <c r="A86" s="6" t="n"/>
      <c r="B86" s="6" t="n"/>
      <c r="C86" s="28" t="n"/>
      <c r="D86" s="6" t="n"/>
      <c r="E86" s="28" t="n"/>
      <c r="F86" s="6" t="n"/>
      <c r="G86" s="6" t="n"/>
      <c r="H86" s="29" t="inlineStr">
        <is>
          <t>Sí</t>
        </is>
      </c>
      <c r="I86" s="30">
        <f>IFERROR(IF(OR(A86="",C86=""),"",C86*INDEX('Ajustes'!$I$5:$I$8,MATCH(D86,'Ajustes'!$H$5:$H$8,0))),"")</f>
        <v/>
      </c>
      <c r="J86" s="31">
        <f>IFERROR(IF(I86="","",IF(G86="",IF('Ajustes'!$B$5="",TODAY(),'Ajustes'!$B$5)+MOD(ROW()*13,I86),IF(D86='Ajustes'!$H$7,EDATE(G86,C86),IF(D86='Ajustes'!$H$8,EDATE(G86,12*C86),G86+I86)))),"")</f>
        <v/>
      </c>
      <c r="K86" s="30">
        <f>IF(J86="","",J86-TODAY())</f>
        <v/>
      </c>
      <c r="L86" s="32">
        <f>IF(A86="","",IF(H86="No","Pausada",IF(K86="","",IF(K86&lt;0,"Atrasada",IF(K86=0,"Hoy",IF(K86&lt;=7,"Esta semana","Más adelante"))))))</f>
        <v/>
      </c>
      <c r="M86" s="27">
        <f>IFERROR(IF(AND(OR(L86="Atrasada",L86="Hoy",L86="Esta semana"),OR('Hoy'!$B$3='Ajustes'!$D$5,F86='Hoy'!$B$3)),K86+ROW()/100000,""),"")</f>
        <v/>
      </c>
      <c r="N86" s="27">
        <f>IF(OR(A86="",H86="No",I86=""),0,E86*7/I86)</f>
        <v/>
      </c>
      <c r="O86" s="27">
        <f>IFERROR(IF(AND(A86&lt;&gt;"",H86&lt;&gt;"No",I86&lt;&gt;"",OR('Hoy'!$B$3='Ajustes'!$D$5,F86='Hoy'!$B$3),J86&lt;=TODAY()),ROW(),""),"")</f>
        <v/>
      </c>
      <c r="P86" s="27">
        <f>IFERROR(IF(AND(A86&lt;&gt;"",H86&lt;&gt;"No",I86&lt;&gt;"",OR('Hoy'!$B$3='Ajustes'!$D$5,F86='Hoy'!$B$3),OR(J86=TODAY()+1,AND(I86&lt;=7,J86&gt;=TODAY(),J86&lt;TODAY()+1,MOD(TODAY()+1-J86,I86)=0))),ROW(),""),"")</f>
        <v/>
      </c>
      <c r="Q86" s="27">
        <f>IFERROR(IF(AND(A86&lt;&gt;"",H86&lt;&gt;"No",I86&lt;&gt;"",OR('Hoy'!$B$3='Ajustes'!$D$5,F86='Hoy'!$B$3),OR(J86=TODAY()+2,AND(I86&lt;=7,J86&gt;=TODAY(),J86&lt;TODAY()+2,MOD(TODAY()+2-J86,I86)=0))),ROW(),""),"")</f>
        <v/>
      </c>
      <c r="R86" s="27">
        <f>IFERROR(IF(AND(A86&lt;&gt;"",H86&lt;&gt;"No",I86&lt;&gt;"",OR('Hoy'!$B$3='Ajustes'!$D$5,F86='Hoy'!$B$3),OR(J86=TODAY()+3,AND(I86&lt;=7,J86&gt;=TODAY(),J86&lt;TODAY()+3,MOD(TODAY()+3-J86,I86)=0))),ROW(),""),"")</f>
        <v/>
      </c>
      <c r="S86" s="27">
        <f>IFERROR(IF(AND(A86&lt;&gt;"",H86&lt;&gt;"No",I86&lt;&gt;"",OR('Hoy'!$B$3='Ajustes'!$D$5,F86='Hoy'!$B$3),OR(J86=TODAY()+4,AND(I86&lt;=7,J86&gt;=TODAY(),J86&lt;TODAY()+4,MOD(TODAY()+4-J86,I86)=0))),ROW(),""),"")</f>
        <v/>
      </c>
      <c r="T86" s="27">
        <f>IFERROR(IF(AND(A86&lt;&gt;"",H86&lt;&gt;"No",I86&lt;&gt;"",OR('Hoy'!$B$3='Ajustes'!$D$5,F86='Hoy'!$B$3),OR(J86=TODAY()+5,AND(I86&lt;=7,J86&gt;=TODAY(),J86&lt;TODAY()+5,MOD(TODAY()+5-J86,I86)=0))),ROW(),""),"")</f>
        <v/>
      </c>
      <c r="U86" s="27">
        <f>IFERROR(IF(AND(A86&lt;&gt;"",H86&lt;&gt;"No",I86&lt;&gt;"",OR('Hoy'!$B$3='Ajustes'!$D$5,F86='Hoy'!$B$3),OR(J86=TODAY()+6,AND(I86&lt;=7,J86&gt;=TODAY(),J86&lt;TODAY()+6,MOD(TODAY()+6-J86,I86)=0))),ROW(),""),"")</f>
        <v/>
      </c>
    </row>
    <row r="87">
      <c r="A87" s="6" t="n"/>
      <c r="B87" s="6" t="n"/>
      <c r="C87" s="28" t="n"/>
      <c r="D87" s="6" t="n"/>
      <c r="E87" s="28" t="n"/>
      <c r="F87" s="6" t="n"/>
      <c r="G87" s="6" t="n"/>
      <c r="H87" s="29" t="inlineStr">
        <is>
          <t>Sí</t>
        </is>
      </c>
      <c r="I87" s="30">
        <f>IFERROR(IF(OR(A87="",C87=""),"",C87*INDEX('Ajustes'!$I$5:$I$8,MATCH(D87,'Ajustes'!$H$5:$H$8,0))),"")</f>
        <v/>
      </c>
      <c r="J87" s="31">
        <f>IFERROR(IF(I87="","",IF(G87="",IF('Ajustes'!$B$5="",TODAY(),'Ajustes'!$B$5)+MOD(ROW()*13,I87),IF(D87='Ajustes'!$H$7,EDATE(G87,C87),IF(D87='Ajustes'!$H$8,EDATE(G87,12*C87),G87+I87)))),"")</f>
        <v/>
      </c>
      <c r="K87" s="30">
        <f>IF(J87="","",J87-TODAY())</f>
        <v/>
      </c>
      <c r="L87" s="32">
        <f>IF(A87="","",IF(H87="No","Pausada",IF(K87="","",IF(K87&lt;0,"Atrasada",IF(K87=0,"Hoy",IF(K87&lt;=7,"Esta semana","Más adelante"))))))</f>
        <v/>
      </c>
      <c r="M87" s="27">
        <f>IFERROR(IF(AND(OR(L87="Atrasada",L87="Hoy",L87="Esta semana"),OR('Hoy'!$B$3='Ajustes'!$D$5,F87='Hoy'!$B$3)),K87+ROW()/100000,""),"")</f>
        <v/>
      </c>
      <c r="N87" s="27">
        <f>IF(OR(A87="",H87="No",I87=""),0,E87*7/I87)</f>
        <v/>
      </c>
      <c r="O87" s="27">
        <f>IFERROR(IF(AND(A87&lt;&gt;"",H87&lt;&gt;"No",I87&lt;&gt;"",OR('Hoy'!$B$3='Ajustes'!$D$5,F87='Hoy'!$B$3),J87&lt;=TODAY()),ROW(),""),"")</f>
        <v/>
      </c>
      <c r="P87" s="27">
        <f>IFERROR(IF(AND(A87&lt;&gt;"",H87&lt;&gt;"No",I87&lt;&gt;"",OR('Hoy'!$B$3='Ajustes'!$D$5,F87='Hoy'!$B$3),OR(J87=TODAY()+1,AND(I87&lt;=7,J87&gt;=TODAY(),J87&lt;TODAY()+1,MOD(TODAY()+1-J87,I87)=0))),ROW(),""),"")</f>
        <v/>
      </c>
      <c r="Q87" s="27">
        <f>IFERROR(IF(AND(A87&lt;&gt;"",H87&lt;&gt;"No",I87&lt;&gt;"",OR('Hoy'!$B$3='Ajustes'!$D$5,F87='Hoy'!$B$3),OR(J87=TODAY()+2,AND(I87&lt;=7,J87&gt;=TODAY(),J87&lt;TODAY()+2,MOD(TODAY()+2-J87,I87)=0))),ROW(),""),"")</f>
        <v/>
      </c>
      <c r="R87" s="27">
        <f>IFERROR(IF(AND(A87&lt;&gt;"",H87&lt;&gt;"No",I87&lt;&gt;"",OR('Hoy'!$B$3='Ajustes'!$D$5,F87='Hoy'!$B$3),OR(J87=TODAY()+3,AND(I87&lt;=7,J87&gt;=TODAY(),J87&lt;TODAY()+3,MOD(TODAY()+3-J87,I87)=0))),ROW(),""),"")</f>
        <v/>
      </c>
      <c r="S87" s="27">
        <f>IFERROR(IF(AND(A87&lt;&gt;"",H87&lt;&gt;"No",I87&lt;&gt;"",OR('Hoy'!$B$3='Ajustes'!$D$5,F87='Hoy'!$B$3),OR(J87=TODAY()+4,AND(I87&lt;=7,J87&gt;=TODAY(),J87&lt;TODAY()+4,MOD(TODAY()+4-J87,I87)=0))),ROW(),""),"")</f>
        <v/>
      </c>
      <c r="T87" s="27">
        <f>IFERROR(IF(AND(A87&lt;&gt;"",H87&lt;&gt;"No",I87&lt;&gt;"",OR('Hoy'!$B$3='Ajustes'!$D$5,F87='Hoy'!$B$3),OR(J87=TODAY()+5,AND(I87&lt;=7,J87&gt;=TODAY(),J87&lt;TODAY()+5,MOD(TODAY()+5-J87,I87)=0))),ROW(),""),"")</f>
        <v/>
      </c>
      <c r="U87" s="27">
        <f>IFERROR(IF(AND(A87&lt;&gt;"",H87&lt;&gt;"No",I87&lt;&gt;"",OR('Hoy'!$B$3='Ajustes'!$D$5,F87='Hoy'!$B$3),OR(J87=TODAY()+6,AND(I87&lt;=7,J87&gt;=TODAY(),J87&lt;TODAY()+6,MOD(TODAY()+6-J87,I87)=0))),ROW(),""),"")</f>
        <v/>
      </c>
    </row>
    <row r="88">
      <c r="A88" s="6" t="n"/>
      <c r="B88" s="6" t="n"/>
      <c r="C88" s="28" t="n"/>
      <c r="D88" s="6" t="n"/>
      <c r="E88" s="28" t="n"/>
      <c r="F88" s="6" t="n"/>
      <c r="G88" s="6" t="n"/>
      <c r="H88" s="29" t="inlineStr">
        <is>
          <t>Sí</t>
        </is>
      </c>
      <c r="I88" s="30">
        <f>IFERROR(IF(OR(A88="",C88=""),"",C88*INDEX('Ajustes'!$I$5:$I$8,MATCH(D88,'Ajustes'!$H$5:$H$8,0))),"")</f>
        <v/>
      </c>
      <c r="J88" s="31">
        <f>IFERROR(IF(I88="","",IF(G88="",IF('Ajustes'!$B$5="",TODAY(),'Ajustes'!$B$5)+MOD(ROW()*13,I88),IF(D88='Ajustes'!$H$7,EDATE(G88,C88),IF(D88='Ajustes'!$H$8,EDATE(G88,12*C88),G88+I88)))),"")</f>
        <v/>
      </c>
      <c r="K88" s="30">
        <f>IF(J88="","",J88-TODAY())</f>
        <v/>
      </c>
      <c r="L88" s="32">
        <f>IF(A88="","",IF(H88="No","Pausada",IF(K88="","",IF(K88&lt;0,"Atrasada",IF(K88=0,"Hoy",IF(K88&lt;=7,"Esta semana","Más adelante"))))))</f>
        <v/>
      </c>
      <c r="M88" s="27">
        <f>IFERROR(IF(AND(OR(L88="Atrasada",L88="Hoy",L88="Esta semana"),OR('Hoy'!$B$3='Ajustes'!$D$5,F88='Hoy'!$B$3)),K88+ROW()/100000,""),"")</f>
        <v/>
      </c>
      <c r="N88" s="27">
        <f>IF(OR(A88="",H88="No",I88=""),0,E88*7/I88)</f>
        <v/>
      </c>
      <c r="O88" s="27">
        <f>IFERROR(IF(AND(A88&lt;&gt;"",H88&lt;&gt;"No",I88&lt;&gt;"",OR('Hoy'!$B$3='Ajustes'!$D$5,F88='Hoy'!$B$3),J88&lt;=TODAY()),ROW(),""),"")</f>
        <v/>
      </c>
      <c r="P88" s="27">
        <f>IFERROR(IF(AND(A88&lt;&gt;"",H88&lt;&gt;"No",I88&lt;&gt;"",OR('Hoy'!$B$3='Ajustes'!$D$5,F88='Hoy'!$B$3),OR(J88=TODAY()+1,AND(I88&lt;=7,J88&gt;=TODAY(),J88&lt;TODAY()+1,MOD(TODAY()+1-J88,I88)=0))),ROW(),""),"")</f>
        <v/>
      </c>
      <c r="Q88" s="27">
        <f>IFERROR(IF(AND(A88&lt;&gt;"",H88&lt;&gt;"No",I88&lt;&gt;"",OR('Hoy'!$B$3='Ajustes'!$D$5,F88='Hoy'!$B$3),OR(J88=TODAY()+2,AND(I88&lt;=7,J88&gt;=TODAY(),J88&lt;TODAY()+2,MOD(TODAY()+2-J88,I88)=0))),ROW(),""),"")</f>
        <v/>
      </c>
      <c r="R88" s="27">
        <f>IFERROR(IF(AND(A88&lt;&gt;"",H88&lt;&gt;"No",I88&lt;&gt;"",OR('Hoy'!$B$3='Ajustes'!$D$5,F88='Hoy'!$B$3),OR(J88=TODAY()+3,AND(I88&lt;=7,J88&gt;=TODAY(),J88&lt;TODAY()+3,MOD(TODAY()+3-J88,I88)=0))),ROW(),""),"")</f>
        <v/>
      </c>
      <c r="S88" s="27">
        <f>IFERROR(IF(AND(A88&lt;&gt;"",H88&lt;&gt;"No",I88&lt;&gt;"",OR('Hoy'!$B$3='Ajustes'!$D$5,F88='Hoy'!$B$3),OR(J88=TODAY()+4,AND(I88&lt;=7,J88&gt;=TODAY(),J88&lt;TODAY()+4,MOD(TODAY()+4-J88,I88)=0))),ROW(),""),"")</f>
        <v/>
      </c>
      <c r="T88" s="27">
        <f>IFERROR(IF(AND(A88&lt;&gt;"",H88&lt;&gt;"No",I88&lt;&gt;"",OR('Hoy'!$B$3='Ajustes'!$D$5,F88='Hoy'!$B$3),OR(J88=TODAY()+5,AND(I88&lt;=7,J88&gt;=TODAY(),J88&lt;TODAY()+5,MOD(TODAY()+5-J88,I88)=0))),ROW(),""),"")</f>
        <v/>
      </c>
      <c r="U88" s="27">
        <f>IFERROR(IF(AND(A88&lt;&gt;"",H88&lt;&gt;"No",I88&lt;&gt;"",OR('Hoy'!$B$3='Ajustes'!$D$5,F88='Hoy'!$B$3),OR(J88=TODAY()+6,AND(I88&lt;=7,J88&gt;=TODAY(),J88&lt;TODAY()+6,MOD(TODAY()+6-J88,I88)=0))),ROW(),""),"")</f>
        <v/>
      </c>
    </row>
    <row r="89">
      <c r="A89" s="6" t="n"/>
      <c r="B89" s="6" t="n"/>
      <c r="C89" s="28" t="n"/>
      <c r="D89" s="6" t="n"/>
      <c r="E89" s="28" t="n"/>
      <c r="F89" s="6" t="n"/>
      <c r="G89" s="6" t="n"/>
      <c r="H89" s="29" t="inlineStr">
        <is>
          <t>Sí</t>
        </is>
      </c>
      <c r="I89" s="30">
        <f>IFERROR(IF(OR(A89="",C89=""),"",C89*INDEX('Ajustes'!$I$5:$I$8,MATCH(D89,'Ajustes'!$H$5:$H$8,0))),"")</f>
        <v/>
      </c>
      <c r="J89" s="31">
        <f>IFERROR(IF(I89="","",IF(G89="",IF('Ajustes'!$B$5="",TODAY(),'Ajustes'!$B$5)+MOD(ROW()*13,I89),IF(D89='Ajustes'!$H$7,EDATE(G89,C89),IF(D89='Ajustes'!$H$8,EDATE(G89,12*C89),G89+I89)))),"")</f>
        <v/>
      </c>
      <c r="K89" s="30">
        <f>IF(J89="","",J89-TODAY())</f>
        <v/>
      </c>
      <c r="L89" s="32">
        <f>IF(A89="","",IF(H89="No","Pausada",IF(K89="","",IF(K89&lt;0,"Atrasada",IF(K89=0,"Hoy",IF(K89&lt;=7,"Esta semana","Más adelante"))))))</f>
        <v/>
      </c>
      <c r="M89" s="27">
        <f>IFERROR(IF(AND(OR(L89="Atrasada",L89="Hoy",L89="Esta semana"),OR('Hoy'!$B$3='Ajustes'!$D$5,F89='Hoy'!$B$3)),K89+ROW()/100000,""),"")</f>
        <v/>
      </c>
      <c r="N89" s="27">
        <f>IF(OR(A89="",H89="No",I89=""),0,E89*7/I89)</f>
        <v/>
      </c>
      <c r="O89" s="27">
        <f>IFERROR(IF(AND(A89&lt;&gt;"",H89&lt;&gt;"No",I89&lt;&gt;"",OR('Hoy'!$B$3='Ajustes'!$D$5,F89='Hoy'!$B$3),J89&lt;=TODAY()),ROW(),""),"")</f>
        <v/>
      </c>
      <c r="P89" s="27">
        <f>IFERROR(IF(AND(A89&lt;&gt;"",H89&lt;&gt;"No",I89&lt;&gt;"",OR('Hoy'!$B$3='Ajustes'!$D$5,F89='Hoy'!$B$3),OR(J89=TODAY()+1,AND(I89&lt;=7,J89&gt;=TODAY(),J89&lt;TODAY()+1,MOD(TODAY()+1-J89,I89)=0))),ROW(),""),"")</f>
        <v/>
      </c>
      <c r="Q89" s="27">
        <f>IFERROR(IF(AND(A89&lt;&gt;"",H89&lt;&gt;"No",I89&lt;&gt;"",OR('Hoy'!$B$3='Ajustes'!$D$5,F89='Hoy'!$B$3),OR(J89=TODAY()+2,AND(I89&lt;=7,J89&gt;=TODAY(),J89&lt;TODAY()+2,MOD(TODAY()+2-J89,I89)=0))),ROW(),""),"")</f>
        <v/>
      </c>
      <c r="R89" s="27">
        <f>IFERROR(IF(AND(A89&lt;&gt;"",H89&lt;&gt;"No",I89&lt;&gt;"",OR('Hoy'!$B$3='Ajustes'!$D$5,F89='Hoy'!$B$3),OR(J89=TODAY()+3,AND(I89&lt;=7,J89&gt;=TODAY(),J89&lt;TODAY()+3,MOD(TODAY()+3-J89,I89)=0))),ROW(),""),"")</f>
        <v/>
      </c>
      <c r="S89" s="27">
        <f>IFERROR(IF(AND(A89&lt;&gt;"",H89&lt;&gt;"No",I89&lt;&gt;"",OR('Hoy'!$B$3='Ajustes'!$D$5,F89='Hoy'!$B$3),OR(J89=TODAY()+4,AND(I89&lt;=7,J89&gt;=TODAY(),J89&lt;TODAY()+4,MOD(TODAY()+4-J89,I89)=0))),ROW(),""),"")</f>
        <v/>
      </c>
      <c r="T89" s="27">
        <f>IFERROR(IF(AND(A89&lt;&gt;"",H89&lt;&gt;"No",I89&lt;&gt;"",OR('Hoy'!$B$3='Ajustes'!$D$5,F89='Hoy'!$B$3),OR(J89=TODAY()+5,AND(I89&lt;=7,J89&gt;=TODAY(),J89&lt;TODAY()+5,MOD(TODAY()+5-J89,I89)=0))),ROW(),""),"")</f>
        <v/>
      </c>
      <c r="U89" s="27">
        <f>IFERROR(IF(AND(A89&lt;&gt;"",H89&lt;&gt;"No",I89&lt;&gt;"",OR('Hoy'!$B$3='Ajustes'!$D$5,F89='Hoy'!$B$3),OR(J89=TODAY()+6,AND(I89&lt;=7,J89&gt;=TODAY(),J89&lt;TODAY()+6,MOD(TODAY()+6-J89,I89)=0))),ROW(),""),"")</f>
        <v/>
      </c>
    </row>
    <row r="90">
      <c r="A90" s="6" t="n"/>
      <c r="B90" s="6" t="n"/>
      <c r="C90" s="28" t="n"/>
      <c r="D90" s="6" t="n"/>
      <c r="E90" s="28" t="n"/>
      <c r="F90" s="6" t="n"/>
      <c r="G90" s="6" t="n"/>
      <c r="H90" s="29" t="inlineStr">
        <is>
          <t>Sí</t>
        </is>
      </c>
      <c r="I90" s="30">
        <f>IFERROR(IF(OR(A90="",C90=""),"",C90*INDEX('Ajustes'!$I$5:$I$8,MATCH(D90,'Ajustes'!$H$5:$H$8,0))),"")</f>
        <v/>
      </c>
      <c r="J90" s="31">
        <f>IFERROR(IF(I90="","",IF(G90="",IF('Ajustes'!$B$5="",TODAY(),'Ajustes'!$B$5)+MOD(ROW()*13,I90),IF(D90='Ajustes'!$H$7,EDATE(G90,C90),IF(D90='Ajustes'!$H$8,EDATE(G90,12*C90),G90+I90)))),"")</f>
        <v/>
      </c>
      <c r="K90" s="30">
        <f>IF(J90="","",J90-TODAY())</f>
        <v/>
      </c>
      <c r="L90" s="32">
        <f>IF(A90="","",IF(H90="No","Pausada",IF(K90="","",IF(K90&lt;0,"Atrasada",IF(K90=0,"Hoy",IF(K90&lt;=7,"Esta semana","Más adelante"))))))</f>
        <v/>
      </c>
      <c r="M90" s="27">
        <f>IFERROR(IF(AND(OR(L90="Atrasada",L90="Hoy",L90="Esta semana"),OR('Hoy'!$B$3='Ajustes'!$D$5,F90='Hoy'!$B$3)),K90+ROW()/100000,""),"")</f>
        <v/>
      </c>
      <c r="N90" s="27">
        <f>IF(OR(A90="",H90="No",I90=""),0,E90*7/I90)</f>
        <v/>
      </c>
      <c r="O90" s="27">
        <f>IFERROR(IF(AND(A90&lt;&gt;"",H90&lt;&gt;"No",I90&lt;&gt;"",OR('Hoy'!$B$3='Ajustes'!$D$5,F90='Hoy'!$B$3),J90&lt;=TODAY()),ROW(),""),"")</f>
        <v/>
      </c>
      <c r="P90" s="27">
        <f>IFERROR(IF(AND(A90&lt;&gt;"",H90&lt;&gt;"No",I90&lt;&gt;"",OR('Hoy'!$B$3='Ajustes'!$D$5,F90='Hoy'!$B$3),OR(J90=TODAY()+1,AND(I90&lt;=7,J90&gt;=TODAY(),J90&lt;TODAY()+1,MOD(TODAY()+1-J90,I90)=0))),ROW(),""),"")</f>
        <v/>
      </c>
      <c r="Q90" s="27">
        <f>IFERROR(IF(AND(A90&lt;&gt;"",H90&lt;&gt;"No",I90&lt;&gt;"",OR('Hoy'!$B$3='Ajustes'!$D$5,F90='Hoy'!$B$3),OR(J90=TODAY()+2,AND(I90&lt;=7,J90&gt;=TODAY(),J90&lt;TODAY()+2,MOD(TODAY()+2-J90,I90)=0))),ROW(),""),"")</f>
        <v/>
      </c>
      <c r="R90" s="27">
        <f>IFERROR(IF(AND(A90&lt;&gt;"",H90&lt;&gt;"No",I90&lt;&gt;"",OR('Hoy'!$B$3='Ajustes'!$D$5,F90='Hoy'!$B$3),OR(J90=TODAY()+3,AND(I90&lt;=7,J90&gt;=TODAY(),J90&lt;TODAY()+3,MOD(TODAY()+3-J90,I90)=0))),ROW(),""),"")</f>
        <v/>
      </c>
      <c r="S90" s="27">
        <f>IFERROR(IF(AND(A90&lt;&gt;"",H90&lt;&gt;"No",I90&lt;&gt;"",OR('Hoy'!$B$3='Ajustes'!$D$5,F90='Hoy'!$B$3),OR(J90=TODAY()+4,AND(I90&lt;=7,J90&gt;=TODAY(),J90&lt;TODAY()+4,MOD(TODAY()+4-J90,I90)=0))),ROW(),""),"")</f>
        <v/>
      </c>
      <c r="T90" s="27">
        <f>IFERROR(IF(AND(A90&lt;&gt;"",H90&lt;&gt;"No",I90&lt;&gt;"",OR('Hoy'!$B$3='Ajustes'!$D$5,F90='Hoy'!$B$3),OR(J90=TODAY()+5,AND(I90&lt;=7,J90&gt;=TODAY(),J90&lt;TODAY()+5,MOD(TODAY()+5-J90,I90)=0))),ROW(),""),"")</f>
        <v/>
      </c>
      <c r="U90" s="27">
        <f>IFERROR(IF(AND(A90&lt;&gt;"",H90&lt;&gt;"No",I90&lt;&gt;"",OR('Hoy'!$B$3='Ajustes'!$D$5,F90='Hoy'!$B$3),OR(J90=TODAY()+6,AND(I90&lt;=7,J90&gt;=TODAY(),J90&lt;TODAY()+6,MOD(TODAY()+6-J90,I90)=0))),ROW(),""),"")</f>
        <v/>
      </c>
    </row>
    <row r="91">
      <c r="A91" s="6" t="n"/>
      <c r="B91" s="6" t="n"/>
      <c r="C91" s="28" t="n"/>
      <c r="D91" s="6" t="n"/>
      <c r="E91" s="28" t="n"/>
      <c r="F91" s="6" t="n"/>
      <c r="G91" s="6" t="n"/>
      <c r="H91" s="29" t="inlineStr">
        <is>
          <t>Sí</t>
        </is>
      </c>
      <c r="I91" s="30">
        <f>IFERROR(IF(OR(A91="",C91=""),"",C91*INDEX('Ajustes'!$I$5:$I$8,MATCH(D91,'Ajustes'!$H$5:$H$8,0))),"")</f>
        <v/>
      </c>
      <c r="J91" s="31">
        <f>IFERROR(IF(I91="","",IF(G91="",IF('Ajustes'!$B$5="",TODAY(),'Ajustes'!$B$5)+MOD(ROW()*13,I91),IF(D91='Ajustes'!$H$7,EDATE(G91,C91),IF(D91='Ajustes'!$H$8,EDATE(G91,12*C91),G91+I91)))),"")</f>
        <v/>
      </c>
      <c r="K91" s="30">
        <f>IF(J91="","",J91-TODAY())</f>
        <v/>
      </c>
      <c r="L91" s="32">
        <f>IF(A91="","",IF(H91="No","Pausada",IF(K91="","",IF(K91&lt;0,"Atrasada",IF(K91=0,"Hoy",IF(K91&lt;=7,"Esta semana","Más adelante"))))))</f>
        <v/>
      </c>
      <c r="M91" s="27">
        <f>IFERROR(IF(AND(OR(L91="Atrasada",L91="Hoy",L91="Esta semana"),OR('Hoy'!$B$3='Ajustes'!$D$5,F91='Hoy'!$B$3)),K91+ROW()/100000,""),"")</f>
        <v/>
      </c>
      <c r="N91" s="27">
        <f>IF(OR(A91="",H91="No",I91=""),0,E91*7/I91)</f>
        <v/>
      </c>
      <c r="O91" s="27">
        <f>IFERROR(IF(AND(A91&lt;&gt;"",H91&lt;&gt;"No",I91&lt;&gt;"",OR('Hoy'!$B$3='Ajustes'!$D$5,F91='Hoy'!$B$3),J91&lt;=TODAY()),ROW(),""),"")</f>
        <v/>
      </c>
      <c r="P91" s="27">
        <f>IFERROR(IF(AND(A91&lt;&gt;"",H91&lt;&gt;"No",I91&lt;&gt;"",OR('Hoy'!$B$3='Ajustes'!$D$5,F91='Hoy'!$B$3),OR(J91=TODAY()+1,AND(I91&lt;=7,J91&gt;=TODAY(),J91&lt;TODAY()+1,MOD(TODAY()+1-J91,I91)=0))),ROW(),""),"")</f>
        <v/>
      </c>
      <c r="Q91" s="27">
        <f>IFERROR(IF(AND(A91&lt;&gt;"",H91&lt;&gt;"No",I91&lt;&gt;"",OR('Hoy'!$B$3='Ajustes'!$D$5,F91='Hoy'!$B$3),OR(J91=TODAY()+2,AND(I91&lt;=7,J91&gt;=TODAY(),J91&lt;TODAY()+2,MOD(TODAY()+2-J91,I91)=0))),ROW(),""),"")</f>
        <v/>
      </c>
      <c r="R91" s="27">
        <f>IFERROR(IF(AND(A91&lt;&gt;"",H91&lt;&gt;"No",I91&lt;&gt;"",OR('Hoy'!$B$3='Ajustes'!$D$5,F91='Hoy'!$B$3),OR(J91=TODAY()+3,AND(I91&lt;=7,J91&gt;=TODAY(),J91&lt;TODAY()+3,MOD(TODAY()+3-J91,I91)=0))),ROW(),""),"")</f>
        <v/>
      </c>
      <c r="S91" s="27">
        <f>IFERROR(IF(AND(A91&lt;&gt;"",H91&lt;&gt;"No",I91&lt;&gt;"",OR('Hoy'!$B$3='Ajustes'!$D$5,F91='Hoy'!$B$3),OR(J91=TODAY()+4,AND(I91&lt;=7,J91&gt;=TODAY(),J91&lt;TODAY()+4,MOD(TODAY()+4-J91,I91)=0))),ROW(),""),"")</f>
        <v/>
      </c>
      <c r="T91" s="27">
        <f>IFERROR(IF(AND(A91&lt;&gt;"",H91&lt;&gt;"No",I91&lt;&gt;"",OR('Hoy'!$B$3='Ajustes'!$D$5,F91='Hoy'!$B$3),OR(J91=TODAY()+5,AND(I91&lt;=7,J91&gt;=TODAY(),J91&lt;TODAY()+5,MOD(TODAY()+5-J91,I91)=0))),ROW(),""),"")</f>
        <v/>
      </c>
      <c r="U91" s="27">
        <f>IFERROR(IF(AND(A91&lt;&gt;"",H91&lt;&gt;"No",I91&lt;&gt;"",OR('Hoy'!$B$3='Ajustes'!$D$5,F91='Hoy'!$B$3),OR(J91=TODAY()+6,AND(I91&lt;=7,J91&gt;=TODAY(),J91&lt;TODAY()+6,MOD(TODAY()+6-J91,I91)=0))),ROW(),""),"")</f>
        <v/>
      </c>
    </row>
    <row r="92">
      <c r="A92" s="6" t="n"/>
      <c r="B92" s="6" t="n"/>
      <c r="C92" s="28" t="n"/>
      <c r="D92" s="6" t="n"/>
      <c r="E92" s="28" t="n"/>
      <c r="F92" s="6" t="n"/>
      <c r="G92" s="6" t="n"/>
      <c r="H92" s="29" t="inlineStr">
        <is>
          <t>Sí</t>
        </is>
      </c>
      <c r="I92" s="30">
        <f>IFERROR(IF(OR(A92="",C92=""),"",C92*INDEX('Ajustes'!$I$5:$I$8,MATCH(D92,'Ajustes'!$H$5:$H$8,0))),"")</f>
        <v/>
      </c>
      <c r="J92" s="31">
        <f>IFERROR(IF(I92="","",IF(G92="",IF('Ajustes'!$B$5="",TODAY(),'Ajustes'!$B$5)+MOD(ROW()*13,I92),IF(D92='Ajustes'!$H$7,EDATE(G92,C92),IF(D92='Ajustes'!$H$8,EDATE(G92,12*C92),G92+I92)))),"")</f>
        <v/>
      </c>
      <c r="K92" s="30">
        <f>IF(J92="","",J92-TODAY())</f>
        <v/>
      </c>
      <c r="L92" s="32">
        <f>IF(A92="","",IF(H92="No","Pausada",IF(K92="","",IF(K92&lt;0,"Atrasada",IF(K92=0,"Hoy",IF(K92&lt;=7,"Esta semana","Más adelante"))))))</f>
        <v/>
      </c>
      <c r="M92" s="27">
        <f>IFERROR(IF(AND(OR(L92="Atrasada",L92="Hoy",L92="Esta semana"),OR('Hoy'!$B$3='Ajustes'!$D$5,F92='Hoy'!$B$3)),K92+ROW()/100000,""),"")</f>
        <v/>
      </c>
      <c r="N92" s="27">
        <f>IF(OR(A92="",H92="No",I92=""),0,E92*7/I92)</f>
        <v/>
      </c>
      <c r="O92" s="27">
        <f>IFERROR(IF(AND(A92&lt;&gt;"",H92&lt;&gt;"No",I92&lt;&gt;"",OR('Hoy'!$B$3='Ajustes'!$D$5,F92='Hoy'!$B$3),J92&lt;=TODAY()),ROW(),""),"")</f>
        <v/>
      </c>
      <c r="P92" s="27">
        <f>IFERROR(IF(AND(A92&lt;&gt;"",H92&lt;&gt;"No",I92&lt;&gt;"",OR('Hoy'!$B$3='Ajustes'!$D$5,F92='Hoy'!$B$3),OR(J92=TODAY()+1,AND(I92&lt;=7,J92&gt;=TODAY(),J92&lt;TODAY()+1,MOD(TODAY()+1-J92,I92)=0))),ROW(),""),"")</f>
        <v/>
      </c>
      <c r="Q92" s="27">
        <f>IFERROR(IF(AND(A92&lt;&gt;"",H92&lt;&gt;"No",I92&lt;&gt;"",OR('Hoy'!$B$3='Ajustes'!$D$5,F92='Hoy'!$B$3),OR(J92=TODAY()+2,AND(I92&lt;=7,J92&gt;=TODAY(),J92&lt;TODAY()+2,MOD(TODAY()+2-J92,I92)=0))),ROW(),""),"")</f>
        <v/>
      </c>
      <c r="R92" s="27">
        <f>IFERROR(IF(AND(A92&lt;&gt;"",H92&lt;&gt;"No",I92&lt;&gt;"",OR('Hoy'!$B$3='Ajustes'!$D$5,F92='Hoy'!$B$3),OR(J92=TODAY()+3,AND(I92&lt;=7,J92&gt;=TODAY(),J92&lt;TODAY()+3,MOD(TODAY()+3-J92,I92)=0))),ROW(),""),"")</f>
        <v/>
      </c>
      <c r="S92" s="27">
        <f>IFERROR(IF(AND(A92&lt;&gt;"",H92&lt;&gt;"No",I92&lt;&gt;"",OR('Hoy'!$B$3='Ajustes'!$D$5,F92='Hoy'!$B$3),OR(J92=TODAY()+4,AND(I92&lt;=7,J92&gt;=TODAY(),J92&lt;TODAY()+4,MOD(TODAY()+4-J92,I92)=0))),ROW(),""),"")</f>
        <v/>
      </c>
      <c r="T92" s="27">
        <f>IFERROR(IF(AND(A92&lt;&gt;"",H92&lt;&gt;"No",I92&lt;&gt;"",OR('Hoy'!$B$3='Ajustes'!$D$5,F92='Hoy'!$B$3),OR(J92=TODAY()+5,AND(I92&lt;=7,J92&gt;=TODAY(),J92&lt;TODAY()+5,MOD(TODAY()+5-J92,I92)=0))),ROW(),""),"")</f>
        <v/>
      </c>
      <c r="U92" s="27">
        <f>IFERROR(IF(AND(A92&lt;&gt;"",H92&lt;&gt;"No",I92&lt;&gt;"",OR('Hoy'!$B$3='Ajustes'!$D$5,F92='Hoy'!$B$3),OR(J92=TODAY()+6,AND(I92&lt;=7,J92&gt;=TODAY(),J92&lt;TODAY()+6,MOD(TODAY()+6-J92,I92)=0))),ROW(),""),"")</f>
        <v/>
      </c>
    </row>
    <row r="93">
      <c r="A93" s="6" t="n"/>
      <c r="B93" s="6" t="n"/>
      <c r="C93" s="28" t="n"/>
      <c r="D93" s="6" t="n"/>
      <c r="E93" s="28" t="n"/>
      <c r="F93" s="6" t="n"/>
      <c r="G93" s="6" t="n"/>
      <c r="H93" s="29" t="inlineStr">
        <is>
          <t>Sí</t>
        </is>
      </c>
      <c r="I93" s="30">
        <f>IFERROR(IF(OR(A93="",C93=""),"",C93*INDEX('Ajustes'!$I$5:$I$8,MATCH(D93,'Ajustes'!$H$5:$H$8,0))),"")</f>
        <v/>
      </c>
      <c r="J93" s="31">
        <f>IFERROR(IF(I93="","",IF(G93="",IF('Ajustes'!$B$5="",TODAY(),'Ajustes'!$B$5)+MOD(ROW()*13,I93),IF(D93='Ajustes'!$H$7,EDATE(G93,C93),IF(D93='Ajustes'!$H$8,EDATE(G93,12*C93),G93+I93)))),"")</f>
        <v/>
      </c>
      <c r="K93" s="30">
        <f>IF(J93="","",J93-TODAY())</f>
        <v/>
      </c>
      <c r="L93" s="32">
        <f>IF(A93="","",IF(H93="No","Pausada",IF(K93="","",IF(K93&lt;0,"Atrasada",IF(K93=0,"Hoy",IF(K93&lt;=7,"Esta semana","Más adelante"))))))</f>
        <v/>
      </c>
      <c r="M93" s="27">
        <f>IFERROR(IF(AND(OR(L93="Atrasada",L93="Hoy",L93="Esta semana"),OR('Hoy'!$B$3='Ajustes'!$D$5,F93='Hoy'!$B$3)),K93+ROW()/100000,""),"")</f>
        <v/>
      </c>
      <c r="N93" s="27">
        <f>IF(OR(A93="",H93="No",I93=""),0,E93*7/I93)</f>
        <v/>
      </c>
      <c r="O93" s="27">
        <f>IFERROR(IF(AND(A93&lt;&gt;"",H93&lt;&gt;"No",I93&lt;&gt;"",OR('Hoy'!$B$3='Ajustes'!$D$5,F93='Hoy'!$B$3),J93&lt;=TODAY()),ROW(),""),"")</f>
        <v/>
      </c>
      <c r="P93" s="27">
        <f>IFERROR(IF(AND(A93&lt;&gt;"",H93&lt;&gt;"No",I93&lt;&gt;"",OR('Hoy'!$B$3='Ajustes'!$D$5,F93='Hoy'!$B$3),OR(J93=TODAY()+1,AND(I93&lt;=7,J93&gt;=TODAY(),J93&lt;TODAY()+1,MOD(TODAY()+1-J93,I93)=0))),ROW(),""),"")</f>
        <v/>
      </c>
      <c r="Q93" s="27">
        <f>IFERROR(IF(AND(A93&lt;&gt;"",H93&lt;&gt;"No",I93&lt;&gt;"",OR('Hoy'!$B$3='Ajustes'!$D$5,F93='Hoy'!$B$3),OR(J93=TODAY()+2,AND(I93&lt;=7,J93&gt;=TODAY(),J93&lt;TODAY()+2,MOD(TODAY()+2-J93,I93)=0))),ROW(),""),"")</f>
        <v/>
      </c>
      <c r="R93" s="27">
        <f>IFERROR(IF(AND(A93&lt;&gt;"",H93&lt;&gt;"No",I93&lt;&gt;"",OR('Hoy'!$B$3='Ajustes'!$D$5,F93='Hoy'!$B$3),OR(J93=TODAY()+3,AND(I93&lt;=7,J93&gt;=TODAY(),J93&lt;TODAY()+3,MOD(TODAY()+3-J93,I93)=0))),ROW(),""),"")</f>
        <v/>
      </c>
      <c r="S93" s="27">
        <f>IFERROR(IF(AND(A93&lt;&gt;"",H93&lt;&gt;"No",I93&lt;&gt;"",OR('Hoy'!$B$3='Ajustes'!$D$5,F93='Hoy'!$B$3),OR(J93=TODAY()+4,AND(I93&lt;=7,J93&gt;=TODAY(),J93&lt;TODAY()+4,MOD(TODAY()+4-J93,I93)=0))),ROW(),""),"")</f>
        <v/>
      </c>
      <c r="T93" s="27">
        <f>IFERROR(IF(AND(A93&lt;&gt;"",H93&lt;&gt;"No",I93&lt;&gt;"",OR('Hoy'!$B$3='Ajustes'!$D$5,F93='Hoy'!$B$3),OR(J93=TODAY()+5,AND(I93&lt;=7,J93&gt;=TODAY(),J93&lt;TODAY()+5,MOD(TODAY()+5-J93,I93)=0))),ROW(),""),"")</f>
        <v/>
      </c>
      <c r="U93" s="27">
        <f>IFERROR(IF(AND(A93&lt;&gt;"",H93&lt;&gt;"No",I93&lt;&gt;"",OR('Hoy'!$B$3='Ajustes'!$D$5,F93='Hoy'!$B$3),OR(J93=TODAY()+6,AND(I93&lt;=7,J93&gt;=TODAY(),J93&lt;TODAY()+6,MOD(TODAY()+6-J93,I93)=0))),ROW(),""),"")</f>
        <v/>
      </c>
    </row>
    <row r="94">
      <c r="A94" s="6" t="n"/>
      <c r="B94" s="6" t="n"/>
      <c r="C94" s="28" t="n"/>
      <c r="D94" s="6" t="n"/>
      <c r="E94" s="28" t="n"/>
      <c r="F94" s="6" t="n"/>
      <c r="G94" s="6" t="n"/>
      <c r="H94" s="29" t="inlineStr">
        <is>
          <t>Sí</t>
        </is>
      </c>
      <c r="I94" s="30">
        <f>IFERROR(IF(OR(A94="",C94=""),"",C94*INDEX('Ajustes'!$I$5:$I$8,MATCH(D94,'Ajustes'!$H$5:$H$8,0))),"")</f>
        <v/>
      </c>
      <c r="J94" s="31">
        <f>IFERROR(IF(I94="","",IF(G94="",IF('Ajustes'!$B$5="",TODAY(),'Ajustes'!$B$5)+MOD(ROW()*13,I94),IF(D94='Ajustes'!$H$7,EDATE(G94,C94),IF(D94='Ajustes'!$H$8,EDATE(G94,12*C94),G94+I94)))),"")</f>
        <v/>
      </c>
      <c r="K94" s="30">
        <f>IF(J94="","",J94-TODAY())</f>
        <v/>
      </c>
      <c r="L94" s="32">
        <f>IF(A94="","",IF(H94="No","Pausada",IF(K94="","",IF(K94&lt;0,"Atrasada",IF(K94=0,"Hoy",IF(K94&lt;=7,"Esta semana","Más adelante"))))))</f>
        <v/>
      </c>
      <c r="M94" s="27">
        <f>IFERROR(IF(AND(OR(L94="Atrasada",L94="Hoy",L94="Esta semana"),OR('Hoy'!$B$3='Ajustes'!$D$5,F94='Hoy'!$B$3)),K94+ROW()/100000,""),"")</f>
        <v/>
      </c>
      <c r="N94" s="27">
        <f>IF(OR(A94="",H94="No",I94=""),0,E94*7/I94)</f>
        <v/>
      </c>
      <c r="O94" s="27">
        <f>IFERROR(IF(AND(A94&lt;&gt;"",H94&lt;&gt;"No",I94&lt;&gt;"",OR('Hoy'!$B$3='Ajustes'!$D$5,F94='Hoy'!$B$3),J94&lt;=TODAY()),ROW(),""),"")</f>
        <v/>
      </c>
      <c r="P94" s="27">
        <f>IFERROR(IF(AND(A94&lt;&gt;"",H94&lt;&gt;"No",I94&lt;&gt;"",OR('Hoy'!$B$3='Ajustes'!$D$5,F94='Hoy'!$B$3),OR(J94=TODAY()+1,AND(I94&lt;=7,J94&gt;=TODAY(),J94&lt;TODAY()+1,MOD(TODAY()+1-J94,I94)=0))),ROW(),""),"")</f>
        <v/>
      </c>
      <c r="Q94" s="27">
        <f>IFERROR(IF(AND(A94&lt;&gt;"",H94&lt;&gt;"No",I94&lt;&gt;"",OR('Hoy'!$B$3='Ajustes'!$D$5,F94='Hoy'!$B$3),OR(J94=TODAY()+2,AND(I94&lt;=7,J94&gt;=TODAY(),J94&lt;TODAY()+2,MOD(TODAY()+2-J94,I94)=0))),ROW(),""),"")</f>
        <v/>
      </c>
      <c r="R94" s="27">
        <f>IFERROR(IF(AND(A94&lt;&gt;"",H94&lt;&gt;"No",I94&lt;&gt;"",OR('Hoy'!$B$3='Ajustes'!$D$5,F94='Hoy'!$B$3),OR(J94=TODAY()+3,AND(I94&lt;=7,J94&gt;=TODAY(),J94&lt;TODAY()+3,MOD(TODAY()+3-J94,I94)=0))),ROW(),""),"")</f>
        <v/>
      </c>
      <c r="S94" s="27">
        <f>IFERROR(IF(AND(A94&lt;&gt;"",H94&lt;&gt;"No",I94&lt;&gt;"",OR('Hoy'!$B$3='Ajustes'!$D$5,F94='Hoy'!$B$3),OR(J94=TODAY()+4,AND(I94&lt;=7,J94&gt;=TODAY(),J94&lt;TODAY()+4,MOD(TODAY()+4-J94,I94)=0))),ROW(),""),"")</f>
        <v/>
      </c>
      <c r="T94" s="27">
        <f>IFERROR(IF(AND(A94&lt;&gt;"",H94&lt;&gt;"No",I94&lt;&gt;"",OR('Hoy'!$B$3='Ajustes'!$D$5,F94='Hoy'!$B$3),OR(J94=TODAY()+5,AND(I94&lt;=7,J94&gt;=TODAY(),J94&lt;TODAY()+5,MOD(TODAY()+5-J94,I94)=0))),ROW(),""),"")</f>
        <v/>
      </c>
      <c r="U94" s="27">
        <f>IFERROR(IF(AND(A94&lt;&gt;"",H94&lt;&gt;"No",I94&lt;&gt;"",OR('Hoy'!$B$3='Ajustes'!$D$5,F94='Hoy'!$B$3),OR(J94=TODAY()+6,AND(I94&lt;=7,J94&gt;=TODAY(),J94&lt;TODAY()+6,MOD(TODAY()+6-J94,I94)=0))),ROW(),""),"")</f>
        <v/>
      </c>
    </row>
    <row r="95">
      <c r="A95" s="6" t="n"/>
      <c r="B95" s="6" t="n"/>
      <c r="C95" s="28" t="n"/>
      <c r="D95" s="6" t="n"/>
      <c r="E95" s="28" t="n"/>
      <c r="F95" s="6" t="n"/>
      <c r="G95" s="6" t="n"/>
      <c r="H95" s="29" t="inlineStr">
        <is>
          <t>Sí</t>
        </is>
      </c>
      <c r="I95" s="30">
        <f>IFERROR(IF(OR(A95="",C95=""),"",C95*INDEX('Ajustes'!$I$5:$I$8,MATCH(D95,'Ajustes'!$H$5:$H$8,0))),"")</f>
        <v/>
      </c>
      <c r="J95" s="31">
        <f>IFERROR(IF(I95="","",IF(G95="",IF('Ajustes'!$B$5="",TODAY(),'Ajustes'!$B$5)+MOD(ROW()*13,I95),IF(D95='Ajustes'!$H$7,EDATE(G95,C95),IF(D95='Ajustes'!$H$8,EDATE(G95,12*C95),G95+I95)))),"")</f>
        <v/>
      </c>
      <c r="K95" s="30">
        <f>IF(J95="","",J95-TODAY())</f>
        <v/>
      </c>
      <c r="L95" s="32">
        <f>IF(A95="","",IF(H95="No","Pausada",IF(K95="","",IF(K95&lt;0,"Atrasada",IF(K95=0,"Hoy",IF(K95&lt;=7,"Esta semana","Más adelante"))))))</f>
        <v/>
      </c>
      <c r="M95" s="27">
        <f>IFERROR(IF(AND(OR(L95="Atrasada",L95="Hoy",L95="Esta semana"),OR('Hoy'!$B$3='Ajustes'!$D$5,F95='Hoy'!$B$3)),K95+ROW()/100000,""),"")</f>
        <v/>
      </c>
      <c r="N95" s="27">
        <f>IF(OR(A95="",H95="No",I95=""),0,E95*7/I95)</f>
        <v/>
      </c>
      <c r="O95" s="27">
        <f>IFERROR(IF(AND(A95&lt;&gt;"",H95&lt;&gt;"No",I95&lt;&gt;"",OR('Hoy'!$B$3='Ajustes'!$D$5,F95='Hoy'!$B$3),J95&lt;=TODAY()),ROW(),""),"")</f>
        <v/>
      </c>
      <c r="P95" s="27">
        <f>IFERROR(IF(AND(A95&lt;&gt;"",H95&lt;&gt;"No",I95&lt;&gt;"",OR('Hoy'!$B$3='Ajustes'!$D$5,F95='Hoy'!$B$3),OR(J95=TODAY()+1,AND(I95&lt;=7,J95&gt;=TODAY(),J95&lt;TODAY()+1,MOD(TODAY()+1-J95,I95)=0))),ROW(),""),"")</f>
        <v/>
      </c>
      <c r="Q95" s="27">
        <f>IFERROR(IF(AND(A95&lt;&gt;"",H95&lt;&gt;"No",I95&lt;&gt;"",OR('Hoy'!$B$3='Ajustes'!$D$5,F95='Hoy'!$B$3),OR(J95=TODAY()+2,AND(I95&lt;=7,J95&gt;=TODAY(),J95&lt;TODAY()+2,MOD(TODAY()+2-J95,I95)=0))),ROW(),""),"")</f>
        <v/>
      </c>
      <c r="R95" s="27">
        <f>IFERROR(IF(AND(A95&lt;&gt;"",H95&lt;&gt;"No",I95&lt;&gt;"",OR('Hoy'!$B$3='Ajustes'!$D$5,F95='Hoy'!$B$3),OR(J95=TODAY()+3,AND(I95&lt;=7,J95&gt;=TODAY(),J95&lt;TODAY()+3,MOD(TODAY()+3-J95,I95)=0))),ROW(),""),"")</f>
        <v/>
      </c>
      <c r="S95" s="27">
        <f>IFERROR(IF(AND(A95&lt;&gt;"",H95&lt;&gt;"No",I95&lt;&gt;"",OR('Hoy'!$B$3='Ajustes'!$D$5,F95='Hoy'!$B$3),OR(J95=TODAY()+4,AND(I95&lt;=7,J95&gt;=TODAY(),J95&lt;TODAY()+4,MOD(TODAY()+4-J95,I95)=0))),ROW(),""),"")</f>
        <v/>
      </c>
      <c r="T95" s="27">
        <f>IFERROR(IF(AND(A95&lt;&gt;"",H95&lt;&gt;"No",I95&lt;&gt;"",OR('Hoy'!$B$3='Ajustes'!$D$5,F95='Hoy'!$B$3),OR(J95=TODAY()+5,AND(I95&lt;=7,J95&gt;=TODAY(),J95&lt;TODAY()+5,MOD(TODAY()+5-J95,I95)=0))),ROW(),""),"")</f>
        <v/>
      </c>
      <c r="U95" s="27">
        <f>IFERROR(IF(AND(A95&lt;&gt;"",H95&lt;&gt;"No",I95&lt;&gt;"",OR('Hoy'!$B$3='Ajustes'!$D$5,F95='Hoy'!$B$3),OR(J95=TODAY()+6,AND(I95&lt;=7,J95&gt;=TODAY(),J95&lt;TODAY()+6,MOD(TODAY()+6-J95,I95)=0))),ROW(),""),"")</f>
        <v/>
      </c>
    </row>
    <row r="96">
      <c r="A96" s="6" t="n"/>
      <c r="B96" s="6" t="n"/>
      <c r="C96" s="28" t="n"/>
      <c r="D96" s="6" t="n"/>
      <c r="E96" s="28" t="n"/>
      <c r="F96" s="6" t="n"/>
      <c r="G96" s="6" t="n"/>
      <c r="H96" s="29" t="inlineStr">
        <is>
          <t>Sí</t>
        </is>
      </c>
      <c r="I96" s="30">
        <f>IFERROR(IF(OR(A96="",C96=""),"",C96*INDEX('Ajustes'!$I$5:$I$8,MATCH(D96,'Ajustes'!$H$5:$H$8,0))),"")</f>
        <v/>
      </c>
      <c r="J96" s="31">
        <f>IFERROR(IF(I96="","",IF(G96="",IF('Ajustes'!$B$5="",TODAY(),'Ajustes'!$B$5)+MOD(ROW()*13,I96),IF(D96='Ajustes'!$H$7,EDATE(G96,C96),IF(D96='Ajustes'!$H$8,EDATE(G96,12*C96),G96+I96)))),"")</f>
        <v/>
      </c>
      <c r="K96" s="30">
        <f>IF(J96="","",J96-TODAY())</f>
        <v/>
      </c>
      <c r="L96" s="32">
        <f>IF(A96="","",IF(H96="No","Pausada",IF(K96="","",IF(K96&lt;0,"Atrasada",IF(K96=0,"Hoy",IF(K96&lt;=7,"Esta semana","Más adelante"))))))</f>
        <v/>
      </c>
      <c r="M96" s="27">
        <f>IFERROR(IF(AND(OR(L96="Atrasada",L96="Hoy",L96="Esta semana"),OR('Hoy'!$B$3='Ajustes'!$D$5,F96='Hoy'!$B$3)),K96+ROW()/100000,""),"")</f>
        <v/>
      </c>
      <c r="N96" s="27">
        <f>IF(OR(A96="",H96="No",I96=""),0,E96*7/I96)</f>
        <v/>
      </c>
      <c r="O96" s="27">
        <f>IFERROR(IF(AND(A96&lt;&gt;"",H96&lt;&gt;"No",I96&lt;&gt;"",OR('Hoy'!$B$3='Ajustes'!$D$5,F96='Hoy'!$B$3),J96&lt;=TODAY()),ROW(),""),"")</f>
        <v/>
      </c>
      <c r="P96" s="27">
        <f>IFERROR(IF(AND(A96&lt;&gt;"",H96&lt;&gt;"No",I96&lt;&gt;"",OR('Hoy'!$B$3='Ajustes'!$D$5,F96='Hoy'!$B$3),OR(J96=TODAY()+1,AND(I96&lt;=7,J96&gt;=TODAY(),J96&lt;TODAY()+1,MOD(TODAY()+1-J96,I96)=0))),ROW(),""),"")</f>
        <v/>
      </c>
      <c r="Q96" s="27">
        <f>IFERROR(IF(AND(A96&lt;&gt;"",H96&lt;&gt;"No",I96&lt;&gt;"",OR('Hoy'!$B$3='Ajustes'!$D$5,F96='Hoy'!$B$3),OR(J96=TODAY()+2,AND(I96&lt;=7,J96&gt;=TODAY(),J96&lt;TODAY()+2,MOD(TODAY()+2-J96,I96)=0))),ROW(),""),"")</f>
        <v/>
      </c>
      <c r="R96" s="27">
        <f>IFERROR(IF(AND(A96&lt;&gt;"",H96&lt;&gt;"No",I96&lt;&gt;"",OR('Hoy'!$B$3='Ajustes'!$D$5,F96='Hoy'!$B$3),OR(J96=TODAY()+3,AND(I96&lt;=7,J96&gt;=TODAY(),J96&lt;TODAY()+3,MOD(TODAY()+3-J96,I96)=0))),ROW(),""),"")</f>
        <v/>
      </c>
      <c r="S96" s="27">
        <f>IFERROR(IF(AND(A96&lt;&gt;"",H96&lt;&gt;"No",I96&lt;&gt;"",OR('Hoy'!$B$3='Ajustes'!$D$5,F96='Hoy'!$B$3),OR(J96=TODAY()+4,AND(I96&lt;=7,J96&gt;=TODAY(),J96&lt;TODAY()+4,MOD(TODAY()+4-J96,I96)=0))),ROW(),""),"")</f>
        <v/>
      </c>
      <c r="T96" s="27">
        <f>IFERROR(IF(AND(A96&lt;&gt;"",H96&lt;&gt;"No",I96&lt;&gt;"",OR('Hoy'!$B$3='Ajustes'!$D$5,F96='Hoy'!$B$3),OR(J96=TODAY()+5,AND(I96&lt;=7,J96&gt;=TODAY(),J96&lt;TODAY()+5,MOD(TODAY()+5-J96,I96)=0))),ROW(),""),"")</f>
        <v/>
      </c>
      <c r="U96" s="27">
        <f>IFERROR(IF(AND(A96&lt;&gt;"",H96&lt;&gt;"No",I96&lt;&gt;"",OR('Hoy'!$B$3='Ajustes'!$D$5,F96='Hoy'!$B$3),OR(J96=TODAY()+6,AND(I96&lt;=7,J96&gt;=TODAY(),J96&lt;TODAY()+6,MOD(TODAY()+6-J96,I96)=0))),ROW(),""),"")</f>
        <v/>
      </c>
    </row>
    <row r="97">
      <c r="A97" s="6" t="n"/>
      <c r="B97" s="6" t="n"/>
      <c r="C97" s="28" t="n"/>
      <c r="D97" s="6" t="n"/>
      <c r="E97" s="28" t="n"/>
      <c r="F97" s="6" t="n"/>
      <c r="G97" s="6" t="n"/>
      <c r="H97" s="29" t="inlineStr">
        <is>
          <t>Sí</t>
        </is>
      </c>
      <c r="I97" s="30">
        <f>IFERROR(IF(OR(A97="",C97=""),"",C97*INDEX('Ajustes'!$I$5:$I$8,MATCH(D97,'Ajustes'!$H$5:$H$8,0))),"")</f>
        <v/>
      </c>
      <c r="J97" s="31">
        <f>IFERROR(IF(I97="","",IF(G97="",IF('Ajustes'!$B$5="",TODAY(),'Ajustes'!$B$5)+MOD(ROW()*13,I97),IF(D97='Ajustes'!$H$7,EDATE(G97,C97),IF(D97='Ajustes'!$H$8,EDATE(G97,12*C97),G97+I97)))),"")</f>
        <v/>
      </c>
      <c r="K97" s="30">
        <f>IF(J97="","",J97-TODAY())</f>
        <v/>
      </c>
      <c r="L97" s="32">
        <f>IF(A97="","",IF(H97="No","Pausada",IF(K97="","",IF(K97&lt;0,"Atrasada",IF(K97=0,"Hoy",IF(K97&lt;=7,"Esta semana","Más adelante"))))))</f>
        <v/>
      </c>
      <c r="M97" s="27">
        <f>IFERROR(IF(AND(OR(L97="Atrasada",L97="Hoy",L97="Esta semana"),OR('Hoy'!$B$3='Ajustes'!$D$5,F97='Hoy'!$B$3)),K97+ROW()/100000,""),"")</f>
        <v/>
      </c>
      <c r="N97" s="27">
        <f>IF(OR(A97="",H97="No",I97=""),0,E97*7/I97)</f>
        <v/>
      </c>
      <c r="O97" s="27">
        <f>IFERROR(IF(AND(A97&lt;&gt;"",H97&lt;&gt;"No",I97&lt;&gt;"",OR('Hoy'!$B$3='Ajustes'!$D$5,F97='Hoy'!$B$3),J97&lt;=TODAY()),ROW(),""),"")</f>
        <v/>
      </c>
      <c r="P97" s="27">
        <f>IFERROR(IF(AND(A97&lt;&gt;"",H97&lt;&gt;"No",I97&lt;&gt;"",OR('Hoy'!$B$3='Ajustes'!$D$5,F97='Hoy'!$B$3),OR(J97=TODAY()+1,AND(I97&lt;=7,J97&gt;=TODAY(),J97&lt;TODAY()+1,MOD(TODAY()+1-J97,I97)=0))),ROW(),""),"")</f>
        <v/>
      </c>
      <c r="Q97" s="27">
        <f>IFERROR(IF(AND(A97&lt;&gt;"",H97&lt;&gt;"No",I97&lt;&gt;"",OR('Hoy'!$B$3='Ajustes'!$D$5,F97='Hoy'!$B$3),OR(J97=TODAY()+2,AND(I97&lt;=7,J97&gt;=TODAY(),J97&lt;TODAY()+2,MOD(TODAY()+2-J97,I97)=0))),ROW(),""),"")</f>
        <v/>
      </c>
      <c r="R97" s="27">
        <f>IFERROR(IF(AND(A97&lt;&gt;"",H97&lt;&gt;"No",I97&lt;&gt;"",OR('Hoy'!$B$3='Ajustes'!$D$5,F97='Hoy'!$B$3),OR(J97=TODAY()+3,AND(I97&lt;=7,J97&gt;=TODAY(),J97&lt;TODAY()+3,MOD(TODAY()+3-J97,I97)=0))),ROW(),""),"")</f>
        <v/>
      </c>
      <c r="S97" s="27">
        <f>IFERROR(IF(AND(A97&lt;&gt;"",H97&lt;&gt;"No",I97&lt;&gt;"",OR('Hoy'!$B$3='Ajustes'!$D$5,F97='Hoy'!$B$3),OR(J97=TODAY()+4,AND(I97&lt;=7,J97&gt;=TODAY(),J97&lt;TODAY()+4,MOD(TODAY()+4-J97,I97)=0))),ROW(),""),"")</f>
        <v/>
      </c>
      <c r="T97" s="27">
        <f>IFERROR(IF(AND(A97&lt;&gt;"",H97&lt;&gt;"No",I97&lt;&gt;"",OR('Hoy'!$B$3='Ajustes'!$D$5,F97='Hoy'!$B$3),OR(J97=TODAY()+5,AND(I97&lt;=7,J97&gt;=TODAY(),J97&lt;TODAY()+5,MOD(TODAY()+5-J97,I97)=0))),ROW(),""),"")</f>
        <v/>
      </c>
      <c r="U97" s="27">
        <f>IFERROR(IF(AND(A97&lt;&gt;"",H97&lt;&gt;"No",I97&lt;&gt;"",OR('Hoy'!$B$3='Ajustes'!$D$5,F97='Hoy'!$B$3),OR(J97=TODAY()+6,AND(I97&lt;=7,J97&gt;=TODAY(),J97&lt;TODAY()+6,MOD(TODAY()+6-J97,I97)=0))),ROW(),""),"")</f>
        <v/>
      </c>
    </row>
    <row r="98">
      <c r="A98" s="6" t="n"/>
      <c r="B98" s="6" t="n"/>
      <c r="C98" s="28" t="n"/>
      <c r="D98" s="6" t="n"/>
      <c r="E98" s="28" t="n"/>
      <c r="F98" s="6" t="n"/>
      <c r="G98" s="6" t="n"/>
      <c r="H98" s="29" t="inlineStr">
        <is>
          <t>Sí</t>
        </is>
      </c>
      <c r="I98" s="30">
        <f>IFERROR(IF(OR(A98="",C98=""),"",C98*INDEX('Ajustes'!$I$5:$I$8,MATCH(D98,'Ajustes'!$H$5:$H$8,0))),"")</f>
        <v/>
      </c>
      <c r="J98" s="31">
        <f>IFERROR(IF(I98="","",IF(G98="",IF('Ajustes'!$B$5="",TODAY(),'Ajustes'!$B$5)+MOD(ROW()*13,I98),IF(D98='Ajustes'!$H$7,EDATE(G98,C98),IF(D98='Ajustes'!$H$8,EDATE(G98,12*C98),G98+I98)))),"")</f>
        <v/>
      </c>
      <c r="K98" s="30">
        <f>IF(J98="","",J98-TODAY())</f>
        <v/>
      </c>
      <c r="L98" s="32">
        <f>IF(A98="","",IF(H98="No","Pausada",IF(K98="","",IF(K98&lt;0,"Atrasada",IF(K98=0,"Hoy",IF(K98&lt;=7,"Esta semana","Más adelante"))))))</f>
        <v/>
      </c>
      <c r="M98" s="27">
        <f>IFERROR(IF(AND(OR(L98="Atrasada",L98="Hoy",L98="Esta semana"),OR('Hoy'!$B$3='Ajustes'!$D$5,F98='Hoy'!$B$3)),K98+ROW()/100000,""),"")</f>
        <v/>
      </c>
      <c r="N98" s="27">
        <f>IF(OR(A98="",H98="No",I98=""),0,E98*7/I98)</f>
        <v/>
      </c>
      <c r="O98" s="27">
        <f>IFERROR(IF(AND(A98&lt;&gt;"",H98&lt;&gt;"No",I98&lt;&gt;"",OR('Hoy'!$B$3='Ajustes'!$D$5,F98='Hoy'!$B$3),J98&lt;=TODAY()),ROW(),""),"")</f>
        <v/>
      </c>
      <c r="P98" s="27">
        <f>IFERROR(IF(AND(A98&lt;&gt;"",H98&lt;&gt;"No",I98&lt;&gt;"",OR('Hoy'!$B$3='Ajustes'!$D$5,F98='Hoy'!$B$3),OR(J98=TODAY()+1,AND(I98&lt;=7,J98&gt;=TODAY(),J98&lt;TODAY()+1,MOD(TODAY()+1-J98,I98)=0))),ROW(),""),"")</f>
        <v/>
      </c>
      <c r="Q98" s="27">
        <f>IFERROR(IF(AND(A98&lt;&gt;"",H98&lt;&gt;"No",I98&lt;&gt;"",OR('Hoy'!$B$3='Ajustes'!$D$5,F98='Hoy'!$B$3),OR(J98=TODAY()+2,AND(I98&lt;=7,J98&gt;=TODAY(),J98&lt;TODAY()+2,MOD(TODAY()+2-J98,I98)=0))),ROW(),""),"")</f>
        <v/>
      </c>
      <c r="R98" s="27">
        <f>IFERROR(IF(AND(A98&lt;&gt;"",H98&lt;&gt;"No",I98&lt;&gt;"",OR('Hoy'!$B$3='Ajustes'!$D$5,F98='Hoy'!$B$3),OR(J98=TODAY()+3,AND(I98&lt;=7,J98&gt;=TODAY(),J98&lt;TODAY()+3,MOD(TODAY()+3-J98,I98)=0))),ROW(),""),"")</f>
        <v/>
      </c>
      <c r="S98" s="27">
        <f>IFERROR(IF(AND(A98&lt;&gt;"",H98&lt;&gt;"No",I98&lt;&gt;"",OR('Hoy'!$B$3='Ajustes'!$D$5,F98='Hoy'!$B$3),OR(J98=TODAY()+4,AND(I98&lt;=7,J98&gt;=TODAY(),J98&lt;TODAY()+4,MOD(TODAY()+4-J98,I98)=0))),ROW(),""),"")</f>
        <v/>
      </c>
      <c r="T98" s="27">
        <f>IFERROR(IF(AND(A98&lt;&gt;"",H98&lt;&gt;"No",I98&lt;&gt;"",OR('Hoy'!$B$3='Ajustes'!$D$5,F98='Hoy'!$B$3),OR(J98=TODAY()+5,AND(I98&lt;=7,J98&gt;=TODAY(),J98&lt;TODAY()+5,MOD(TODAY()+5-J98,I98)=0))),ROW(),""),"")</f>
        <v/>
      </c>
      <c r="U98" s="27">
        <f>IFERROR(IF(AND(A98&lt;&gt;"",H98&lt;&gt;"No",I98&lt;&gt;"",OR('Hoy'!$B$3='Ajustes'!$D$5,F98='Hoy'!$B$3),OR(J98=TODAY()+6,AND(I98&lt;=7,J98&gt;=TODAY(),J98&lt;TODAY()+6,MOD(TODAY()+6-J98,I98)=0))),ROW(),""),"")</f>
        <v/>
      </c>
    </row>
    <row r="99">
      <c r="A99" s="6" t="n"/>
      <c r="B99" s="6" t="n"/>
      <c r="C99" s="28" t="n"/>
      <c r="D99" s="6" t="n"/>
      <c r="E99" s="28" t="n"/>
      <c r="F99" s="6" t="n"/>
      <c r="G99" s="6" t="n"/>
      <c r="H99" s="29" t="inlineStr">
        <is>
          <t>Sí</t>
        </is>
      </c>
      <c r="I99" s="30">
        <f>IFERROR(IF(OR(A99="",C99=""),"",C99*INDEX('Ajustes'!$I$5:$I$8,MATCH(D99,'Ajustes'!$H$5:$H$8,0))),"")</f>
        <v/>
      </c>
      <c r="J99" s="31">
        <f>IFERROR(IF(I99="","",IF(G99="",IF('Ajustes'!$B$5="",TODAY(),'Ajustes'!$B$5)+MOD(ROW()*13,I99),IF(D99='Ajustes'!$H$7,EDATE(G99,C99),IF(D99='Ajustes'!$H$8,EDATE(G99,12*C99),G99+I99)))),"")</f>
        <v/>
      </c>
      <c r="K99" s="30">
        <f>IF(J99="","",J99-TODAY())</f>
        <v/>
      </c>
      <c r="L99" s="32">
        <f>IF(A99="","",IF(H99="No","Pausada",IF(K99="","",IF(K99&lt;0,"Atrasada",IF(K99=0,"Hoy",IF(K99&lt;=7,"Esta semana","Más adelante"))))))</f>
        <v/>
      </c>
      <c r="M99" s="27">
        <f>IFERROR(IF(AND(OR(L99="Atrasada",L99="Hoy",L99="Esta semana"),OR('Hoy'!$B$3='Ajustes'!$D$5,F99='Hoy'!$B$3)),K99+ROW()/100000,""),"")</f>
        <v/>
      </c>
      <c r="N99" s="27">
        <f>IF(OR(A99="",H99="No",I99=""),0,E99*7/I99)</f>
        <v/>
      </c>
      <c r="O99" s="27">
        <f>IFERROR(IF(AND(A99&lt;&gt;"",H99&lt;&gt;"No",I99&lt;&gt;"",OR('Hoy'!$B$3='Ajustes'!$D$5,F99='Hoy'!$B$3),J99&lt;=TODAY()),ROW(),""),"")</f>
        <v/>
      </c>
      <c r="P99" s="27">
        <f>IFERROR(IF(AND(A99&lt;&gt;"",H99&lt;&gt;"No",I99&lt;&gt;"",OR('Hoy'!$B$3='Ajustes'!$D$5,F99='Hoy'!$B$3),OR(J99=TODAY()+1,AND(I99&lt;=7,J99&gt;=TODAY(),J99&lt;TODAY()+1,MOD(TODAY()+1-J99,I99)=0))),ROW(),""),"")</f>
        <v/>
      </c>
      <c r="Q99" s="27">
        <f>IFERROR(IF(AND(A99&lt;&gt;"",H99&lt;&gt;"No",I99&lt;&gt;"",OR('Hoy'!$B$3='Ajustes'!$D$5,F99='Hoy'!$B$3),OR(J99=TODAY()+2,AND(I99&lt;=7,J99&gt;=TODAY(),J99&lt;TODAY()+2,MOD(TODAY()+2-J99,I99)=0))),ROW(),""),"")</f>
        <v/>
      </c>
      <c r="R99" s="27">
        <f>IFERROR(IF(AND(A99&lt;&gt;"",H99&lt;&gt;"No",I99&lt;&gt;"",OR('Hoy'!$B$3='Ajustes'!$D$5,F99='Hoy'!$B$3),OR(J99=TODAY()+3,AND(I99&lt;=7,J99&gt;=TODAY(),J99&lt;TODAY()+3,MOD(TODAY()+3-J99,I99)=0))),ROW(),""),"")</f>
        <v/>
      </c>
      <c r="S99" s="27">
        <f>IFERROR(IF(AND(A99&lt;&gt;"",H99&lt;&gt;"No",I99&lt;&gt;"",OR('Hoy'!$B$3='Ajustes'!$D$5,F99='Hoy'!$B$3),OR(J99=TODAY()+4,AND(I99&lt;=7,J99&gt;=TODAY(),J99&lt;TODAY()+4,MOD(TODAY()+4-J99,I99)=0))),ROW(),""),"")</f>
        <v/>
      </c>
      <c r="T99" s="27">
        <f>IFERROR(IF(AND(A99&lt;&gt;"",H99&lt;&gt;"No",I99&lt;&gt;"",OR('Hoy'!$B$3='Ajustes'!$D$5,F99='Hoy'!$B$3),OR(J99=TODAY()+5,AND(I99&lt;=7,J99&gt;=TODAY(),J99&lt;TODAY()+5,MOD(TODAY()+5-J99,I99)=0))),ROW(),""),"")</f>
        <v/>
      </c>
      <c r="U99" s="27">
        <f>IFERROR(IF(AND(A99&lt;&gt;"",H99&lt;&gt;"No",I99&lt;&gt;"",OR('Hoy'!$B$3='Ajustes'!$D$5,F99='Hoy'!$B$3),OR(J99=TODAY()+6,AND(I99&lt;=7,J99&gt;=TODAY(),J99&lt;TODAY()+6,MOD(TODAY()+6-J99,I99)=0))),ROW(),""),"")</f>
        <v/>
      </c>
    </row>
    <row r="100">
      <c r="A100" s="6" t="n"/>
      <c r="B100" s="6" t="n"/>
      <c r="C100" s="28" t="n"/>
      <c r="D100" s="6" t="n"/>
      <c r="E100" s="28" t="n"/>
      <c r="F100" s="6" t="n"/>
      <c r="G100" s="6" t="n"/>
      <c r="H100" s="29" t="inlineStr">
        <is>
          <t>Sí</t>
        </is>
      </c>
      <c r="I100" s="30">
        <f>IFERROR(IF(OR(A100="",C100=""),"",C100*INDEX('Ajustes'!$I$5:$I$8,MATCH(D100,'Ajustes'!$H$5:$H$8,0))),"")</f>
        <v/>
      </c>
      <c r="J100" s="31">
        <f>IFERROR(IF(I100="","",IF(G100="",IF('Ajustes'!$B$5="",TODAY(),'Ajustes'!$B$5)+MOD(ROW()*13,I100),IF(D100='Ajustes'!$H$7,EDATE(G100,C100),IF(D100='Ajustes'!$H$8,EDATE(G100,12*C100),G100+I100)))),"")</f>
        <v/>
      </c>
      <c r="K100" s="30">
        <f>IF(J100="","",J100-TODAY())</f>
        <v/>
      </c>
      <c r="L100" s="32">
        <f>IF(A100="","",IF(H100="No","Pausada",IF(K100="","",IF(K100&lt;0,"Atrasada",IF(K100=0,"Hoy",IF(K100&lt;=7,"Esta semana","Más adelante"))))))</f>
        <v/>
      </c>
      <c r="M100" s="27">
        <f>IFERROR(IF(AND(OR(L100="Atrasada",L100="Hoy",L100="Esta semana"),OR('Hoy'!$B$3='Ajustes'!$D$5,F100='Hoy'!$B$3)),K100+ROW()/100000,""),"")</f>
        <v/>
      </c>
      <c r="N100" s="27">
        <f>IF(OR(A100="",H100="No",I100=""),0,E100*7/I100)</f>
        <v/>
      </c>
      <c r="O100" s="27">
        <f>IFERROR(IF(AND(A100&lt;&gt;"",H100&lt;&gt;"No",I100&lt;&gt;"",OR('Hoy'!$B$3='Ajustes'!$D$5,F100='Hoy'!$B$3),J100&lt;=TODAY()),ROW(),""),"")</f>
        <v/>
      </c>
      <c r="P100" s="27">
        <f>IFERROR(IF(AND(A100&lt;&gt;"",H100&lt;&gt;"No",I100&lt;&gt;"",OR('Hoy'!$B$3='Ajustes'!$D$5,F100='Hoy'!$B$3),OR(J100=TODAY()+1,AND(I100&lt;=7,J100&gt;=TODAY(),J100&lt;TODAY()+1,MOD(TODAY()+1-J100,I100)=0))),ROW(),""),"")</f>
        <v/>
      </c>
      <c r="Q100" s="27">
        <f>IFERROR(IF(AND(A100&lt;&gt;"",H100&lt;&gt;"No",I100&lt;&gt;"",OR('Hoy'!$B$3='Ajustes'!$D$5,F100='Hoy'!$B$3),OR(J100=TODAY()+2,AND(I100&lt;=7,J100&gt;=TODAY(),J100&lt;TODAY()+2,MOD(TODAY()+2-J100,I100)=0))),ROW(),""),"")</f>
        <v/>
      </c>
      <c r="R100" s="27">
        <f>IFERROR(IF(AND(A100&lt;&gt;"",H100&lt;&gt;"No",I100&lt;&gt;"",OR('Hoy'!$B$3='Ajustes'!$D$5,F100='Hoy'!$B$3),OR(J100=TODAY()+3,AND(I100&lt;=7,J100&gt;=TODAY(),J100&lt;TODAY()+3,MOD(TODAY()+3-J100,I100)=0))),ROW(),""),"")</f>
        <v/>
      </c>
      <c r="S100" s="27">
        <f>IFERROR(IF(AND(A100&lt;&gt;"",H100&lt;&gt;"No",I100&lt;&gt;"",OR('Hoy'!$B$3='Ajustes'!$D$5,F100='Hoy'!$B$3),OR(J100=TODAY()+4,AND(I100&lt;=7,J100&gt;=TODAY(),J100&lt;TODAY()+4,MOD(TODAY()+4-J100,I100)=0))),ROW(),""),"")</f>
        <v/>
      </c>
      <c r="T100" s="27">
        <f>IFERROR(IF(AND(A100&lt;&gt;"",H100&lt;&gt;"No",I100&lt;&gt;"",OR('Hoy'!$B$3='Ajustes'!$D$5,F100='Hoy'!$B$3),OR(J100=TODAY()+5,AND(I100&lt;=7,J100&gt;=TODAY(),J100&lt;TODAY()+5,MOD(TODAY()+5-J100,I100)=0))),ROW(),""),"")</f>
        <v/>
      </c>
      <c r="U100" s="27">
        <f>IFERROR(IF(AND(A100&lt;&gt;"",H100&lt;&gt;"No",I100&lt;&gt;"",OR('Hoy'!$B$3='Ajustes'!$D$5,F100='Hoy'!$B$3),OR(J100=TODAY()+6,AND(I100&lt;=7,J100&gt;=TODAY(),J100&lt;TODAY()+6,MOD(TODAY()+6-J100,I100)=0))),ROW(),""),"")</f>
        <v/>
      </c>
    </row>
    <row r="101">
      <c r="A101" s="6" t="n"/>
      <c r="B101" s="6" t="n"/>
      <c r="C101" s="28" t="n"/>
      <c r="D101" s="6" t="n"/>
      <c r="E101" s="28" t="n"/>
      <c r="F101" s="6" t="n"/>
      <c r="G101" s="6" t="n"/>
      <c r="H101" s="29" t="inlineStr">
        <is>
          <t>Sí</t>
        </is>
      </c>
      <c r="I101" s="30">
        <f>IFERROR(IF(OR(A101="",C101=""),"",C101*INDEX('Ajustes'!$I$5:$I$8,MATCH(D101,'Ajustes'!$H$5:$H$8,0))),"")</f>
        <v/>
      </c>
      <c r="J101" s="31">
        <f>IFERROR(IF(I101="","",IF(G101="",IF('Ajustes'!$B$5="",TODAY(),'Ajustes'!$B$5)+MOD(ROW()*13,I101),IF(D101='Ajustes'!$H$7,EDATE(G101,C101),IF(D101='Ajustes'!$H$8,EDATE(G101,12*C101),G101+I101)))),"")</f>
        <v/>
      </c>
      <c r="K101" s="30">
        <f>IF(J101="","",J101-TODAY())</f>
        <v/>
      </c>
      <c r="L101" s="32">
        <f>IF(A101="","",IF(H101="No","Pausada",IF(K101="","",IF(K101&lt;0,"Atrasada",IF(K101=0,"Hoy",IF(K101&lt;=7,"Esta semana","Más adelante"))))))</f>
        <v/>
      </c>
      <c r="M101" s="27">
        <f>IFERROR(IF(AND(OR(L101="Atrasada",L101="Hoy",L101="Esta semana"),OR('Hoy'!$B$3='Ajustes'!$D$5,F101='Hoy'!$B$3)),K101+ROW()/100000,""),"")</f>
        <v/>
      </c>
      <c r="N101" s="27">
        <f>IF(OR(A101="",H101="No",I101=""),0,E101*7/I101)</f>
        <v/>
      </c>
      <c r="O101" s="27">
        <f>IFERROR(IF(AND(A101&lt;&gt;"",H101&lt;&gt;"No",I101&lt;&gt;"",OR('Hoy'!$B$3='Ajustes'!$D$5,F101='Hoy'!$B$3),J101&lt;=TODAY()),ROW(),""),"")</f>
        <v/>
      </c>
      <c r="P101" s="27">
        <f>IFERROR(IF(AND(A101&lt;&gt;"",H101&lt;&gt;"No",I101&lt;&gt;"",OR('Hoy'!$B$3='Ajustes'!$D$5,F101='Hoy'!$B$3),OR(J101=TODAY()+1,AND(I101&lt;=7,J101&gt;=TODAY(),J101&lt;TODAY()+1,MOD(TODAY()+1-J101,I101)=0))),ROW(),""),"")</f>
        <v/>
      </c>
      <c r="Q101" s="27">
        <f>IFERROR(IF(AND(A101&lt;&gt;"",H101&lt;&gt;"No",I101&lt;&gt;"",OR('Hoy'!$B$3='Ajustes'!$D$5,F101='Hoy'!$B$3),OR(J101=TODAY()+2,AND(I101&lt;=7,J101&gt;=TODAY(),J101&lt;TODAY()+2,MOD(TODAY()+2-J101,I101)=0))),ROW(),""),"")</f>
        <v/>
      </c>
      <c r="R101" s="27">
        <f>IFERROR(IF(AND(A101&lt;&gt;"",H101&lt;&gt;"No",I101&lt;&gt;"",OR('Hoy'!$B$3='Ajustes'!$D$5,F101='Hoy'!$B$3),OR(J101=TODAY()+3,AND(I101&lt;=7,J101&gt;=TODAY(),J101&lt;TODAY()+3,MOD(TODAY()+3-J101,I101)=0))),ROW(),""),"")</f>
        <v/>
      </c>
      <c r="S101" s="27">
        <f>IFERROR(IF(AND(A101&lt;&gt;"",H101&lt;&gt;"No",I101&lt;&gt;"",OR('Hoy'!$B$3='Ajustes'!$D$5,F101='Hoy'!$B$3),OR(J101=TODAY()+4,AND(I101&lt;=7,J101&gt;=TODAY(),J101&lt;TODAY()+4,MOD(TODAY()+4-J101,I101)=0))),ROW(),""),"")</f>
        <v/>
      </c>
      <c r="T101" s="27">
        <f>IFERROR(IF(AND(A101&lt;&gt;"",H101&lt;&gt;"No",I101&lt;&gt;"",OR('Hoy'!$B$3='Ajustes'!$D$5,F101='Hoy'!$B$3),OR(J101=TODAY()+5,AND(I101&lt;=7,J101&gt;=TODAY(),J101&lt;TODAY()+5,MOD(TODAY()+5-J101,I101)=0))),ROW(),""),"")</f>
        <v/>
      </c>
      <c r="U101" s="27">
        <f>IFERROR(IF(AND(A101&lt;&gt;"",H101&lt;&gt;"No",I101&lt;&gt;"",OR('Hoy'!$B$3='Ajustes'!$D$5,F101='Hoy'!$B$3),OR(J101=TODAY()+6,AND(I101&lt;=7,J101&gt;=TODAY(),J101&lt;TODAY()+6,MOD(TODAY()+6-J101,I101)=0))),ROW(),""),"")</f>
        <v/>
      </c>
    </row>
    <row r="102">
      <c r="A102" s="6" t="n"/>
      <c r="B102" s="6" t="n"/>
      <c r="C102" s="28" t="n"/>
      <c r="D102" s="6" t="n"/>
      <c r="E102" s="28" t="n"/>
      <c r="F102" s="6" t="n"/>
      <c r="G102" s="6" t="n"/>
      <c r="H102" s="29" t="inlineStr">
        <is>
          <t>Sí</t>
        </is>
      </c>
      <c r="I102" s="30">
        <f>IFERROR(IF(OR(A102="",C102=""),"",C102*INDEX('Ajustes'!$I$5:$I$8,MATCH(D102,'Ajustes'!$H$5:$H$8,0))),"")</f>
        <v/>
      </c>
      <c r="J102" s="31">
        <f>IFERROR(IF(I102="","",IF(G102="",IF('Ajustes'!$B$5="",TODAY(),'Ajustes'!$B$5)+MOD(ROW()*13,I102),IF(D102='Ajustes'!$H$7,EDATE(G102,C102),IF(D102='Ajustes'!$H$8,EDATE(G102,12*C102),G102+I102)))),"")</f>
        <v/>
      </c>
      <c r="K102" s="30">
        <f>IF(J102="","",J102-TODAY())</f>
        <v/>
      </c>
      <c r="L102" s="32">
        <f>IF(A102="","",IF(H102="No","Pausada",IF(K102="","",IF(K102&lt;0,"Atrasada",IF(K102=0,"Hoy",IF(K102&lt;=7,"Esta semana","Más adelante"))))))</f>
        <v/>
      </c>
      <c r="M102" s="27">
        <f>IFERROR(IF(AND(OR(L102="Atrasada",L102="Hoy",L102="Esta semana"),OR('Hoy'!$B$3='Ajustes'!$D$5,F102='Hoy'!$B$3)),K102+ROW()/100000,""),"")</f>
        <v/>
      </c>
      <c r="N102" s="27">
        <f>IF(OR(A102="",H102="No",I102=""),0,E102*7/I102)</f>
        <v/>
      </c>
      <c r="O102" s="27">
        <f>IFERROR(IF(AND(A102&lt;&gt;"",H102&lt;&gt;"No",I102&lt;&gt;"",OR('Hoy'!$B$3='Ajustes'!$D$5,F102='Hoy'!$B$3),J102&lt;=TODAY()),ROW(),""),"")</f>
        <v/>
      </c>
      <c r="P102" s="27">
        <f>IFERROR(IF(AND(A102&lt;&gt;"",H102&lt;&gt;"No",I102&lt;&gt;"",OR('Hoy'!$B$3='Ajustes'!$D$5,F102='Hoy'!$B$3),OR(J102=TODAY()+1,AND(I102&lt;=7,J102&gt;=TODAY(),J102&lt;TODAY()+1,MOD(TODAY()+1-J102,I102)=0))),ROW(),""),"")</f>
        <v/>
      </c>
      <c r="Q102" s="27">
        <f>IFERROR(IF(AND(A102&lt;&gt;"",H102&lt;&gt;"No",I102&lt;&gt;"",OR('Hoy'!$B$3='Ajustes'!$D$5,F102='Hoy'!$B$3),OR(J102=TODAY()+2,AND(I102&lt;=7,J102&gt;=TODAY(),J102&lt;TODAY()+2,MOD(TODAY()+2-J102,I102)=0))),ROW(),""),"")</f>
        <v/>
      </c>
      <c r="R102" s="27">
        <f>IFERROR(IF(AND(A102&lt;&gt;"",H102&lt;&gt;"No",I102&lt;&gt;"",OR('Hoy'!$B$3='Ajustes'!$D$5,F102='Hoy'!$B$3),OR(J102=TODAY()+3,AND(I102&lt;=7,J102&gt;=TODAY(),J102&lt;TODAY()+3,MOD(TODAY()+3-J102,I102)=0))),ROW(),""),"")</f>
        <v/>
      </c>
      <c r="S102" s="27">
        <f>IFERROR(IF(AND(A102&lt;&gt;"",H102&lt;&gt;"No",I102&lt;&gt;"",OR('Hoy'!$B$3='Ajustes'!$D$5,F102='Hoy'!$B$3),OR(J102=TODAY()+4,AND(I102&lt;=7,J102&gt;=TODAY(),J102&lt;TODAY()+4,MOD(TODAY()+4-J102,I102)=0))),ROW(),""),"")</f>
        <v/>
      </c>
      <c r="T102" s="27">
        <f>IFERROR(IF(AND(A102&lt;&gt;"",H102&lt;&gt;"No",I102&lt;&gt;"",OR('Hoy'!$B$3='Ajustes'!$D$5,F102='Hoy'!$B$3),OR(J102=TODAY()+5,AND(I102&lt;=7,J102&gt;=TODAY(),J102&lt;TODAY()+5,MOD(TODAY()+5-J102,I102)=0))),ROW(),""),"")</f>
        <v/>
      </c>
      <c r="U102" s="27">
        <f>IFERROR(IF(AND(A102&lt;&gt;"",H102&lt;&gt;"No",I102&lt;&gt;"",OR('Hoy'!$B$3='Ajustes'!$D$5,F102='Hoy'!$B$3),OR(J102=TODAY()+6,AND(I102&lt;=7,J102&gt;=TODAY(),J102&lt;TODAY()+6,MOD(TODAY()+6-J102,I102)=0))),ROW(),""),"")</f>
        <v/>
      </c>
    </row>
    <row r="103">
      <c r="A103" s="6" t="n"/>
      <c r="B103" s="6" t="n"/>
      <c r="C103" s="28" t="n"/>
      <c r="D103" s="6" t="n"/>
      <c r="E103" s="28" t="n"/>
      <c r="F103" s="6" t="n"/>
      <c r="G103" s="6" t="n"/>
      <c r="H103" s="29" t="inlineStr">
        <is>
          <t>Sí</t>
        </is>
      </c>
      <c r="I103" s="30">
        <f>IFERROR(IF(OR(A103="",C103=""),"",C103*INDEX('Ajustes'!$I$5:$I$8,MATCH(D103,'Ajustes'!$H$5:$H$8,0))),"")</f>
        <v/>
      </c>
      <c r="J103" s="31">
        <f>IFERROR(IF(I103="","",IF(G103="",IF('Ajustes'!$B$5="",TODAY(),'Ajustes'!$B$5)+MOD(ROW()*13,I103),IF(D103='Ajustes'!$H$7,EDATE(G103,C103),IF(D103='Ajustes'!$H$8,EDATE(G103,12*C103),G103+I103)))),"")</f>
        <v/>
      </c>
      <c r="K103" s="30">
        <f>IF(J103="","",J103-TODAY())</f>
        <v/>
      </c>
      <c r="L103" s="32">
        <f>IF(A103="","",IF(H103="No","Pausada",IF(K103="","",IF(K103&lt;0,"Atrasada",IF(K103=0,"Hoy",IF(K103&lt;=7,"Esta semana","Más adelante"))))))</f>
        <v/>
      </c>
      <c r="M103" s="27">
        <f>IFERROR(IF(AND(OR(L103="Atrasada",L103="Hoy",L103="Esta semana"),OR('Hoy'!$B$3='Ajustes'!$D$5,F103='Hoy'!$B$3)),K103+ROW()/100000,""),"")</f>
        <v/>
      </c>
      <c r="N103" s="27">
        <f>IF(OR(A103="",H103="No",I103=""),0,E103*7/I103)</f>
        <v/>
      </c>
      <c r="O103" s="27">
        <f>IFERROR(IF(AND(A103&lt;&gt;"",H103&lt;&gt;"No",I103&lt;&gt;"",OR('Hoy'!$B$3='Ajustes'!$D$5,F103='Hoy'!$B$3),J103&lt;=TODAY()),ROW(),""),"")</f>
        <v/>
      </c>
      <c r="P103" s="27">
        <f>IFERROR(IF(AND(A103&lt;&gt;"",H103&lt;&gt;"No",I103&lt;&gt;"",OR('Hoy'!$B$3='Ajustes'!$D$5,F103='Hoy'!$B$3),OR(J103=TODAY()+1,AND(I103&lt;=7,J103&gt;=TODAY(),J103&lt;TODAY()+1,MOD(TODAY()+1-J103,I103)=0))),ROW(),""),"")</f>
        <v/>
      </c>
      <c r="Q103" s="27">
        <f>IFERROR(IF(AND(A103&lt;&gt;"",H103&lt;&gt;"No",I103&lt;&gt;"",OR('Hoy'!$B$3='Ajustes'!$D$5,F103='Hoy'!$B$3),OR(J103=TODAY()+2,AND(I103&lt;=7,J103&gt;=TODAY(),J103&lt;TODAY()+2,MOD(TODAY()+2-J103,I103)=0))),ROW(),""),"")</f>
        <v/>
      </c>
      <c r="R103" s="27">
        <f>IFERROR(IF(AND(A103&lt;&gt;"",H103&lt;&gt;"No",I103&lt;&gt;"",OR('Hoy'!$B$3='Ajustes'!$D$5,F103='Hoy'!$B$3),OR(J103=TODAY()+3,AND(I103&lt;=7,J103&gt;=TODAY(),J103&lt;TODAY()+3,MOD(TODAY()+3-J103,I103)=0))),ROW(),""),"")</f>
        <v/>
      </c>
      <c r="S103" s="27">
        <f>IFERROR(IF(AND(A103&lt;&gt;"",H103&lt;&gt;"No",I103&lt;&gt;"",OR('Hoy'!$B$3='Ajustes'!$D$5,F103='Hoy'!$B$3),OR(J103=TODAY()+4,AND(I103&lt;=7,J103&gt;=TODAY(),J103&lt;TODAY()+4,MOD(TODAY()+4-J103,I103)=0))),ROW(),""),"")</f>
        <v/>
      </c>
      <c r="T103" s="27">
        <f>IFERROR(IF(AND(A103&lt;&gt;"",H103&lt;&gt;"No",I103&lt;&gt;"",OR('Hoy'!$B$3='Ajustes'!$D$5,F103='Hoy'!$B$3),OR(J103=TODAY()+5,AND(I103&lt;=7,J103&gt;=TODAY(),J103&lt;TODAY()+5,MOD(TODAY()+5-J103,I103)=0))),ROW(),""),"")</f>
        <v/>
      </c>
      <c r="U103" s="27">
        <f>IFERROR(IF(AND(A103&lt;&gt;"",H103&lt;&gt;"No",I103&lt;&gt;"",OR('Hoy'!$B$3='Ajustes'!$D$5,F103='Hoy'!$B$3),OR(J103=TODAY()+6,AND(I103&lt;=7,J103&gt;=TODAY(),J103&lt;TODAY()+6,MOD(TODAY()+6-J103,I103)=0))),ROW(),""),"")</f>
        <v/>
      </c>
    </row>
    <row r="104">
      <c r="A104" s="6" t="n"/>
      <c r="B104" s="6" t="n"/>
      <c r="C104" s="28" t="n"/>
      <c r="D104" s="6" t="n"/>
      <c r="E104" s="28" t="n"/>
      <c r="F104" s="6" t="n"/>
      <c r="G104" s="6" t="n"/>
      <c r="H104" s="29" t="inlineStr">
        <is>
          <t>Sí</t>
        </is>
      </c>
      <c r="I104" s="30">
        <f>IFERROR(IF(OR(A104="",C104=""),"",C104*INDEX('Ajustes'!$I$5:$I$8,MATCH(D104,'Ajustes'!$H$5:$H$8,0))),"")</f>
        <v/>
      </c>
      <c r="J104" s="31">
        <f>IFERROR(IF(I104="","",IF(G104="",IF('Ajustes'!$B$5="",TODAY(),'Ajustes'!$B$5)+MOD(ROW()*13,I104),IF(D104='Ajustes'!$H$7,EDATE(G104,C104),IF(D104='Ajustes'!$H$8,EDATE(G104,12*C104),G104+I104)))),"")</f>
        <v/>
      </c>
      <c r="K104" s="30">
        <f>IF(J104="","",J104-TODAY())</f>
        <v/>
      </c>
      <c r="L104" s="32">
        <f>IF(A104="","",IF(H104="No","Pausada",IF(K104="","",IF(K104&lt;0,"Atrasada",IF(K104=0,"Hoy",IF(K104&lt;=7,"Esta semana","Más adelante"))))))</f>
        <v/>
      </c>
      <c r="M104" s="27">
        <f>IFERROR(IF(AND(OR(L104="Atrasada",L104="Hoy",L104="Esta semana"),OR('Hoy'!$B$3='Ajustes'!$D$5,F104='Hoy'!$B$3)),K104+ROW()/100000,""),"")</f>
        <v/>
      </c>
      <c r="N104" s="27">
        <f>IF(OR(A104="",H104="No",I104=""),0,E104*7/I104)</f>
        <v/>
      </c>
      <c r="O104" s="27">
        <f>IFERROR(IF(AND(A104&lt;&gt;"",H104&lt;&gt;"No",I104&lt;&gt;"",OR('Hoy'!$B$3='Ajustes'!$D$5,F104='Hoy'!$B$3),J104&lt;=TODAY()),ROW(),""),"")</f>
        <v/>
      </c>
      <c r="P104" s="27">
        <f>IFERROR(IF(AND(A104&lt;&gt;"",H104&lt;&gt;"No",I104&lt;&gt;"",OR('Hoy'!$B$3='Ajustes'!$D$5,F104='Hoy'!$B$3),OR(J104=TODAY()+1,AND(I104&lt;=7,J104&gt;=TODAY(),J104&lt;TODAY()+1,MOD(TODAY()+1-J104,I104)=0))),ROW(),""),"")</f>
        <v/>
      </c>
      <c r="Q104" s="27">
        <f>IFERROR(IF(AND(A104&lt;&gt;"",H104&lt;&gt;"No",I104&lt;&gt;"",OR('Hoy'!$B$3='Ajustes'!$D$5,F104='Hoy'!$B$3),OR(J104=TODAY()+2,AND(I104&lt;=7,J104&gt;=TODAY(),J104&lt;TODAY()+2,MOD(TODAY()+2-J104,I104)=0))),ROW(),""),"")</f>
        <v/>
      </c>
      <c r="R104" s="27">
        <f>IFERROR(IF(AND(A104&lt;&gt;"",H104&lt;&gt;"No",I104&lt;&gt;"",OR('Hoy'!$B$3='Ajustes'!$D$5,F104='Hoy'!$B$3),OR(J104=TODAY()+3,AND(I104&lt;=7,J104&gt;=TODAY(),J104&lt;TODAY()+3,MOD(TODAY()+3-J104,I104)=0))),ROW(),""),"")</f>
        <v/>
      </c>
      <c r="S104" s="27">
        <f>IFERROR(IF(AND(A104&lt;&gt;"",H104&lt;&gt;"No",I104&lt;&gt;"",OR('Hoy'!$B$3='Ajustes'!$D$5,F104='Hoy'!$B$3),OR(J104=TODAY()+4,AND(I104&lt;=7,J104&gt;=TODAY(),J104&lt;TODAY()+4,MOD(TODAY()+4-J104,I104)=0))),ROW(),""),"")</f>
        <v/>
      </c>
      <c r="T104" s="27">
        <f>IFERROR(IF(AND(A104&lt;&gt;"",H104&lt;&gt;"No",I104&lt;&gt;"",OR('Hoy'!$B$3='Ajustes'!$D$5,F104='Hoy'!$B$3),OR(J104=TODAY()+5,AND(I104&lt;=7,J104&gt;=TODAY(),J104&lt;TODAY()+5,MOD(TODAY()+5-J104,I104)=0))),ROW(),""),"")</f>
        <v/>
      </c>
      <c r="U104" s="27">
        <f>IFERROR(IF(AND(A104&lt;&gt;"",H104&lt;&gt;"No",I104&lt;&gt;"",OR('Hoy'!$B$3='Ajustes'!$D$5,F104='Hoy'!$B$3),OR(J104=TODAY()+6,AND(I104&lt;=7,J104&gt;=TODAY(),J104&lt;TODAY()+6,MOD(TODAY()+6-J104,I104)=0))),ROW(),""),"")</f>
        <v/>
      </c>
    </row>
    <row r="105">
      <c r="A105" s="6" t="n"/>
      <c r="B105" s="6" t="n"/>
      <c r="C105" s="28" t="n"/>
      <c r="D105" s="6" t="n"/>
      <c r="E105" s="28" t="n"/>
      <c r="F105" s="6" t="n"/>
      <c r="G105" s="6" t="n"/>
      <c r="H105" s="29" t="inlineStr">
        <is>
          <t>Sí</t>
        </is>
      </c>
      <c r="I105" s="30">
        <f>IFERROR(IF(OR(A105="",C105=""),"",C105*INDEX('Ajustes'!$I$5:$I$8,MATCH(D105,'Ajustes'!$H$5:$H$8,0))),"")</f>
        <v/>
      </c>
      <c r="J105" s="31">
        <f>IFERROR(IF(I105="","",IF(G105="",IF('Ajustes'!$B$5="",TODAY(),'Ajustes'!$B$5)+MOD(ROW()*13,I105),IF(D105='Ajustes'!$H$7,EDATE(G105,C105),IF(D105='Ajustes'!$H$8,EDATE(G105,12*C105),G105+I105)))),"")</f>
        <v/>
      </c>
      <c r="K105" s="30">
        <f>IF(J105="","",J105-TODAY())</f>
        <v/>
      </c>
      <c r="L105" s="32">
        <f>IF(A105="","",IF(H105="No","Pausada",IF(K105="","",IF(K105&lt;0,"Atrasada",IF(K105=0,"Hoy",IF(K105&lt;=7,"Esta semana","Más adelante"))))))</f>
        <v/>
      </c>
      <c r="M105" s="27">
        <f>IFERROR(IF(AND(OR(L105="Atrasada",L105="Hoy",L105="Esta semana"),OR('Hoy'!$B$3='Ajustes'!$D$5,F105='Hoy'!$B$3)),K105+ROW()/100000,""),"")</f>
        <v/>
      </c>
      <c r="N105" s="27">
        <f>IF(OR(A105="",H105="No",I105=""),0,E105*7/I105)</f>
        <v/>
      </c>
      <c r="O105" s="27">
        <f>IFERROR(IF(AND(A105&lt;&gt;"",H105&lt;&gt;"No",I105&lt;&gt;"",OR('Hoy'!$B$3='Ajustes'!$D$5,F105='Hoy'!$B$3),J105&lt;=TODAY()),ROW(),""),"")</f>
        <v/>
      </c>
      <c r="P105" s="27">
        <f>IFERROR(IF(AND(A105&lt;&gt;"",H105&lt;&gt;"No",I105&lt;&gt;"",OR('Hoy'!$B$3='Ajustes'!$D$5,F105='Hoy'!$B$3),OR(J105=TODAY()+1,AND(I105&lt;=7,J105&gt;=TODAY(),J105&lt;TODAY()+1,MOD(TODAY()+1-J105,I105)=0))),ROW(),""),"")</f>
        <v/>
      </c>
      <c r="Q105" s="27">
        <f>IFERROR(IF(AND(A105&lt;&gt;"",H105&lt;&gt;"No",I105&lt;&gt;"",OR('Hoy'!$B$3='Ajustes'!$D$5,F105='Hoy'!$B$3),OR(J105=TODAY()+2,AND(I105&lt;=7,J105&gt;=TODAY(),J105&lt;TODAY()+2,MOD(TODAY()+2-J105,I105)=0))),ROW(),""),"")</f>
        <v/>
      </c>
      <c r="R105" s="27">
        <f>IFERROR(IF(AND(A105&lt;&gt;"",H105&lt;&gt;"No",I105&lt;&gt;"",OR('Hoy'!$B$3='Ajustes'!$D$5,F105='Hoy'!$B$3),OR(J105=TODAY()+3,AND(I105&lt;=7,J105&gt;=TODAY(),J105&lt;TODAY()+3,MOD(TODAY()+3-J105,I105)=0))),ROW(),""),"")</f>
        <v/>
      </c>
      <c r="S105" s="27">
        <f>IFERROR(IF(AND(A105&lt;&gt;"",H105&lt;&gt;"No",I105&lt;&gt;"",OR('Hoy'!$B$3='Ajustes'!$D$5,F105='Hoy'!$B$3),OR(J105=TODAY()+4,AND(I105&lt;=7,J105&gt;=TODAY(),J105&lt;TODAY()+4,MOD(TODAY()+4-J105,I105)=0))),ROW(),""),"")</f>
        <v/>
      </c>
      <c r="T105" s="27">
        <f>IFERROR(IF(AND(A105&lt;&gt;"",H105&lt;&gt;"No",I105&lt;&gt;"",OR('Hoy'!$B$3='Ajustes'!$D$5,F105='Hoy'!$B$3),OR(J105=TODAY()+5,AND(I105&lt;=7,J105&gt;=TODAY(),J105&lt;TODAY()+5,MOD(TODAY()+5-J105,I105)=0))),ROW(),""),"")</f>
        <v/>
      </c>
      <c r="U105" s="27">
        <f>IFERROR(IF(AND(A105&lt;&gt;"",H105&lt;&gt;"No",I105&lt;&gt;"",OR('Hoy'!$B$3='Ajustes'!$D$5,F105='Hoy'!$B$3),OR(J105=TODAY()+6,AND(I105&lt;=7,J105&gt;=TODAY(),J105&lt;TODAY()+6,MOD(TODAY()+6-J105,I105)=0))),ROW(),""),"")</f>
        <v/>
      </c>
    </row>
    <row r="106">
      <c r="A106" s="6" t="n"/>
      <c r="B106" s="6" t="n"/>
      <c r="C106" s="28" t="n"/>
      <c r="D106" s="6" t="n"/>
      <c r="E106" s="28" t="n"/>
      <c r="F106" s="6" t="n"/>
      <c r="G106" s="6" t="n"/>
      <c r="H106" s="29" t="inlineStr">
        <is>
          <t>Sí</t>
        </is>
      </c>
      <c r="I106" s="30">
        <f>IFERROR(IF(OR(A106="",C106=""),"",C106*INDEX('Ajustes'!$I$5:$I$8,MATCH(D106,'Ajustes'!$H$5:$H$8,0))),"")</f>
        <v/>
      </c>
      <c r="J106" s="31">
        <f>IFERROR(IF(I106="","",IF(G106="",IF('Ajustes'!$B$5="",TODAY(),'Ajustes'!$B$5)+MOD(ROW()*13,I106),IF(D106='Ajustes'!$H$7,EDATE(G106,C106),IF(D106='Ajustes'!$H$8,EDATE(G106,12*C106),G106+I106)))),"")</f>
        <v/>
      </c>
      <c r="K106" s="30">
        <f>IF(J106="","",J106-TODAY())</f>
        <v/>
      </c>
      <c r="L106" s="32">
        <f>IF(A106="","",IF(H106="No","Pausada",IF(K106="","",IF(K106&lt;0,"Atrasada",IF(K106=0,"Hoy",IF(K106&lt;=7,"Esta semana","Más adelante"))))))</f>
        <v/>
      </c>
      <c r="M106" s="27">
        <f>IFERROR(IF(AND(OR(L106="Atrasada",L106="Hoy",L106="Esta semana"),OR('Hoy'!$B$3='Ajustes'!$D$5,F106='Hoy'!$B$3)),K106+ROW()/100000,""),"")</f>
        <v/>
      </c>
      <c r="N106" s="27">
        <f>IF(OR(A106="",H106="No",I106=""),0,E106*7/I106)</f>
        <v/>
      </c>
      <c r="O106" s="27">
        <f>IFERROR(IF(AND(A106&lt;&gt;"",H106&lt;&gt;"No",I106&lt;&gt;"",OR('Hoy'!$B$3='Ajustes'!$D$5,F106='Hoy'!$B$3),J106&lt;=TODAY()),ROW(),""),"")</f>
        <v/>
      </c>
      <c r="P106" s="27">
        <f>IFERROR(IF(AND(A106&lt;&gt;"",H106&lt;&gt;"No",I106&lt;&gt;"",OR('Hoy'!$B$3='Ajustes'!$D$5,F106='Hoy'!$B$3),OR(J106=TODAY()+1,AND(I106&lt;=7,J106&gt;=TODAY(),J106&lt;TODAY()+1,MOD(TODAY()+1-J106,I106)=0))),ROW(),""),"")</f>
        <v/>
      </c>
      <c r="Q106" s="27">
        <f>IFERROR(IF(AND(A106&lt;&gt;"",H106&lt;&gt;"No",I106&lt;&gt;"",OR('Hoy'!$B$3='Ajustes'!$D$5,F106='Hoy'!$B$3),OR(J106=TODAY()+2,AND(I106&lt;=7,J106&gt;=TODAY(),J106&lt;TODAY()+2,MOD(TODAY()+2-J106,I106)=0))),ROW(),""),"")</f>
        <v/>
      </c>
      <c r="R106" s="27">
        <f>IFERROR(IF(AND(A106&lt;&gt;"",H106&lt;&gt;"No",I106&lt;&gt;"",OR('Hoy'!$B$3='Ajustes'!$D$5,F106='Hoy'!$B$3),OR(J106=TODAY()+3,AND(I106&lt;=7,J106&gt;=TODAY(),J106&lt;TODAY()+3,MOD(TODAY()+3-J106,I106)=0))),ROW(),""),"")</f>
        <v/>
      </c>
      <c r="S106" s="27">
        <f>IFERROR(IF(AND(A106&lt;&gt;"",H106&lt;&gt;"No",I106&lt;&gt;"",OR('Hoy'!$B$3='Ajustes'!$D$5,F106='Hoy'!$B$3),OR(J106=TODAY()+4,AND(I106&lt;=7,J106&gt;=TODAY(),J106&lt;TODAY()+4,MOD(TODAY()+4-J106,I106)=0))),ROW(),""),"")</f>
        <v/>
      </c>
      <c r="T106" s="27">
        <f>IFERROR(IF(AND(A106&lt;&gt;"",H106&lt;&gt;"No",I106&lt;&gt;"",OR('Hoy'!$B$3='Ajustes'!$D$5,F106='Hoy'!$B$3),OR(J106=TODAY()+5,AND(I106&lt;=7,J106&gt;=TODAY(),J106&lt;TODAY()+5,MOD(TODAY()+5-J106,I106)=0))),ROW(),""),"")</f>
        <v/>
      </c>
      <c r="U106" s="27">
        <f>IFERROR(IF(AND(A106&lt;&gt;"",H106&lt;&gt;"No",I106&lt;&gt;"",OR('Hoy'!$B$3='Ajustes'!$D$5,F106='Hoy'!$B$3),OR(J106=TODAY()+6,AND(I106&lt;=7,J106&gt;=TODAY(),J106&lt;TODAY()+6,MOD(TODAY()+6-J106,I106)=0))),ROW(),""),"")</f>
        <v/>
      </c>
    </row>
    <row r="107">
      <c r="A107" s="6" t="n"/>
      <c r="B107" s="6" t="n"/>
      <c r="C107" s="28" t="n"/>
      <c r="D107" s="6" t="n"/>
      <c r="E107" s="28" t="n"/>
      <c r="F107" s="6" t="n"/>
      <c r="G107" s="6" t="n"/>
      <c r="H107" s="29" t="inlineStr">
        <is>
          <t>Sí</t>
        </is>
      </c>
      <c r="I107" s="30">
        <f>IFERROR(IF(OR(A107="",C107=""),"",C107*INDEX('Ajustes'!$I$5:$I$8,MATCH(D107,'Ajustes'!$H$5:$H$8,0))),"")</f>
        <v/>
      </c>
      <c r="J107" s="31">
        <f>IFERROR(IF(I107="","",IF(G107="",IF('Ajustes'!$B$5="",TODAY(),'Ajustes'!$B$5)+MOD(ROW()*13,I107),IF(D107='Ajustes'!$H$7,EDATE(G107,C107),IF(D107='Ajustes'!$H$8,EDATE(G107,12*C107),G107+I107)))),"")</f>
        <v/>
      </c>
      <c r="K107" s="30">
        <f>IF(J107="","",J107-TODAY())</f>
        <v/>
      </c>
      <c r="L107" s="32">
        <f>IF(A107="","",IF(H107="No","Pausada",IF(K107="","",IF(K107&lt;0,"Atrasada",IF(K107=0,"Hoy",IF(K107&lt;=7,"Esta semana","Más adelante"))))))</f>
        <v/>
      </c>
      <c r="M107" s="27">
        <f>IFERROR(IF(AND(OR(L107="Atrasada",L107="Hoy",L107="Esta semana"),OR('Hoy'!$B$3='Ajustes'!$D$5,F107='Hoy'!$B$3)),K107+ROW()/100000,""),"")</f>
        <v/>
      </c>
      <c r="N107" s="27">
        <f>IF(OR(A107="",H107="No",I107=""),0,E107*7/I107)</f>
        <v/>
      </c>
      <c r="O107" s="27">
        <f>IFERROR(IF(AND(A107&lt;&gt;"",H107&lt;&gt;"No",I107&lt;&gt;"",OR('Hoy'!$B$3='Ajustes'!$D$5,F107='Hoy'!$B$3),J107&lt;=TODAY()),ROW(),""),"")</f>
        <v/>
      </c>
      <c r="P107" s="27">
        <f>IFERROR(IF(AND(A107&lt;&gt;"",H107&lt;&gt;"No",I107&lt;&gt;"",OR('Hoy'!$B$3='Ajustes'!$D$5,F107='Hoy'!$B$3),OR(J107=TODAY()+1,AND(I107&lt;=7,J107&gt;=TODAY(),J107&lt;TODAY()+1,MOD(TODAY()+1-J107,I107)=0))),ROW(),""),"")</f>
        <v/>
      </c>
      <c r="Q107" s="27">
        <f>IFERROR(IF(AND(A107&lt;&gt;"",H107&lt;&gt;"No",I107&lt;&gt;"",OR('Hoy'!$B$3='Ajustes'!$D$5,F107='Hoy'!$B$3),OR(J107=TODAY()+2,AND(I107&lt;=7,J107&gt;=TODAY(),J107&lt;TODAY()+2,MOD(TODAY()+2-J107,I107)=0))),ROW(),""),"")</f>
        <v/>
      </c>
      <c r="R107" s="27">
        <f>IFERROR(IF(AND(A107&lt;&gt;"",H107&lt;&gt;"No",I107&lt;&gt;"",OR('Hoy'!$B$3='Ajustes'!$D$5,F107='Hoy'!$B$3),OR(J107=TODAY()+3,AND(I107&lt;=7,J107&gt;=TODAY(),J107&lt;TODAY()+3,MOD(TODAY()+3-J107,I107)=0))),ROW(),""),"")</f>
        <v/>
      </c>
      <c r="S107" s="27">
        <f>IFERROR(IF(AND(A107&lt;&gt;"",H107&lt;&gt;"No",I107&lt;&gt;"",OR('Hoy'!$B$3='Ajustes'!$D$5,F107='Hoy'!$B$3),OR(J107=TODAY()+4,AND(I107&lt;=7,J107&gt;=TODAY(),J107&lt;TODAY()+4,MOD(TODAY()+4-J107,I107)=0))),ROW(),""),"")</f>
        <v/>
      </c>
      <c r="T107" s="27">
        <f>IFERROR(IF(AND(A107&lt;&gt;"",H107&lt;&gt;"No",I107&lt;&gt;"",OR('Hoy'!$B$3='Ajustes'!$D$5,F107='Hoy'!$B$3),OR(J107=TODAY()+5,AND(I107&lt;=7,J107&gt;=TODAY(),J107&lt;TODAY()+5,MOD(TODAY()+5-J107,I107)=0))),ROW(),""),"")</f>
        <v/>
      </c>
      <c r="U107" s="27">
        <f>IFERROR(IF(AND(A107&lt;&gt;"",H107&lt;&gt;"No",I107&lt;&gt;"",OR('Hoy'!$B$3='Ajustes'!$D$5,F107='Hoy'!$B$3),OR(J107=TODAY()+6,AND(I107&lt;=7,J107&gt;=TODAY(),J107&lt;TODAY()+6,MOD(TODAY()+6-J107,I107)=0))),ROW(),""),"")</f>
        <v/>
      </c>
    </row>
    <row r="108">
      <c r="A108" s="6" t="n"/>
      <c r="B108" s="6" t="n"/>
      <c r="C108" s="28" t="n"/>
      <c r="D108" s="6" t="n"/>
      <c r="E108" s="28" t="n"/>
      <c r="F108" s="6" t="n"/>
      <c r="G108" s="6" t="n"/>
      <c r="H108" s="29" t="inlineStr">
        <is>
          <t>Sí</t>
        </is>
      </c>
      <c r="I108" s="30">
        <f>IFERROR(IF(OR(A108="",C108=""),"",C108*INDEX('Ajustes'!$I$5:$I$8,MATCH(D108,'Ajustes'!$H$5:$H$8,0))),"")</f>
        <v/>
      </c>
      <c r="J108" s="31">
        <f>IFERROR(IF(I108="","",IF(G108="",IF('Ajustes'!$B$5="",TODAY(),'Ajustes'!$B$5)+MOD(ROW()*13,I108),IF(D108='Ajustes'!$H$7,EDATE(G108,C108),IF(D108='Ajustes'!$H$8,EDATE(G108,12*C108),G108+I108)))),"")</f>
        <v/>
      </c>
      <c r="K108" s="30">
        <f>IF(J108="","",J108-TODAY())</f>
        <v/>
      </c>
      <c r="L108" s="32">
        <f>IF(A108="","",IF(H108="No","Pausada",IF(K108="","",IF(K108&lt;0,"Atrasada",IF(K108=0,"Hoy",IF(K108&lt;=7,"Esta semana","Más adelante"))))))</f>
        <v/>
      </c>
      <c r="M108" s="27">
        <f>IFERROR(IF(AND(OR(L108="Atrasada",L108="Hoy",L108="Esta semana"),OR('Hoy'!$B$3='Ajustes'!$D$5,F108='Hoy'!$B$3)),K108+ROW()/100000,""),"")</f>
        <v/>
      </c>
      <c r="N108" s="27">
        <f>IF(OR(A108="",H108="No",I108=""),0,E108*7/I108)</f>
        <v/>
      </c>
      <c r="O108" s="27">
        <f>IFERROR(IF(AND(A108&lt;&gt;"",H108&lt;&gt;"No",I108&lt;&gt;"",OR('Hoy'!$B$3='Ajustes'!$D$5,F108='Hoy'!$B$3),J108&lt;=TODAY()),ROW(),""),"")</f>
        <v/>
      </c>
      <c r="P108" s="27">
        <f>IFERROR(IF(AND(A108&lt;&gt;"",H108&lt;&gt;"No",I108&lt;&gt;"",OR('Hoy'!$B$3='Ajustes'!$D$5,F108='Hoy'!$B$3),OR(J108=TODAY()+1,AND(I108&lt;=7,J108&gt;=TODAY(),J108&lt;TODAY()+1,MOD(TODAY()+1-J108,I108)=0))),ROW(),""),"")</f>
        <v/>
      </c>
      <c r="Q108" s="27">
        <f>IFERROR(IF(AND(A108&lt;&gt;"",H108&lt;&gt;"No",I108&lt;&gt;"",OR('Hoy'!$B$3='Ajustes'!$D$5,F108='Hoy'!$B$3),OR(J108=TODAY()+2,AND(I108&lt;=7,J108&gt;=TODAY(),J108&lt;TODAY()+2,MOD(TODAY()+2-J108,I108)=0))),ROW(),""),"")</f>
        <v/>
      </c>
      <c r="R108" s="27">
        <f>IFERROR(IF(AND(A108&lt;&gt;"",H108&lt;&gt;"No",I108&lt;&gt;"",OR('Hoy'!$B$3='Ajustes'!$D$5,F108='Hoy'!$B$3),OR(J108=TODAY()+3,AND(I108&lt;=7,J108&gt;=TODAY(),J108&lt;TODAY()+3,MOD(TODAY()+3-J108,I108)=0))),ROW(),""),"")</f>
        <v/>
      </c>
      <c r="S108" s="27">
        <f>IFERROR(IF(AND(A108&lt;&gt;"",H108&lt;&gt;"No",I108&lt;&gt;"",OR('Hoy'!$B$3='Ajustes'!$D$5,F108='Hoy'!$B$3),OR(J108=TODAY()+4,AND(I108&lt;=7,J108&gt;=TODAY(),J108&lt;TODAY()+4,MOD(TODAY()+4-J108,I108)=0))),ROW(),""),"")</f>
        <v/>
      </c>
      <c r="T108" s="27">
        <f>IFERROR(IF(AND(A108&lt;&gt;"",H108&lt;&gt;"No",I108&lt;&gt;"",OR('Hoy'!$B$3='Ajustes'!$D$5,F108='Hoy'!$B$3),OR(J108=TODAY()+5,AND(I108&lt;=7,J108&gt;=TODAY(),J108&lt;TODAY()+5,MOD(TODAY()+5-J108,I108)=0))),ROW(),""),"")</f>
        <v/>
      </c>
      <c r="U108" s="27">
        <f>IFERROR(IF(AND(A108&lt;&gt;"",H108&lt;&gt;"No",I108&lt;&gt;"",OR('Hoy'!$B$3='Ajustes'!$D$5,F108='Hoy'!$B$3),OR(J108=TODAY()+6,AND(I108&lt;=7,J108&gt;=TODAY(),J108&lt;TODAY()+6,MOD(TODAY()+6-J108,I108)=0))),ROW(),""),"")</f>
        <v/>
      </c>
    </row>
    <row r="109">
      <c r="A109" s="6" t="n"/>
      <c r="B109" s="6" t="n"/>
      <c r="C109" s="28" t="n"/>
      <c r="D109" s="6" t="n"/>
      <c r="E109" s="28" t="n"/>
      <c r="F109" s="6" t="n"/>
      <c r="G109" s="6" t="n"/>
      <c r="H109" s="29" t="inlineStr">
        <is>
          <t>Sí</t>
        </is>
      </c>
      <c r="I109" s="30">
        <f>IFERROR(IF(OR(A109="",C109=""),"",C109*INDEX('Ajustes'!$I$5:$I$8,MATCH(D109,'Ajustes'!$H$5:$H$8,0))),"")</f>
        <v/>
      </c>
      <c r="J109" s="31">
        <f>IFERROR(IF(I109="","",IF(G109="",IF('Ajustes'!$B$5="",TODAY(),'Ajustes'!$B$5)+MOD(ROW()*13,I109),IF(D109='Ajustes'!$H$7,EDATE(G109,C109),IF(D109='Ajustes'!$H$8,EDATE(G109,12*C109),G109+I109)))),"")</f>
        <v/>
      </c>
      <c r="K109" s="30">
        <f>IF(J109="","",J109-TODAY())</f>
        <v/>
      </c>
      <c r="L109" s="32">
        <f>IF(A109="","",IF(H109="No","Pausada",IF(K109="","",IF(K109&lt;0,"Atrasada",IF(K109=0,"Hoy",IF(K109&lt;=7,"Esta semana","Más adelante"))))))</f>
        <v/>
      </c>
      <c r="M109" s="27">
        <f>IFERROR(IF(AND(OR(L109="Atrasada",L109="Hoy",L109="Esta semana"),OR('Hoy'!$B$3='Ajustes'!$D$5,F109='Hoy'!$B$3)),K109+ROW()/100000,""),"")</f>
        <v/>
      </c>
      <c r="N109" s="27">
        <f>IF(OR(A109="",H109="No",I109=""),0,E109*7/I109)</f>
        <v/>
      </c>
      <c r="O109" s="27">
        <f>IFERROR(IF(AND(A109&lt;&gt;"",H109&lt;&gt;"No",I109&lt;&gt;"",OR('Hoy'!$B$3='Ajustes'!$D$5,F109='Hoy'!$B$3),J109&lt;=TODAY()),ROW(),""),"")</f>
        <v/>
      </c>
      <c r="P109" s="27">
        <f>IFERROR(IF(AND(A109&lt;&gt;"",H109&lt;&gt;"No",I109&lt;&gt;"",OR('Hoy'!$B$3='Ajustes'!$D$5,F109='Hoy'!$B$3),OR(J109=TODAY()+1,AND(I109&lt;=7,J109&gt;=TODAY(),J109&lt;TODAY()+1,MOD(TODAY()+1-J109,I109)=0))),ROW(),""),"")</f>
        <v/>
      </c>
      <c r="Q109" s="27">
        <f>IFERROR(IF(AND(A109&lt;&gt;"",H109&lt;&gt;"No",I109&lt;&gt;"",OR('Hoy'!$B$3='Ajustes'!$D$5,F109='Hoy'!$B$3),OR(J109=TODAY()+2,AND(I109&lt;=7,J109&gt;=TODAY(),J109&lt;TODAY()+2,MOD(TODAY()+2-J109,I109)=0))),ROW(),""),"")</f>
        <v/>
      </c>
      <c r="R109" s="27">
        <f>IFERROR(IF(AND(A109&lt;&gt;"",H109&lt;&gt;"No",I109&lt;&gt;"",OR('Hoy'!$B$3='Ajustes'!$D$5,F109='Hoy'!$B$3),OR(J109=TODAY()+3,AND(I109&lt;=7,J109&gt;=TODAY(),J109&lt;TODAY()+3,MOD(TODAY()+3-J109,I109)=0))),ROW(),""),"")</f>
        <v/>
      </c>
      <c r="S109" s="27">
        <f>IFERROR(IF(AND(A109&lt;&gt;"",H109&lt;&gt;"No",I109&lt;&gt;"",OR('Hoy'!$B$3='Ajustes'!$D$5,F109='Hoy'!$B$3),OR(J109=TODAY()+4,AND(I109&lt;=7,J109&gt;=TODAY(),J109&lt;TODAY()+4,MOD(TODAY()+4-J109,I109)=0))),ROW(),""),"")</f>
        <v/>
      </c>
      <c r="T109" s="27">
        <f>IFERROR(IF(AND(A109&lt;&gt;"",H109&lt;&gt;"No",I109&lt;&gt;"",OR('Hoy'!$B$3='Ajustes'!$D$5,F109='Hoy'!$B$3),OR(J109=TODAY()+5,AND(I109&lt;=7,J109&gt;=TODAY(),J109&lt;TODAY()+5,MOD(TODAY()+5-J109,I109)=0))),ROW(),""),"")</f>
        <v/>
      </c>
      <c r="U109" s="27">
        <f>IFERROR(IF(AND(A109&lt;&gt;"",H109&lt;&gt;"No",I109&lt;&gt;"",OR('Hoy'!$B$3='Ajustes'!$D$5,F109='Hoy'!$B$3),OR(J109=TODAY()+6,AND(I109&lt;=7,J109&gt;=TODAY(),J109&lt;TODAY()+6,MOD(TODAY()+6-J109,I109)=0))),ROW(),""),"")</f>
        <v/>
      </c>
    </row>
    <row r="110">
      <c r="A110" s="6" t="n"/>
      <c r="B110" s="6" t="n"/>
      <c r="C110" s="28" t="n"/>
      <c r="D110" s="6" t="n"/>
      <c r="E110" s="28" t="n"/>
      <c r="F110" s="6" t="n"/>
      <c r="G110" s="6" t="n"/>
      <c r="H110" s="29" t="inlineStr">
        <is>
          <t>Sí</t>
        </is>
      </c>
      <c r="I110" s="30">
        <f>IFERROR(IF(OR(A110="",C110=""),"",C110*INDEX('Ajustes'!$I$5:$I$8,MATCH(D110,'Ajustes'!$H$5:$H$8,0))),"")</f>
        <v/>
      </c>
      <c r="J110" s="31">
        <f>IFERROR(IF(I110="","",IF(G110="",IF('Ajustes'!$B$5="",TODAY(),'Ajustes'!$B$5)+MOD(ROW()*13,I110),IF(D110='Ajustes'!$H$7,EDATE(G110,C110),IF(D110='Ajustes'!$H$8,EDATE(G110,12*C110),G110+I110)))),"")</f>
        <v/>
      </c>
      <c r="K110" s="30">
        <f>IF(J110="","",J110-TODAY())</f>
        <v/>
      </c>
      <c r="L110" s="32">
        <f>IF(A110="","",IF(H110="No","Pausada",IF(K110="","",IF(K110&lt;0,"Atrasada",IF(K110=0,"Hoy",IF(K110&lt;=7,"Esta semana","Más adelante"))))))</f>
        <v/>
      </c>
      <c r="M110" s="27">
        <f>IFERROR(IF(AND(OR(L110="Atrasada",L110="Hoy",L110="Esta semana"),OR('Hoy'!$B$3='Ajustes'!$D$5,F110='Hoy'!$B$3)),K110+ROW()/100000,""),"")</f>
        <v/>
      </c>
      <c r="N110" s="27">
        <f>IF(OR(A110="",H110="No",I110=""),0,E110*7/I110)</f>
        <v/>
      </c>
      <c r="O110" s="27">
        <f>IFERROR(IF(AND(A110&lt;&gt;"",H110&lt;&gt;"No",I110&lt;&gt;"",OR('Hoy'!$B$3='Ajustes'!$D$5,F110='Hoy'!$B$3),J110&lt;=TODAY()),ROW(),""),"")</f>
        <v/>
      </c>
      <c r="P110" s="27">
        <f>IFERROR(IF(AND(A110&lt;&gt;"",H110&lt;&gt;"No",I110&lt;&gt;"",OR('Hoy'!$B$3='Ajustes'!$D$5,F110='Hoy'!$B$3),OR(J110=TODAY()+1,AND(I110&lt;=7,J110&gt;=TODAY(),J110&lt;TODAY()+1,MOD(TODAY()+1-J110,I110)=0))),ROW(),""),"")</f>
        <v/>
      </c>
      <c r="Q110" s="27">
        <f>IFERROR(IF(AND(A110&lt;&gt;"",H110&lt;&gt;"No",I110&lt;&gt;"",OR('Hoy'!$B$3='Ajustes'!$D$5,F110='Hoy'!$B$3),OR(J110=TODAY()+2,AND(I110&lt;=7,J110&gt;=TODAY(),J110&lt;TODAY()+2,MOD(TODAY()+2-J110,I110)=0))),ROW(),""),"")</f>
        <v/>
      </c>
      <c r="R110" s="27">
        <f>IFERROR(IF(AND(A110&lt;&gt;"",H110&lt;&gt;"No",I110&lt;&gt;"",OR('Hoy'!$B$3='Ajustes'!$D$5,F110='Hoy'!$B$3),OR(J110=TODAY()+3,AND(I110&lt;=7,J110&gt;=TODAY(),J110&lt;TODAY()+3,MOD(TODAY()+3-J110,I110)=0))),ROW(),""),"")</f>
        <v/>
      </c>
      <c r="S110" s="27">
        <f>IFERROR(IF(AND(A110&lt;&gt;"",H110&lt;&gt;"No",I110&lt;&gt;"",OR('Hoy'!$B$3='Ajustes'!$D$5,F110='Hoy'!$B$3),OR(J110=TODAY()+4,AND(I110&lt;=7,J110&gt;=TODAY(),J110&lt;TODAY()+4,MOD(TODAY()+4-J110,I110)=0))),ROW(),""),"")</f>
        <v/>
      </c>
      <c r="T110" s="27">
        <f>IFERROR(IF(AND(A110&lt;&gt;"",H110&lt;&gt;"No",I110&lt;&gt;"",OR('Hoy'!$B$3='Ajustes'!$D$5,F110='Hoy'!$B$3),OR(J110=TODAY()+5,AND(I110&lt;=7,J110&gt;=TODAY(),J110&lt;TODAY()+5,MOD(TODAY()+5-J110,I110)=0))),ROW(),""),"")</f>
        <v/>
      </c>
      <c r="U110" s="27">
        <f>IFERROR(IF(AND(A110&lt;&gt;"",H110&lt;&gt;"No",I110&lt;&gt;"",OR('Hoy'!$B$3='Ajustes'!$D$5,F110='Hoy'!$B$3),OR(J110=TODAY()+6,AND(I110&lt;=7,J110&gt;=TODAY(),J110&lt;TODAY()+6,MOD(TODAY()+6-J110,I110)=0))),ROW(),""),"")</f>
        <v/>
      </c>
    </row>
    <row r="111">
      <c r="A111" s="6" t="n"/>
      <c r="B111" s="6" t="n"/>
      <c r="C111" s="28" t="n"/>
      <c r="D111" s="6" t="n"/>
      <c r="E111" s="28" t="n"/>
      <c r="F111" s="6" t="n"/>
      <c r="G111" s="6" t="n"/>
      <c r="H111" s="29" t="inlineStr">
        <is>
          <t>Sí</t>
        </is>
      </c>
      <c r="I111" s="30">
        <f>IFERROR(IF(OR(A111="",C111=""),"",C111*INDEX('Ajustes'!$I$5:$I$8,MATCH(D111,'Ajustes'!$H$5:$H$8,0))),"")</f>
        <v/>
      </c>
      <c r="J111" s="31">
        <f>IFERROR(IF(I111="","",IF(G111="",IF('Ajustes'!$B$5="",TODAY(),'Ajustes'!$B$5)+MOD(ROW()*13,I111),IF(D111='Ajustes'!$H$7,EDATE(G111,C111),IF(D111='Ajustes'!$H$8,EDATE(G111,12*C111),G111+I111)))),"")</f>
        <v/>
      </c>
      <c r="K111" s="30">
        <f>IF(J111="","",J111-TODAY())</f>
        <v/>
      </c>
      <c r="L111" s="32">
        <f>IF(A111="","",IF(H111="No","Pausada",IF(K111="","",IF(K111&lt;0,"Atrasada",IF(K111=0,"Hoy",IF(K111&lt;=7,"Esta semana","Más adelante"))))))</f>
        <v/>
      </c>
      <c r="M111" s="27">
        <f>IFERROR(IF(AND(OR(L111="Atrasada",L111="Hoy",L111="Esta semana"),OR('Hoy'!$B$3='Ajustes'!$D$5,F111='Hoy'!$B$3)),K111+ROW()/100000,""),"")</f>
        <v/>
      </c>
      <c r="N111" s="27">
        <f>IF(OR(A111="",H111="No",I111=""),0,E111*7/I111)</f>
        <v/>
      </c>
      <c r="O111" s="27">
        <f>IFERROR(IF(AND(A111&lt;&gt;"",H111&lt;&gt;"No",I111&lt;&gt;"",OR('Hoy'!$B$3='Ajustes'!$D$5,F111='Hoy'!$B$3),J111&lt;=TODAY()),ROW(),""),"")</f>
        <v/>
      </c>
      <c r="P111" s="27">
        <f>IFERROR(IF(AND(A111&lt;&gt;"",H111&lt;&gt;"No",I111&lt;&gt;"",OR('Hoy'!$B$3='Ajustes'!$D$5,F111='Hoy'!$B$3),OR(J111=TODAY()+1,AND(I111&lt;=7,J111&gt;=TODAY(),J111&lt;TODAY()+1,MOD(TODAY()+1-J111,I111)=0))),ROW(),""),"")</f>
        <v/>
      </c>
      <c r="Q111" s="27">
        <f>IFERROR(IF(AND(A111&lt;&gt;"",H111&lt;&gt;"No",I111&lt;&gt;"",OR('Hoy'!$B$3='Ajustes'!$D$5,F111='Hoy'!$B$3),OR(J111=TODAY()+2,AND(I111&lt;=7,J111&gt;=TODAY(),J111&lt;TODAY()+2,MOD(TODAY()+2-J111,I111)=0))),ROW(),""),"")</f>
        <v/>
      </c>
      <c r="R111" s="27">
        <f>IFERROR(IF(AND(A111&lt;&gt;"",H111&lt;&gt;"No",I111&lt;&gt;"",OR('Hoy'!$B$3='Ajustes'!$D$5,F111='Hoy'!$B$3),OR(J111=TODAY()+3,AND(I111&lt;=7,J111&gt;=TODAY(),J111&lt;TODAY()+3,MOD(TODAY()+3-J111,I111)=0))),ROW(),""),"")</f>
        <v/>
      </c>
      <c r="S111" s="27">
        <f>IFERROR(IF(AND(A111&lt;&gt;"",H111&lt;&gt;"No",I111&lt;&gt;"",OR('Hoy'!$B$3='Ajustes'!$D$5,F111='Hoy'!$B$3),OR(J111=TODAY()+4,AND(I111&lt;=7,J111&gt;=TODAY(),J111&lt;TODAY()+4,MOD(TODAY()+4-J111,I111)=0))),ROW(),""),"")</f>
        <v/>
      </c>
      <c r="T111" s="27">
        <f>IFERROR(IF(AND(A111&lt;&gt;"",H111&lt;&gt;"No",I111&lt;&gt;"",OR('Hoy'!$B$3='Ajustes'!$D$5,F111='Hoy'!$B$3),OR(J111=TODAY()+5,AND(I111&lt;=7,J111&gt;=TODAY(),J111&lt;TODAY()+5,MOD(TODAY()+5-J111,I111)=0))),ROW(),""),"")</f>
        <v/>
      </c>
      <c r="U111" s="27">
        <f>IFERROR(IF(AND(A111&lt;&gt;"",H111&lt;&gt;"No",I111&lt;&gt;"",OR('Hoy'!$B$3='Ajustes'!$D$5,F111='Hoy'!$B$3),OR(J111=TODAY()+6,AND(I111&lt;=7,J111&gt;=TODAY(),J111&lt;TODAY()+6,MOD(TODAY()+6-J111,I111)=0))),ROW(),""),"")</f>
        <v/>
      </c>
    </row>
    <row r="112">
      <c r="A112" s="6" t="n"/>
      <c r="B112" s="6" t="n"/>
      <c r="C112" s="28" t="n"/>
      <c r="D112" s="6" t="n"/>
      <c r="E112" s="28" t="n"/>
      <c r="F112" s="6" t="n"/>
      <c r="G112" s="6" t="n"/>
      <c r="H112" s="29" t="inlineStr">
        <is>
          <t>Sí</t>
        </is>
      </c>
      <c r="I112" s="30">
        <f>IFERROR(IF(OR(A112="",C112=""),"",C112*INDEX('Ajustes'!$I$5:$I$8,MATCH(D112,'Ajustes'!$H$5:$H$8,0))),"")</f>
        <v/>
      </c>
      <c r="J112" s="31">
        <f>IFERROR(IF(I112="","",IF(G112="",IF('Ajustes'!$B$5="",TODAY(),'Ajustes'!$B$5)+MOD(ROW()*13,I112),IF(D112='Ajustes'!$H$7,EDATE(G112,C112),IF(D112='Ajustes'!$H$8,EDATE(G112,12*C112),G112+I112)))),"")</f>
        <v/>
      </c>
      <c r="K112" s="30">
        <f>IF(J112="","",J112-TODAY())</f>
        <v/>
      </c>
      <c r="L112" s="32">
        <f>IF(A112="","",IF(H112="No","Pausada",IF(K112="","",IF(K112&lt;0,"Atrasada",IF(K112=0,"Hoy",IF(K112&lt;=7,"Esta semana","Más adelante"))))))</f>
        <v/>
      </c>
      <c r="M112" s="27">
        <f>IFERROR(IF(AND(OR(L112="Atrasada",L112="Hoy",L112="Esta semana"),OR('Hoy'!$B$3='Ajustes'!$D$5,F112='Hoy'!$B$3)),K112+ROW()/100000,""),"")</f>
        <v/>
      </c>
      <c r="N112" s="27">
        <f>IF(OR(A112="",H112="No",I112=""),0,E112*7/I112)</f>
        <v/>
      </c>
      <c r="O112" s="27">
        <f>IFERROR(IF(AND(A112&lt;&gt;"",H112&lt;&gt;"No",I112&lt;&gt;"",OR('Hoy'!$B$3='Ajustes'!$D$5,F112='Hoy'!$B$3),J112&lt;=TODAY()),ROW(),""),"")</f>
        <v/>
      </c>
      <c r="P112" s="27">
        <f>IFERROR(IF(AND(A112&lt;&gt;"",H112&lt;&gt;"No",I112&lt;&gt;"",OR('Hoy'!$B$3='Ajustes'!$D$5,F112='Hoy'!$B$3),OR(J112=TODAY()+1,AND(I112&lt;=7,J112&gt;=TODAY(),J112&lt;TODAY()+1,MOD(TODAY()+1-J112,I112)=0))),ROW(),""),"")</f>
        <v/>
      </c>
      <c r="Q112" s="27">
        <f>IFERROR(IF(AND(A112&lt;&gt;"",H112&lt;&gt;"No",I112&lt;&gt;"",OR('Hoy'!$B$3='Ajustes'!$D$5,F112='Hoy'!$B$3),OR(J112=TODAY()+2,AND(I112&lt;=7,J112&gt;=TODAY(),J112&lt;TODAY()+2,MOD(TODAY()+2-J112,I112)=0))),ROW(),""),"")</f>
        <v/>
      </c>
      <c r="R112" s="27">
        <f>IFERROR(IF(AND(A112&lt;&gt;"",H112&lt;&gt;"No",I112&lt;&gt;"",OR('Hoy'!$B$3='Ajustes'!$D$5,F112='Hoy'!$B$3),OR(J112=TODAY()+3,AND(I112&lt;=7,J112&gt;=TODAY(),J112&lt;TODAY()+3,MOD(TODAY()+3-J112,I112)=0))),ROW(),""),"")</f>
        <v/>
      </c>
      <c r="S112" s="27">
        <f>IFERROR(IF(AND(A112&lt;&gt;"",H112&lt;&gt;"No",I112&lt;&gt;"",OR('Hoy'!$B$3='Ajustes'!$D$5,F112='Hoy'!$B$3),OR(J112=TODAY()+4,AND(I112&lt;=7,J112&gt;=TODAY(),J112&lt;TODAY()+4,MOD(TODAY()+4-J112,I112)=0))),ROW(),""),"")</f>
        <v/>
      </c>
      <c r="T112" s="27">
        <f>IFERROR(IF(AND(A112&lt;&gt;"",H112&lt;&gt;"No",I112&lt;&gt;"",OR('Hoy'!$B$3='Ajustes'!$D$5,F112='Hoy'!$B$3),OR(J112=TODAY()+5,AND(I112&lt;=7,J112&gt;=TODAY(),J112&lt;TODAY()+5,MOD(TODAY()+5-J112,I112)=0))),ROW(),""),"")</f>
        <v/>
      </c>
      <c r="U112" s="27">
        <f>IFERROR(IF(AND(A112&lt;&gt;"",H112&lt;&gt;"No",I112&lt;&gt;"",OR('Hoy'!$B$3='Ajustes'!$D$5,F112='Hoy'!$B$3),OR(J112=TODAY()+6,AND(I112&lt;=7,J112&gt;=TODAY(),J112&lt;TODAY()+6,MOD(TODAY()+6-J112,I112)=0))),ROW(),""),"")</f>
        <v/>
      </c>
    </row>
    <row r="113">
      <c r="A113" s="6" t="n"/>
      <c r="B113" s="6" t="n"/>
      <c r="C113" s="28" t="n"/>
      <c r="D113" s="6" t="n"/>
      <c r="E113" s="28" t="n"/>
      <c r="F113" s="6" t="n"/>
      <c r="G113" s="6" t="n"/>
      <c r="H113" s="29" t="inlineStr">
        <is>
          <t>Sí</t>
        </is>
      </c>
      <c r="I113" s="30">
        <f>IFERROR(IF(OR(A113="",C113=""),"",C113*INDEX('Ajustes'!$I$5:$I$8,MATCH(D113,'Ajustes'!$H$5:$H$8,0))),"")</f>
        <v/>
      </c>
      <c r="J113" s="31">
        <f>IFERROR(IF(I113="","",IF(G113="",IF('Ajustes'!$B$5="",TODAY(),'Ajustes'!$B$5)+MOD(ROW()*13,I113),IF(D113='Ajustes'!$H$7,EDATE(G113,C113),IF(D113='Ajustes'!$H$8,EDATE(G113,12*C113),G113+I113)))),"")</f>
        <v/>
      </c>
      <c r="K113" s="30">
        <f>IF(J113="","",J113-TODAY())</f>
        <v/>
      </c>
      <c r="L113" s="32">
        <f>IF(A113="","",IF(H113="No","Pausada",IF(K113="","",IF(K113&lt;0,"Atrasada",IF(K113=0,"Hoy",IF(K113&lt;=7,"Esta semana","Más adelante"))))))</f>
        <v/>
      </c>
      <c r="M113" s="27">
        <f>IFERROR(IF(AND(OR(L113="Atrasada",L113="Hoy",L113="Esta semana"),OR('Hoy'!$B$3='Ajustes'!$D$5,F113='Hoy'!$B$3)),K113+ROW()/100000,""),"")</f>
        <v/>
      </c>
      <c r="N113" s="27">
        <f>IF(OR(A113="",H113="No",I113=""),0,E113*7/I113)</f>
        <v/>
      </c>
      <c r="O113" s="27">
        <f>IFERROR(IF(AND(A113&lt;&gt;"",H113&lt;&gt;"No",I113&lt;&gt;"",OR('Hoy'!$B$3='Ajustes'!$D$5,F113='Hoy'!$B$3),J113&lt;=TODAY()),ROW(),""),"")</f>
        <v/>
      </c>
      <c r="P113" s="27">
        <f>IFERROR(IF(AND(A113&lt;&gt;"",H113&lt;&gt;"No",I113&lt;&gt;"",OR('Hoy'!$B$3='Ajustes'!$D$5,F113='Hoy'!$B$3),OR(J113=TODAY()+1,AND(I113&lt;=7,J113&gt;=TODAY(),J113&lt;TODAY()+1,MOD(TODAY()+1-J113,I113)=0))),ROW(),""),"")</f>
        <v/>
      </c>
      <c r="Q113" s="27">
        <f>IFERROR(IF(AND(A113&lt;&gt;"",H113&lt;&gt;"No",I113&lt;&gt;"",OR('Hoy'!$B$3='Ajustes'!$D$5,F113='Hoy'!$B$3),OR(J113=TODAY()+2,AND(I113&lt;=7,J113&gt;=TODAY(),J113&lt;TODAY()+2,MOD(TODAY()+2-J113,I113)=0))),ROW(),""),"")</f>
        <v/>
      </c>
      <c r="R113" s="27">
        <f>IFERROR(IF(AND(A113&lt;&gt;"",H113&lt;&gt;"No",I113&lt;&gt;"",OR('Hoy'!$B$3='Ajustes'!$D$5,F113='Hoy'!$B$3),OR(J113=TODAY()+3,AND(I113&lt;=7,J113&gt;=TODAY(),J113&lt;TODAY()+3,MOD(TODAY()+3-J113,I113)=0))),ROW(),""),"")</f>
        <v/>
      </c>
      <c r="S113" s="27">
        <f>IFERROR(IF(AND(A113&lt;&gt;"",H113&lt;&gt;"No",I113&lt;&gt;"",OR('Hoy'!$B$3='Ajustes'!$D$5,F113='Hoy'!$B$3),OR(J113=TODAY()+4,AND(I113&lt;=7,J113&gt;=TODAY(),J113&lt;TODAY()+4,MOD(TODAY()+4-J113,I113)=0))),ROW(),""),"")</f>
        <v/>
      </c>
      <c r="T113" s="27">
        <f>IFERROR(IF(AND(A113&lt;&gt;"",H113&lt;&gt;"No",I113&lt;&gt;"",OR('Hoy'!$B$3='Ajustes'!$D$5,F113='Hoy'!$B$3),OR(J113=TODAY()+5,AND(I113&lt;=7,J113&gt;=TODAY(),J113&lt;TODAY()+5,MOD(TODAY()+5-J113,I113)=0))),ROW(),""),"")</f>
        <v/>
      </c>
      <c r="U113" s="27">
        <f>IFERROR(IF(AND(A113&lt;&gt;"",H113&lt;&gt;"No",I113&lt;&gt;"",OR('Hoy'!$B$3='Ajustes'!$D$5,F113='Hoy'!$B$3),OR(J113=TODAY()+6,AND(I113&lt;=7,J113&gt;=TODAY(),J113&lt;TODAY()+6,MOD(TODAY()+6-J113,I113)=0))),ROW(),""),"")</f>
        <v/>
      </c>
    </row>
    <row r="114">
      <c r="A114" s="6" t="n"/>
      <c r="B114" s="6" t="n"/>
      <c r="C114" s="28" t="n"/>
      <c r="D114" s="6" t="n"/>
      <c r="E114" s="28" t="n"/>
      <c r="F114" s="6" t="n"/>
      <c r="G114" s="6" t="n"/>
      <c r="H114" s="29" t="inlineStr">
        <is>
          <t>Sí</t>
        </is>
      </c>
      <c r="I114" s="30">
        <f>IFERROR(IF(OR(A114="",C114=""),"",C114*INDEX('Ajustes'!$I$5:$I$8,MATCH(D114,'Ajustes'!$H$5:$H$8,0))),"")</f>
        <v/>
      </c>
      <c r="J114" s="31">
        <f>IFERROR(IF(I114="","",IF(G114="",IF('Ajustes'!$B$5="",TODAY(),'Ajustes'!$B$5)+MOD(ROW()*13,I114),IF(D114='Ajustes'!$H$7,EDATE(G114,C114),IF(D114='Ajustes'!$H$8,EDATE(G114,12*C114),G114+I114)))),"")</f>
        <v/>
      </c>
      <c r="K114" s="30">
        <f>IF(J114="","",J114-TODAY())</f>
        <v/>
      </c>
      <c r="L114" s="32">
        <f>IF(A114="","",IF(H114="No","Pausada",IF(K114="","",IF(K114&lt;0,"Atrasada",IF(K114=0,"Hoy",IF(K114&lt;=7,"Esta semana","Más adelante"))))))</f>
        <v/>
      </c>
      <c r="M114" s="27">
        <f>IFERROR(IF(AND(OR(L114="Atrasada",L114="Hoy",L114="Esta semana"),OR('Hoy'!$B$3='Ajustes'!$D$5,F114='Hoy'!$B$3)),K114+ROW()/100000,""),"")</f>
        <v/>
      </c>
      <c r="N114" s="27">
        <f>IF(OR(A114="",H114="No",I114=""),0,E114*7/I114)</f>
        <v/>
      </c>
      <c r="O114" s="27">
        <f>IFERROR(IF(AND(A114&lt;&gt;"",H114&lt;&gt;"No",I114&lt;&gt;"",OR('Hoy'!$B$3='Ajustes'!$D$5,F114='Hoy'!$B$3),J114&lt;=TODAY()),ROW(),""),"")</f>
        <v/>
      </c>
      <c r="P114" s="27">
        <f>IFERROR(IF(AND(A114&lt;&gt;"",H114&lt;&gt;"No",I114&lt;&gt;"",OR('Hoy'!$B$3='Ajustes'!$D$5,F114='Hoy'!$B$3),OR(J114=TODAY()+1,AND(I114&lt;=7,J114&gt;=TODAY(),J114&lt;TODAY()+1,MOD(TODAY()+1-J114,I114)=0))),ROW(),""),"")</f>
        <v/>
      </c>
      <c r="Q114" s="27">
        <f>IFERROR(IF(AND(A114&lt;&gt;"",H114&lt;&gt;"No",I114&lt;&gt;"",OR('Hoy'!$B$3='Ajustes'!$D$5,F114='Hoy'!$B$3),OR(J114=TODAY()+2,AND(I114&lt;=7,J114&gt;=TODAY(),J114&lt;TODAY()+2,MOD(TODAY()+2-J114,I114)=0))),ROW(),""),"")</f>
        <v/>
      </c>
      <c r="R114" s="27">
        <f>IFERROR(IF(AND(A114&lt;&gt;"",H114&lt;&gt;"No",I114&lt;&gt;"",OR('Hoy'!$B$3='Ajustes'!$D$5,F114='Hoy'!$B$3),OR(J114=TODAY()+3,AND(I114&lt;=7,J114&gt;=TODAY(),J114&lt;TODAY()+3,MOD(TODAY()+3-J114,I114)=0))),ROW(),""),"")</f>
        <v/>
      </c>
      <c r="S114" s="27">
        <f>IFERROR(IF(AND(A114&lt;&gt;"",H114&lt;&gt;"No",I114&lt;&gt;"",OR('Hoy'!$B$3='Ajustes'!$D$5,F114='Hoy'!$B$3),OR(J114=TODAY()+4,AND(I114&lt;=7,J114&gt;=TODAY(),J114&lt;TODAY()+4,MOD(TODAY()+4-J114,I114)=0))),ROW(),""),"")</f>
        <v/>
      </c>
      <c r="T114" s="27">
        <f>IFERROR(IF(AND(A114&lt;&gt;"",H114&lt;&gt;"No",I114&lt;&gt;"",OR('Hoy'!$B$3='Ajustes'!$D$5,F114='Hoy'!$B$3),OR(J114=TODAY()+5,AND(I114&lt;=7,J114&gt;=TODAY(),J114&lt;TODAY()+5,MOD(TODAY()+5-J114,I114)=0))),ROW(),""),"")</f>
        <v/>
      </c>
      <c r="U114" s="27">
        <f>IFERROR(IF(AND(A114&lt;&gt;"",H114&lt;&gt;"No",I114&lt;&gt;"",OR('Hoy'!$B$3='Ajustes'!$D$5,F114='Hoy'!$B$3),OR(J114=TODAY()+6,AND(I114&lt;=7,J114&gt;=TODAY(),J114&lt;TODAY()+6,MOD(TODAY()+6-J114,I114)=0))),ROW(),""),"")</f>
        <v/>
      </c>
    </row>
    <row r="115">
      <c r="A115" s="6" t="n"/>
      <c r="B115" s="6" t="n"/>
      <c r="C115" s="28" t="n"/>
      <c r="D115" s="6" t="n"/>
      <c r="E115" s="28" t="n"/>
      <c r="F115" s="6" t="n"/>
      <c r="G115" s="6" t="n"/>
      <c r="H115" s="29" t="inlineStr">
        <is>
          <t>Sí</t>
        </is>
      </c>
      <c r="I115" s="30">
        <f>IFERROR(IF(OR(A115="",C115=""),"",C115*INDEX('Ajustes'!$I$5:$I$8,MATCH(D115,'Ajustes'!$H$5:$H$8,0))),"")</f>
        <v/>
      </c>
      <c r="J115" s="31">
        <f>IFERROR(IF(I115="","",IF(G115="",IF('Ajustes'!$B$5="",TODAY(),'Ajustes'!$B$5)+MOD(ROW()*13,I115),IF(D115='Ajustes'!$H$7,EDATE(G115,C115),IF(D115='Ajustes'!$H$8,EDATE(G115,12*C115),G115+I115)))),"")</f>
        <v/>
      </c>
      <c r="K115" s="30">
        <f>IF(J115="","",J115-TODAY())</f>
        <v/>
      </c>
      <c r="L115" s="32">
        <f>IF(A115="","",IF(H115="No","Pausada",IF(K115="","",IF(K115&lt;0,"Atrasada",IF(K115=0,"Hoy",IF(K115&lt;=7,"Esta semana","Más adelante"))))))</f>
        <v/>
      </c>
      <c r="M115" s="27">
        <f>IFERROR(IF(AND(OR(L115="Atrasada",L115="Hoy",L115="Esta semana"),OR('Hoy'!$B$3='Ajustes'!$D$5,F115='Hoy'!$B$3)),K115+ROW()/100000,""),"")</f>
        <v/>
      </c>
      <c r="N115" s="27">
        <f>IF(OR(A115="",H115="No",I115=""),0,E115*7/I115)</f>
        <v/>
      </c>
      <c r="O115" s="27">
        <f>IFERROR(IF(AND(A115&lt;&gt;"",H115&lt;&gt;"No",I115&lt;&gt;"",OR('Hoy'!$B$3='Ajustes'!$D$5,F115='Hoy'!$B$3),J115&lt;=TODAY()),ROW(),""),"")</f>
        <v/>
      </c>
      <c r="P115" s="27">
        <f>IFERROR(IF(AND(A115&lt;&gt;"",H115&lt;&gt;"No",I115&lt;&gt;"",OR('Hoy'!$B$3='Ajustes'!$D$5,F115='Hoy'!$B$3),OR(J115=TODAY()+1,AND(I115&lt;=7,J115&gt;=TODAY(),J115&lt;TODAY()+1,MOD(TODAY()+1-J115,I115)=0))),ROW(),""),"")</f>
        <v/>
      </c>
      <c r="Q115" s="27">
        <f>IFERROR(IF(AND(A115&lt;&gt;"",H115&lt;&gt;"No",I115&lt;&gt;"",OR('Hoy'!$B$3='Ajustes'!$D$5,F115='Hoy'!$B$3),OR(J115=TODAY()+2,AND(I115&lt;=7,J115&gt;=TODAY(),J115&lt;TODAY()+2,MOD(TODAY()+2-J115,I115)=0))),ROW(),""),"")</f>
        <v/>
      </c>
      <c r="R115" s="27">
        <f>IFERROR(IF(AND(A115&lt;&gt;"",H115&lt;&gt;"No",I115&lt;&gt;"",OR('Hoy'!$B$3='Ajustes'!$D$5,F115='Hoy'!$B$3),OR(J115=TODAY()+3,AND(I115&lt;=7,J115&gt;=TODAY(),J115&lt;TODAY()+3,MOD(TODAY()+3-J115,I115)=0))),ROW(),""),"")</f>
        <v/>
      </c>
      <c r="S115" s="27">
        <f>IFERROR(IF(AND(A115&lt;&gt;"",H115&lt;&gt;"No",I115&lt;&gt;"",OR('Hoy'!$B$3='Ajustes'!$D$5,F115='Hoy'!$B$3),OR(J115=TODAY()+4,AND(I115&lt;=7,J115&gt;=TODAY(),J115&lt;TODAY()+4,MOD(TODAY()+4-J115,I115)=0))),ROW(),""),"")</f>
        <v/>
      </c>
      <c r="T115" s="27">
        <f>IFERROR(IF(AND(A115&lt;&gt;"",H115&lt;&gt;"No",I115&lt;&gt;"",OR('Hoy'!$B$3='Ajustes'!$D$5,F115='Hoy'!$B$3),OR(J115=TODAY()+5,AND(I115&lt;=7,J115&gt;=TODAY(),J115&lt;TODAY()+5,MOD(TODAY()+5-J115,I115)=0))),ROW(),""),"")</f>
        <v/>
      </c>
      <c r="U115" s="27">
        <f>IFERROR(IF(AND(A115&lt;&gt;"",H115&lt;&gt;"No",I115&lt;&gt;"",OR('Hoy'!$B$3='Ajustes'!$D$5,F115='Hoy'!$B$3),OR(J115=TODAY()+6,AND(I115&lt;=7,J115&gt;=TODAY(),J115&lt;TODAY()+6,MOD(TODAY()+6-J115,I115)=0))),ROW(),""),"")</f>
        <v/>
      </c>
    </row>
    <row r="116">
      <c r="A116" s="6" t="n"/>
      <c r="B116" s="6" t="n"/>
      <c r="C116" s="28" t="n"/>
      <c r="D116" s="6" t="n"/>
      <c r="E116" s="28" t="n"/>
      <c r="F116" s="6" t="n"/>
      <c r="G116" s="6" t="n"/>
      <c r="H116" s="29" t="inlineStr">
        <is>
          <t>Sí</t>
        </is>
      </c>
      <c r="I116" s="30">
        <f>IFERROR(IF(OR(A116="",C116=""),"",C116*INDEX('Ajustes'!$I$5:$I$8,MATCH(D116,'Ajustes'!$H$5:$H$8,0))),"")</f>
        <v/>
      </c>
      <c r="J116" s="31">
        <f>IFERROR(IF(I116="","",IF(G116="",IF('Ajustes'!$B$5="",TODAY(),'Ajustes'!$B$5)+MOD(ROW()*13,I116),IF(D116='Ajustes'!$H$7,EDATE(G116,C116),IF(D116='Ajustes'!$H$8,EDATE(G116,12*C116),G116+I116)))),"")</f>
        <v/>
      </c>
      <c r="K116" s="30">
        <f>IF(J116="","",J116-TODAY())</f>
        <v/>
      </c>
      <c r="L116" s="32">
        <f>IF(A116="","",IF(H116="No","Pausada",IF(K116="","",IF(K116&lt;0,"Atrasada",IF(K116=0,"Hoy",IF(K116&lt;=7,"Esta semana","Más adelante"))))))</f>
        <v/>
      </c>
      <c r="M116" s="27">
        <f>IFERROR(IF(AND(OR(L116="Atrasada",L116="Hoy",L116="Esta semana"),OR('Hoy'!$B$3='Ajustes'!$D$5,F116='Hoy'!$B$3)),K116+ROW()/100000,""),"")</f>
        <v/>
      </c>
      <c r="N116" s="27">
        <f>IF(OR(A116="",H116="No",I116=""),0,E116*7/I116)</f>
        <v/>
      </c>
      <c r="O116" s="27">
        <f>IFERROR(IF(AND(A116&lt;&gt;"",H116&lt;&gt;"No",I116&lt;&gt;"",OR('Hoy'!$B$3='Ajustes'!$D$5,F116='Hoy'!$B$3),J116&lt;=TODAY()),ROW(),""),"")</f>
        <v/>
      </c>
      <c r="P116" s="27">
        <f>IFERROR(IF(AND(A116&lt;&gt;"",H116&lt;&gt;"No",I116&lt;&gt;"",OR('Hoy'!$B$3='Ajustes'!$D$5,F116='Hoy'!$B$3),OR(J116=TODAY()+1,AND(I116&lt;=7,J116&gt;=TODAY(),J116&lt;TODAY()+1,MOD(TODAY()+1-J116,I116)=0))),ROW(),""),"")</f>
        <v/>
      </c>
      <c r="Q116" s="27">
        <f>IFERROR(IF(AND(A116&lt;&gt;"",H116&lt;&gt;"No",I116&lt;&gt;"",OR('Hoy'!$B$3='Ajustes'!$D$5,F116='Hoy'!$B$3),OR(J116=TODAY()+2,AND(I116&lt;=7,J116&gt;=TODAY(),J116&lt;TODAY()+2,MOD(TODAY()+2-J116,I116)=0))),ROW(),""),"")</f>
        <v/>
      </c>
      <c r="R116" s="27">
        <f>IFERROR(IF(AND(A116&lt;&gt;"",H116&lt;&gt;"No",I116&lt;&gt;"",OR('Hoy'!$B$3='Ajustes'!$D$5,F116='Hoy'!$B$3),OR(J116=TODAY()+3,AND(I116&lt;=7,J116&gt;=TODAY(),J116&lt;TODAY()+3,MOD(TODAY()+3-J116,I116)=0))),ROW(),""),"")</f>
        <v/>
      </c>
      <c r="S116" s="27">
        <f>IFERROR(IF(AND(A116&lt;&gt;"",H116&lt;&gt;"No",I116&lt;&gt;"",OR('Hoy'!$B$3='Ajustes'!$D$5,F116='Hoy'!$B$3),OR(J116=TODAY()+4,AND(I116&lt;=7,J116&gt;=TODAY(),J116&lt;TODAY()+4,MOD(TODAY()+4-J116,I116)=0))),ROW(),""),"")</f>
        <v/>
      </c>
      <c r="T116" s="27">
        <f>IFERROR(IF(AND(A116&lt;&gt;"",H116&lt;&gt;"No",I116&lt;&gt;"",OR('Hoy'!$B$3='Ajustes'!$D$5,F116='Hoy'!$B$3),OR(J116=TODAY()+5,AND(I116&lt;=7,J116&gt;=TODAY(),J116&lt;TODAY()+5,MOD(TODAY()+5-J116,I116)=0))),ROW(),""),"")</f>
        <v/>
      </c>
      <c r="U116" s="27">
        <f>IFERROR(IF(AND(A116&lt;&gt;"",H116&lt;&gt;"No",I116&lt;&gt;"",OR('Hoy'!$B$3='Ajustes'!$D$5,F116='Hoy'!$B$3),OR(J116=TODAY()+6,AND(I116&lt;=7,J116&gt;=TODAY(),J116&lt;TODAY()+6,MOD(TODAY()+6-J116,I116)=0))),ROW(),""),"")</f>
        <v/>
      </c>
    </row>
    <row r="117">
      <c r="A117" s="6" t="n"/>
      <c r="B117" s="6" t="n"/>
      <c r="C117" s="28" t="n"/>
      <c r="D117" s="6" t="n"/>
      <c r="E117" s="28" t="n"/>
      <c r="F117" s="6" t="n"/>
      <c r="G117" s="6" t="n"/>
      <c r="H117" s="29" t="inlineStr">
        <is>
          <t>Sí</t>
        </is>
      </c>
      <c r="I117" s="30">
        <f>IFERROR(IF(OR(A117="",C117=""),"",C117*INDEX('Ajustes'!$I$5:$I$8,MATCH(D117,'Ajustes'!$H$5:$H$8,0))),"")</f>
        <v/>
      </c>
      <c r="J117" s="31">
        <f>IFERROR(IF(I117="","",IF(G117="",IF('Ajustes'!$B$5="",TODAY(),'Ajustes'!$B$5)+MOD(ROW()*13,I117),IF(D117='Ajustes'!$H$7,EDATE(G117,C117),IF(D117='Ajustes'!$H$8,EDATE(G117,12*C117),G117+I117)))),"")</f>
        <v/>
      </c>
      <c r="K117" s="30">
        <f>IF(J117="","",J117-TODAY())</f>
        <v/>
      </c>
      <c r="L117" s="32">
        <f>IF(A117="","",IF(H117="No","Pausada",IF(K117="","",IF(K117&lt;0,"Atrasada",IF(K117=0,"Hoy",IF(K117&lt;=7,"Esta semana","Más adelante"))))))</f>
        <v/>
      </c>
      <c r="M117" s="27">
        <f>IFERROR(IF(AND(OR(L117="Atrasada",L117="Hoy",L117="Esta semana"),OR('Hoy'!$B$3='Ajustes'!$D$5,F117='Hoy'!$B$3)),K117+ROW()/100000,""),"")</f>
        <v/>
      </c>
      <c r="N117" s="27">
        <f>IF(OR(A117="",H117="No",I117=""),0,E117*7/I117)</f>
        <v/>
      </c>
      <c r="O117" s="27">
        <f>IFERROR(IF(AND(A117&lt;&gt;"",H117&lt;&gt;"No",I117&lt;&gt;"",OR('Hoy'!$B$3='Ajustes'!$D$5,F117='Hoy'!$B$3),J117&lt;=TODAY()),ROW(),""),"")</f>
        <v/>
      </c>
      <c r="P117" s="27">
        <f>IFERROR(IF(AND(A117&lt;&gt;"",H117&lt;&gt;"No",I117&lt;&gt;"",OR('Hoy'!$B$3='Ajustes'!$D$5,F117='Hoy'!$B$3),OR(J117=TODAY()+1,AND(I117&lt;=7,J117&gt;=TODAY(),J117&lt;TODAY()+1,MOD(TODAY()+1-J117,I117)=0))),ROW(),""),"")</f>
        <v/>
      </c>
      <c r="Q117" s="27">
        <f>IFERROR(IF(AND(A117&lt;&gt;"",H117&lt;&gt;"No",I117&lt;&gt;"",OR('Hoy'!$B$3='Ajustes'!$D$5,F117='Hoy'!$B$3),OR(J117=TODAY()+2,AND(I117&lt;=7,J117&gt;=TODAY(),J117&lt;TODAY()+2,MOD(TODAY()+2-J117,I117)=0))),ROW(),""),"")</f>
        <v/>
      </c>
      <c r="R117" s="27">
        <f>IFERROR(IF(AND(A117&lt;&gt;"",H117&lt;&gt;"No",I117&lt;&gt;"",OR('Hoy'!$B$3='Ajustes'!$D$5,F117='Hoy'!$B$3),OR(J117=TODAY()+3,AND(I117&lt;=7,J117&gt;=TODAY(),J117&lt;TODAY()+3,MOD(TODAY()+3-J117,I117)=0))),ROW(),""),"")</f>
        <v/>
      </c>
      <c r="S117" s="27">
        <f>IFERROR(IF(AND(A117&lt;&gt;"",H117&lt;&gt;"No",I117&lt;&gt;"",OR('Hoy'!$B$3='Ajustes'!$D$5,F117='Hoy'!$B$3),OR(J117=TODAY()+4,AND(I117&lt;=7,J117&gt;=TODAY(),J117&lt;TODAY()+4,MOD(TODAY()+4-J117,I117)=0))),ROW(),""),"")</f>
        <v/>
      </c>
      <c r="T117" s="27">
        <f>IFERROR(IF(AND(A117&lt;&gt;"",H117&lt;&gt;"No",I117&lt;&gt;"",OR('Hoy'!$B$3='Ajustes'!$D$5,F117='Hoy'!$B$3),OR(J117=TODAY()+5,AND(I117&lt;=7,J117&gt;=TODAY(),J117&lt;TODAY()+5,MOD(TODAY()+5-J117,I117)=0))),ROW(),""),"")</f>
        <v/>
      </c>
      <c r="U117" s="27">
        <f>IFERROR(IF(AND(A117&lt;&gt;"",H117&lt;&gt;"No",I117&lt;&gt;"",OR('Hoy'!$B$3='Ajustes'!$D$5,F117='Hoy'!$B$3),OR(J117=TODAY()+6,AND(I117&lt;=7,J117&gt;=TODAY(),J117&lt;TODAY()+6,MOD(TODAY()+6-J117,I117)=0))),ROW(),""),"")</f>
        <v/>
      </c>
    </row>
    <row r="118">
      <c r="A118" s="6" t="n"/>
      <c r="B118" s="6" t="n"/>
      <c r="C118" s="28" t="n"/>
      <c r="D118" s="6" t="n"/>
      <c r="E118" s="28" t="n"/>
      <c r="F118" s="6" t="n"/>
      <c r="G118" s="6" t="n"/>
      <c r="H118" s="29" t="inlineStr">
        <is>
          <t>Sí</t>
        </is>
      </c>
      <c r="I118" s="30">
        <f>IFERROR(IF(OR(A118="",C118=""),"",C118*INDEX('Ajustes'!$I$5:$I$8,MATCH(D118,'Ajustes'!$H$5:$H$8,0))),"")</f>
        <v/>
      </c>
      <c r="J118" s="31">
        <f>IFERROR(IF(I118="","",IF(G118="",IF('Ajustes'!$B$5="",TODAY(),'Ajustes'!$B$5)+MOD(ROW()*13,I118),IF(D118='Ajustes'!$H$7,EDATE(G118,C118),IF(D118='Ajustes'!$H$8,EDATE(G118,12*C118),G118+I118)))),"")</f>
        <v/>
      </c>
      <c r="K118" s="30">
        <f>IF(J118="","",J118-TODAY())</f>
        <v/>
      </c>
      <c r="L118" s="32">
        <f>IF(A118="","",IF(H118="No","Pausada",IF(K118="","",IF(K118&lt;0,"Atrasada",IF(K118=0,"Hoy",IF(K118&lt;=7,"Esta semana","Más adelante"))))))</f>
        <v/>
      </c>
      <c r="M118" s="27">
        <f>IFERROR(IF(AND(OR(L118="Atrasada",L118="Hoy",L118="Esta semana"),OR('Hoy'!$B$3='Ajustes'!$D$5,F118='Hoy'!$B$3)),K118+ROW()/100000,""),"")</f>
        <v/>
      </c>
      <c r="N118" s="27">
        <f>IF(OR(A118="",H118="No",I118=""),0,E118*7/I118)</f>
        <v/>
      </c>
      <c r="O118" s="27">
        <f>IFERROR(IF(AND(A118&lt;&gt;"",H118&lt;&gt;"No",I118&lt;&gt;"",OR('Hoy'!$B$3='Ajustes'!$D$5,F118='Hoy'!$B$3),J118&lt;=TODAY()),ROW(),""),"")</f>
        <v/>
      </c>
      <c r="P118" s="27">
        <f>IFERROR(IF(AND(A118&lt;&gt;"",H118&lt;&gt;"No",I118&lt;&gt;"",OR('Hoy'!$B$3='Ajustes'!$D$5,F118='Hoy'!$B$3),OR(J118=TODAY()+1,AND(I118&lt;=7,J118&gt;=TODAY(),J118&lt;TODAY()+1,MOD(TODAY()+1-J118,I118)=0))),ROW(),""),"")</f>
        <v/>
      </c>
      <c r="Q118" s="27">
        <f>IFERROR(IF(AND(A118&lt;&gt;"",H118&lt;&gt;"No",I118&lt;&gt;"",OR('Hoy'!$B$3='Ajustes'!$D$5,F118='Hoy'!$B$3),OR(J118=TODAY()+2,AND(I118&lt;=7,J118&gt;=TODAY(),J118&lt;TODAY()+2,MOD(TODAY()+2-J118,I118)=0))),ROW(),""),"")</f>
        <v/>
      </c>
      <c r="R118" s="27">
        <f>IFERROR(IF(AND(A118&lt;&gt;"",H118&lt;&gt;"No",I118&lt;&gt;"",OR('Hoy'!$B$3='Ajustes'!$D$5,F118='Hoy'!$B$3),OR(J118=TODAY()+3,AND(I118&lt;=7,J118&gt;=TODAY(),J118&lt;TODAY()+3,MOD(TODAY()+3-J118,I118)=0))),ROW(),""),"")</f>
        <v/>
      </c>
      <c r="S118" s="27">
        <f>IFERROR(IF(AND(A118&lt;&gt;"",H118&lt;&gt;"No",I118&lt;&gt;"",OR('Hoy'!$B$3='Ajustes'!$D$5,F118='Hoy'!$B$3),OR(J118=TODAY()+4,AND(I118&lt;=7,J118&gt;=TODAY(),J118&lt;TODAY()+4,MOD(TODAY()+4-J118,I118)=0))),ROW(),""),"")</f>
        <v/>
      </c>
      <c r="T118" s="27">
        <f>IFERROR(IF(AND(A118&lt;&gt;"",H118&lt;&gt;"No",I118&lt;&gt;"",OR('Hoy'!$B$3='Ajustes'!$D$5,F118='Hoy'!$B$3),OR(J118=TODAY()+5,AND(I118&lt;=7,J118&gt;=TODAY(),J118&lt;TODAY()+5,MOD(TODAY()+5-J118,I118)=0))),ROW(),""),"")</f>
        <v/>
      </c>
      <c r="U118" s="27">
        <f>IFERROR(IF(AND(A118&lt;&gt;"",H118&lt;&gt;"No",I118&lt;&gt;"",OR('Hoy'!$B$3='Ajustes'!$D$5,F118='Hoy'!$B$3),OR(J118=TODAY()+6,AND(I118&lt;=7,J118&gt;=TODAY(),J118&lt;TODAY()+6,MOD(TODAY()+6-J118,I118)=0))),ROW(),""),"")</f>
        <v/>
      </c>
    </row>
    <row r="119">
      <c r="A119" s="6" t="n"/>
      <c r="B119" s="6" t="n"/>
      <c r="C119" s="28" t="n"/>
      <c r="D119" s="6" t="n"/>
      <c r="E119" s="28" t="n"/>
      <c r="F119" s="6" t="n"/>
      <c r="G119" s="6" t="n"/>
      <c r="H119" s="29" t="inlineStr">
        <is>
          <t>Sí</t>
        </is>
      </c>
      <c r="I119" s="30">
        <f>IFERROR(IF(OR(A119="",C119=""),"",C119*INDEX('Ajustes'!$I$5:$I$8,MATCH(D119,'Ajustes'!$H$5:$H$8,0))),"")</f>
        <v/>
      </c>
      <c r="J119" s="31">
        <f>IFERROR(IF(I119="","",IF(G119="",IF('Ajustes'!$B$5="",TODAY(),'Ajustes'!$B$5)+MOD(ROW()*13,I119),IF(D119='Ajustes'!$H$7,EDATE(G119,C119),IF(D119='Ajustes'!$H$8,EDATE(G119,12*C119),G119+I119)))),"")</f>
        <v/>
      </c>
      <c r="K119" s="30">
        <f>IF(J119="","",J119-TODAY())</f>
        <v/>
      </c>
      <c r="L119" s="32">
        <f>IF(A119="","",IF(H119="No","Pausada",IF(K119="","",IF(K119&lt;0,"Atrasada",IF(K119=0,"Hoy",IF(K119&lt;=7,"Esta semana","Más adelante"))))))</f>
        <v/>
      </c>
      <c r="M119" s="27">
        <f>IFERROR(IF(AND(OR(L119="Atrasada",L119="Hoy",L119="Esta semana"),OR('Hoy'!$B$3='Ajustes'!$D$5,F119='Hoy'!$B$3)),K119+ROW()/100000,""),"")</f>
        <v/>
      </c>
      <c r="N119" s="27">
        <f>IF(OR(A119="",H119="No",I119=""),0,E119*7/I119)</f>
        <v/>
      </c>
      <c r="O119" s="27">
        <f>IFERROR(IF(AND(A119&lt;&gt;"",H119&lt;&gt;"No",I119&lt;&gt;"",OR('Hoy'!$B$3='Ajustes'!$D$5,F119='Hoy'!$B$3),J119&lt;=TODAY()),ROW(),""),"")</f>
        <v/>
      </c>
      <c r="P119" s="27">
        <f>IFERROR(IF(AND(A119&lt;&gt;"",H119&lt;&gt;"No",I119&lt;&gt;"",OR('Hoy'!$B$3='Ajustes'!$D$5,F119='Hoy'!$B$3),OR(J119=TODAY()+1,AND(I119&lt;=7,J119&gt;=TODAY(),J119&lt;TODAY()+1,MOD(TODAY()+1-J119,I119)=0))),ROW(),""),"")</f>
        <v/>
      </c>
      <c r="Q119" s="27">
        <f>IFERROR(IF(AND(A119&lt;&gt;"",H119&lt;&gt;"No",I119&lt;&gt;"",OR('Hoy'!$B$3='Ajustes'!$D$5,F119='Hoy'!$B$3),OR(J119=TODAY()+2,AND(I119&lt;=7,J119&gt;=TODAY(),J119&lt;TODAY()+2,MOD(TODAY()+2-J119,I119)=0))),ROW(),""),"")</f>
        <v/>
      </c>
      <c r="R119" s="27">
        <f>IFERROR(IF(AND(A119&lt;&gt;"",H119&lt;&gt;"No",I119&lt;&gt;"",OR('Hoy'!$B$3='Ajustes'!$D$5,F119='Hoy'!$B$3),OR(J119=TODAY()+3,AND(I119&lt;=7,J119&gt;=TODAY(),J119&lt;TODAY()+3,MOD(TODAY()+3-J119,I119)=0))),ROW(),""),"")</f>
        <v/>
      </c>
      <c r="S119" s="27">
        <f>IFERROR(IF(AND(A119&lt;&gt;"",H119&lt;&gt;"No",I119&lt;&gt;"",OR('Hoy'!$B$3='Ajustes'!$D$5,F119='Hoy'!$B$3),OR(J119=TODAY()+4,AND(I119&lt;=7,J119&gt;=TODAY(),J119&lt;TODAY()+4,MOD(TODAY()+4-J119,I119)=0))),ROW(),""),"")</f>
        <v/>
      </c>
      <c r="T119" s="27">
        <f>IFERROR(IF(AND(A119&lt;&gt;"",H119&lt;&gt;"No",I119&lt;&gt;"",OR('Hoy'!$B$3='Ajustes'!$D$5,F119='Hoy'!$B$3),OR(J119=TODAY()+5,AND(I119&lt;=7,J119&gt;=TODAY(),J119&lt;TODAY()+5,MOD(TODAY()+5-J119,I119)=0))),ROW(),""),"")</f>
        <v/>
      </c>
      <c r="U119" s="27">
        <f>IFERROR(IF(AND(A119&lt;&gt;"",H119&lt;&gt;"No",I119&lt;&gt;"",OR('Hoy'!$B$3='Ajustes'!$D$5,F119='Hoy'!$B$3),OR(J119=TODAY()+6,AND(I119&lt;=7,J119&gt;=TODAY(),J119&lt;TODAY()+6,MOD(TODAY()+6-J119,I119)=0))),ROW(),""),"")</f>
        <v/>
      </c>
    </row>
    <row r="120">
      <c r="A120" s="6" t="n"/>
      <c r="B120" s="6" t="n"/>
      <c r="C120" s="28" t="n"/>
      <c r="D120" s="6" t="n"/>
      <c r="E120" s="28" t="n"/>
      <c r="F120" s="6" t="n"/>
      <c r="G120" s="6" t="n"/>
      <c r="H120" s="29" t="inlineStr">
        <is>
          <t>Sí</t>
        </is>
      </c>
      <c r="I120" s="30">
        <f>IFERROR(IF(OR(A120="",C120=""),"",C120*INDEX('Ajustes'!$I$5:$I$8,MATCH(D120,'Ajustes'!$H$5:$H$8,0))),"")</f>
        <v/>
      </c>
      <c r="J120" s="31">
        <f>IFERROR(IF(I120="","",IF(G120="",IF('Ajustes'!$B$5="",TODAY(),'Ajustes'!$B$5)+MOD(ROW()*13,I120),IF(D120='Ajustes'!$H$7,EDATE(G120,C120),IF(D120='Ajustes'!$H$8,EDATE(G120,12*C120),G120+I120)))),"")</f>
        <v/>
      </c>
      <c r="K120" s="30">
        <f>IF(J120="","",J120-TODAY())</f>
        <v/>
      </c>
      <c r="L120" s="32">
        <f>IF(A120="","",IF(H120="No","Pausada",IF(K120="","",IF(K120&lt;0,"Atrasada",IF(K120=0,"Hoy",IF(K120&lt;=7,"Esta semana","Más adelante"))))))</f>
        <v/>
      </c>
      <c r="M120" s="27">
        <f>IFERROR(IF(AND(OR(L120="Atrasada",L120="Hoy",L120="Esta semana"),OR('Hoy'!$B$3='Ajustes'!$D$5,F120='Hoy'!$B$3)),K120+ROW()/100000,""),"")</f>
        <v/>
      </c>
      <c r="N120" s="27">
        <f>IF(OR(A120="",H120="No",I120=""),0,E120*7/I120)</f>
        <v/>
      </c>
      <c r="O120" s="27">
        <f>IFERROR(IF(AND(A120&lt;&gt;"",H120&lt;&gt;"No",I120&lt;&gt;"",OR('Hoy'!$B$3='Ajustes'!$D$5,F120='Hoy'!$B$3),J120&lt;=TODAY()),ROW(),""),"")</f>
        <v/>
      </c>
      <c r="P120" s="27">
        <f>IFERROR(IF(AND(A120&lt;&gt;"",H120&lt;&gt;"No",I120&lt;&gt;"",OR('Hoy'!$B$3='Ajustes'!$D$5,F120='Hoy'!$B$3),OR(J120=TODAY()+1,AND(I120&lt;=7,J120&gt;=TODAY(),J120&lt;TODAY()+1,MOD(TODAY()+1-J120,I120)=0))),ROW(),""),"")</f>
        <v/>
      </c>
      <c r="Q120" s="27">
        <f>IFERROR(IF(AND(A120&lt;&gt;"",H120&lt;&gt;"No",I120&lt;&gt;"",OR('Hoy'!$B$3='Ajustes'!$D$5,F120='Hoy'!$B$3),OR(J120=TODAY()+2,AND(I120&lt;=7,J120&gt;=TODAY(),J120&lt;TODAY()+2,MOD(TODAY()+2-J120,I120)=0))),ROW(),""),"")</f>
        <v/>
      </c>
      <c r="R120" s="27">
        <f>IFERROR(IF(AND(A120&lt;&gt;"",H120&lt;&gt;"No",I120&lt;&gt;"",OR('Hoy'!$B$3='Ajustes'!$D$5,F120='Hoy'!$B$3),OR(J120=TODAY()+3,AND(I120&lt;=7,J120&gt;=TODAY(),J120&lt;TODAY()+3,MOD(TODAY()+3-J120,I120)=0))),ROW(),""),"")</f>
        <v/>
      </c>
      <c r="S120" s="27">
        <f>IFERROR(IF(AND(A120&lt;&gt;"",H120&lt;&gt;"No",I120&lt;&gt;"",OR('Hoy'!$B$3='Ajustes'!$D$5,F120='Hoy'!$B$3),OR(J120=TODAY()+4,AND(I120&lt;=7,J120&gt;=TODAY(),J120&lt;TODAY()+4,MOD(TODAY()+4-J120,I120)=0))),ROW(),""),"")</f>
        <v/>
      </c>
      <c r="T120" s="27">
        <f>IFERROR(IF(AND(A120&lt;&gt;"",H120&lt;&gt;"No",I120&lt;&gt;"",OR('Hoy'!$B$3='Ajustes'!$D$5,F120='Hoy'!$B$3),OR(J120=TODAY()+5,AND(I120&lt;=7,J120&gt;=TODAY(),J120&lt;TODAY()+5,MOD(TODAY()+5-J120,I120)=0))),ROW(),""),"")</f>
        <v/>
      </c>
      <c r="U120" s="27">
        <f>IFERROR(IF(AND(A120&lt;&gt;"",H120&lt;&gt;"No",I120&lt;&gt;"",OR('Hoy'!$B$3='Ajustes'!$D$5,F120='Hoy'!$B$3),OR(J120=TODAY()+6,AND(I120&lt;=7,J120&gt;=TODAY(),J120&lt;TODAY()+6,MOD(TODAY()+6-J120,I120)=0))),ROW(),""),"")</f>
        <v/>
      </c>
    </row>
    <row r="121">
      <c r="A121" s="6" t="n"/>
      <c r="B121" s="6" t="n"/>
      <c r="C121" s="28" t="n"/>
      <c r="D121" s="6" t="n"/>
      <c r="E121" s="28" t="n"/>
      <c r="F121" s="6" t="n"/>
      <c r="G121" s="6" t="n"/>
      <c r="H121" s="29" t="inlineStr">
        <is>
          <t>Sí</t>
        </is>
      </c>
      <c r="I121" s="30">
        <f>IFERROR(IF(OR(A121="",C121=""),"",C121*INDEX('Ajustes'!$I$5:$I$8,MATCH(D121,'Ajustes'!$H$5:$H$8,0))),"")</f>
        <v/>
      </c>
      <c r="J121" s="31">
        <f>IFERROR(IF(I121="","",IF(G121="",IF('Ajustes'!$B$5="",TODAY(),'Ajustes'!$B$5)+MOD(ROW()*13,I121),IF(D121='Ajustes'!$H$7,EDATE(G121,C121),IF(D121='Ajustes'!$H$8,EDATE(G121,12*C121),G121+I121)))),"")</f>
        <v/>
      </c>
      <c r="K121" s="30">
        <f>IF(J121="","",J121-TODAY())</f>
        <v/>
      </c>
      <c r="L121" s="32">
        <f>IF(A121="","",IF(H121="No","Pausada",IF(K121="","",IF(K121&lt;0,"Atrasada",IF(K121=0,"Hoy",IF(K121&lt;=7,"Esta semana","Más adelante"))))))</f>
        <v/>
      </c>
      <c r="M121" s="27">
        <f>IFERROR(IF(AND(OR(L121="Atrasada",L121="Hoy",L121="Esta semana"),OR('Hoy'!$B$3='Ajustes'!$D$5,F121='Hoy'!$B$3)),K121+ROW()/100000,""),"")</f>
        <v/>
      </c>
      <c r="N121" s="27">
        <f>IF(OR(A121="",H121="No",I121=""),0,E121*7/I121)</f>
        <v/>
      </c>
      <c r="O121" s="27">
        <f>IFERROR(IF(AND(A121&lt;&gt;"",H121&lt;&gt;"No",I121&lt;&gt;"",OR('Hoy'!$B$3='Ajustes'!$D$5,F121='Hoy'!$B$3),J121&lt;=TODAY()),ROW(),""),"")</f>
        <v/>
      </c>
      <c r="P121" s="27">
        <f>IFERROR(IF(AND(A121&lt;&gt;"",H121&lt;&gt;"No",I121&lt;&gt;"",OR('Hoy'!$B$3='Ajustes'!$D$5,F121='Hoy'!$B$3),OR(J121=TODAY()+1,AND(I121&lt;=7,J121&gt;=TODAY(),J121&lt;TODAY()+1,MOD(TODAY()+1-J121,I121)=0))),ROW(),""),"")</f>
        <v/>
      </c>
      <c r="Q121" s="27">
        <f>IFERROR(IF(AND(A121&lt;&gt;"",H121&lt;&gt;"No",I121&lt;&gt;"",OR('Hoy'!$B$3='Ajustes'!$D$5,F121='Hoy'!$B$3),OR(J121=TODAY()+2,AND(I121&lt;=7,J121&gt;=TODAY(),J121&lt;TODAY()+2,MOD(TODAY()+2-J121,I121)=0))),ROW(),""),"")</f>
        <v/>
      </c>
      <c r="R121" s="27">
        <f>IFERROR(IF(AND(A121&lt;&gt;"",H121&lt;&gt;"No",I121&lt;&gt;"",OR('Hoy'!$B$3='Ajustes'!$D$5,F121='Hoy'!$B$3),OR(J121=TODAY()+3,AND(I121&lt;=7,J121&gt;=TODAY(),J121&lt;TODAY()+3,MOD(TODAY()+3-J121,I121)=0))),ROW(),""),"")</f>
        <v/>
      </c>
      <c r="S121" s="27">
        <f>IFERROR(IF(AND(A121&lt;&gt;"",H121&lt;&gt;"No",I121&lt;&gt;"",OR('Hoy'!$B$3='Ajustes'!$D$5,F121='Hoy'!$B$3),OR(J121=TODAY()+4,AND(I121&lt;=7,J121&gt;=TODAY(),J121&lt;TODAY()+4,MOD(TODAY()+4-J121,I121)=0))),ROW(),""),"")</f>
        <v/>
      </c>
      <c r="T121" s="27">
        <f>IFERROR(IF(AND(A121&lt;&gt;"",H121&lt;&gt;"No",I121&lt;&gt;"",OR('Hoy'!$B$3='Ajustes'!$D$5,F121='Hoy'!$B$3),OR(J121=TODAY()+5,AND(I121&lt;=7,J121&gt;=TODAY(),J121&lt;TODAY()+5,MOD(TODAY()+5-J121,I121)=0))),ROW(),""),"")</f>
        <v/>
      </c>
      <c r="U121" s="27">
        <f>IFERROR(IF(AND(A121&lt;&gt;"",H121&lt;&gt;"No",I121&lt;&gt;"",OR('Hoy'!$B$3='Ajustes'!$D$5,F121='Hoy'!$B$3),OR(J121=TODAY()+6,AND(I121&lt;=7,J121&gt;=TODAY(),J121&lt;TODAY()+6,MOD(TODAY()+6-J121,I121)=0))),ROW(),""),"")</f>
        <v/>
      </c>
    </row>
    <row r="122">
      <c r="A122" s="6" t="n"/>
      <c r="B122" s="6" t="n"/>
      <c r="C122" s="28" t="n"/>
      <c r="D122" s="6" t="n"/>
      <c r="E122" s="28" t="n"/>
      <c r="F122" s="6" t="n"/>
      <c r="G122" s="6" t="n"/>
      <c r="H122" s="29" t="inlineStr">
        <is>
          <t>Sí</t>
        </is>
      </c>
      <c r="I122" s="30">
        <f>IFERROR(IF(OR(A122="",C122=""),"",C122*INDEX('Ajustes'!$I$5:$I$8,MATCH(D122,'Ajustes'!$H$5:$H$8,0))),"")</f>
        <v/>
      </c>
      <c r="J122" s="31">
        <f>IFERROR(IF(I122="","",IF(G122="",IF('Ajustes'!$B$5="",TODAY(),'Ajustes'!$B$5)+MOD(ROW()*13,I122),IF(D122='Ajustes'!$H$7,EDATE(G122,C122),IF(D122='Ajustes'!$H$8,EDATE(G122,12*C122),G122+I122)))),"")</f>
        <v/>
      </c>
      <c r="K122" s="30">
        <f>IF(J122="","",J122-TODAY())</f>
        <v/>
      </c>
      <c r="L122" s="32">
        <f>IF(A122="","",IF(H122="No","Pausada",IF(K122="","",IF(K122&lt;0,"Atrasada",IF(K122=0,"Hoy",IF(K122&lt;=7,"Esta semana","Más adelante"))))))</f>
        <v/>
      </c>
      <c r="M122" s="27">
        <f>IFERROR(IF(AND(OR(L122="Atrasada",L122="Hoy",L122="Esta semana"),OR('Hoy'!$B$3='Ajustes'!$D$5,F122='Hoy'!$B$3)),K122+ROW()/100000,""),"")</f>
        <v/>
      </c>
      <c r="N122" s="27">
        <f>IF(OR(A122="",H122="No",I122=""),0,E122*7/I122)</f>
        <v/>
      </c>
      <c r="O122" s="27">
        <f>IFERROR(IF(AND(A122&lt;&gt;"",H122&lt;&gt;"No",I122&lt;&gt;"",OR('Hoy'!$B$3='Ajustes'!$D$5,F122='Hoy'!$B$3),J122&lt;=TODAY()),ROW(),""),"")</f>
        <v/>
      </c>
      <c r="P122" s="27">
        <f>IFERROR(IF(AND(A122&lt;&gt;"",H122&lt;&gt;"No",I122&lt;&gt;"",OR('Hoy'!$B$3='Ajustes'!$D$5,F122='Hoy'!$B$3),OR(J122=TODAY()+1,AND(I122&lt;=7,J122&gt;=TODAY(),J122&lt;TODAY()+1,MOD(TODAY()+1-J122,I122)=0))),ROW(),""),"")</f>
        <v/>
      </c>
      <c r="Q122" s="27">
        <f>IFERROR(IF(AND(A122&lt;&gt;"",H122&lt;&gt;"No",I122&lt;&gt;"",OR('Hoy'!$B$3='Ajustes'!$D$5,F122='Hoy'!$B$3),OR(J122=TODAY()+2,AND(I122&lt;=7,J122&gt;=TODAY(),J122&lt;TODAY()+2,MOD(TODAY()+2-J122,I122)=0))),ROW(),""),"")</f>
        <v/>
      </c>
      <c r="R122" s="27">
        <f>IFERROR(IF(AND(A122&lt;&gt;"",H122&lt;&gt;"No",I122&lt;&gt;"",OR('Hoy'!$B$3='Ajustes'!$D$5,F122='Hoy'!$B$3),OR(J122=TODAY()+3,AND(I122&lt;=7,J122&gt;=TODAY(),J122&lt;TODAY()+3,MOD(TODAY()+3-J122,I122)=0))),ROW(),""),"")</f>
        <v/>
      </c>
      <c r="S122" s="27">
        <f>IFERROR(IF(AND(A122&lt;&gt;"",H122&lt;&gt;"No",I122&lt;&gt;"",OR('Hoy'!$B$3='Ajustes'!$D$5,F122='Hoy'!$B$3),OR(J122=TODAY()+4,AND(I122&lt;=7,J122&gt;=TODAY(),J122&lt;TODAY()+4,MOD(TODAY()+4-J122,I122)=0))),ROW(),""),"")</f>
        <v/>
      </c>
      <c r="T122" s="27">
        <f>IFERROR(IF(AND(A122&lt;&gt;"",H122&lt;&gt;"No",I122&lt;&gt;"",OR('Hoy'!$B$3='Ajustes'!$D$5,F122='Hoy'!$B$3),OR(J122=TODAY()+5,AND(I122&lt;=7,J122&gt;=TODAY(),J122&lt;TODAY()+5,MOD(TODAY()+5-J122,I122)=0))),ROW(),""),"")</f>
        <v/>
      </c>
      <c r="U122" s="27">
        <f>IFERROR(IF(AND(A122&lt;&gt;"",H122&lt;&gt;"No",I122&lt;&gt;"",OR('Hoy'!$B$3='Ajustes'!$D$5,F122='Hoy'!$B$3),OR(J122=TODAY()+6,AND(I122&lt;=7,J122&gt;=TODAY(),J122&lt;TODAY()+6,MOD(TODAY()+6-J122,I122)=0))),ROW(),""),"")</f>
        <v/>
      </c>
    </row>
    <row r="123">
      <c r="A123" s="6" t="n"/>
      <c r="B123" s="6" t="n"/>
      <c r="C123" s="28" t="n"/>
      <c r="D123" s="6" t="n"/>
      <c r="E123" s="28" t="n"/>
      <c r="F123" s="6" t="n"/>
      <c r="G123" s="6" t="n"/>
      <c r="H123" s="29" t="inlineStr">
        <is>
          <t>Sí</t>
        </is>
      </c>
      <c r="I123" s="30">
        <f>IFERROR(IF(OR(A123="",C123=""),"",C123*INDEX('Ajustes'!$I$5:$I$8,MATCH(D123,'Ajustes'!$H$5:$H$8,0))),"")</f>
        <v/>
      </c>
      <c r="J123" s="31">
        <f>IFERROR(IF(I123="","",IF(G123="",IF('Ajustes'!$B$5="",TODAY(),'Ajustes'!$B$5)+MOD(ROW()*13,I123),IF(D123='Ajustes'!$H$7,EDATE(G123,C123),IF(D123='Ajustes'!$H$8,EDATE(G123,12*C123),G123+I123)))),"")</f>
        <v/>
      </c>
      <c r="K123" s="30">
        <f>IF(J123="","",J123-TODAY())</f>
        <v/>
      </c>
      <c r="L123" s="32">
        <f>IF(A123="","",IF(H123="No","Pausada",IF(K123="","",IF(K123&lt;0,"Atrasada",IF(K123=0,"Hoy",IF(K123&lt;=7,"Esta semana","Más adelante"))))))</f>
        <v/>
      </c>
      <c r="M123" s="27">
        <f>IFERROR(IF(AND(OR(L123="Atrasada",L123="Hoy",L123="Esta semana"),OR('Hoy'!$B$3='Ajustes'!$D$5,F123='Hoy'!$B$3)),K123+ROW()/100000,""),"")</f>
        <v/>
      </c>
      <c r="N123" s="27">
        <f>IF(OR(A123="",H123="No",I123=""),0,E123*7/I123)</f>
        <v/>
      </c>
      <c r="O123" s="27">
        <f>IFERROR(IF(AND(A123&lt;&gt;"",H123&lt;&gt;"No",I123&lt;&gt;"",OR('Hoy'!$B$3='Ajustes'!$D$5,F123='Hoy'!$B$3),J123&lt;=TODAY()),ROW(),""),"")</f>
        <v/>
      </c>
      <c r="P123" s="27">
        <f>IFERROR(IF(AND(A123&lt;&gt;"",H123&lt;&gt;"No",I123&lt;&gt;"",OR('Hoy'!$B$3='Ajustes'!$D$5,F123='Hoy'!$B$3),OR(J123=TODAY()+1,AND(I123&lt;=7,J123&gt;=TODAY(),J123&lt;TODAY()+1,MOD(TODAY()+1-J123,I123)=0))),ROW(),""),"")</f>
        <v/>
      </c>
      <c r="Q123" s="27">
        <f>IFERROR(IF(AND(A123&lt;&gt;"",H123&lt;&gt;"No",I123&lt;&gt;"",OR('Hoy'!$B$3='Ajustes'!$D$5,F123='Hoy'!$B$3),OR(J123=TODAY()+2,AND(I123&lt;=7,J123&gt;=TODAY(),J123&lt;TODAY()+2,MOD(TODAY()+2-J123,I123)=0))),ROW(),""),"")</f>
        <v/>
      </c>
      <c r="R123" s="27">
        <f>IFERROR(IF(AND(A123&lt;&gt;"",H123&lt;&gt;"No",I123&lt;&gt;"",OR('Hoy'!$B$3='Ajustes'!$D$5,F123='Hoy'!$B$3),OR(J123=TODAY()+3,AND(I123&lt;=7,J123&gt;=TODAY(),J123&lt;TODAY()+3,MOD(TODAY()+3-J123,I123)=0))),ROW(),""),"")</f>
        <v/>
      </c>
      <c r="S123" s="27">
        <f>IFERROR(IF(AND(A123&lt;&gt;"",H123&lt;&gt;"No",I123&lt;&gt;"",OR('Hoy'!$B$3='Ajustes'!$D$5,F123='Hoy'!$B$3),OR(J123=TODAY()+4,AND(I123&lt;=7,J123&gt;=TODAY(),J123&lt;TODAY()+4,MOD(TODAY()+4-J123,I123)=0))),ROW(),""),"")</f>
        <v/>
      </c>
      <c r="T123" s="27">
        <f>IFERROR(IF(AND(A123&lt;&gt;"",H123&lt;&gt;"No",I123&lt;&gt;"",OR('Hoy'!$B$3='Ajustes'!$D$5,F123='Hoy'!$B$3),OR(J123=TODAY()+5,AND(I123&lt;=7,J123&gt;=TODAY(),J123&lt;TODAY()+5,MOD(TODAY()+5-J123,I123)=0))),ROW(),""),"")</f>
        <v/>
      </c>
      <c r="U123" s="27">
        <f>IFERROR(IF(AND(A123&lt;&gt;"",H123&lt;&gt;"No",I123&lt;&gt;"",OR('Hoy'!$B$3='Ajustes'!$D$5,F123='Hoy'!$B$3),OR(J123=TODAY()+6,AND(I123&lt;=7,J123&gt;=TODAY(),J123&lt;TODAY()+6,MOD(TODAY()+6-J123,I123)=0))),ROW(),""),"")</f>
        <v/>
      </c>
    </row>
    <row r="124">
      <c r="A124" s="6" t="n"/>
      <c r="B124" s="6" t="n"/>
      <c r="C124" s="28" t="n"/>
      <c r="D124" s="6" t="n"/>
      <c r="E124" s="28" t="n"/>
      <c r="F124" s="6" t="n"/>
      <c r="G124" s="6" t="n"/>
      <c r="H124" s="29" t="inlineStr">
        <is>
          <t>Sí</t>
        </is>
      </c>
      <c r="I124" s="30">
        <f>IFERROR(IF(OR(A124="",C124=""),"",C124*INDEX('Ajustes'!$I$5:$I$8,MATCH(D124,'Ajustes'!$H$5:$H$8,0))),"")</f>
        <v/>
      </c>
      <c r="J124" s="31">
        <f>IFERROR(IF(I124="","",IF(G124="",IF('Ajustes'!$B$5="",TODAY(),'Ajustes'!$B$5)+MOD(ROW()*13,I124),IF(D124='Ajustes'!$H$7,EDATE(G124,C124),IF(D124='Ajustes'!$H$8,EDATE(G124,12*C124),G124+I124)))),"")</f>
        <v/>
      </c>
      <c r="K124" s="30">
        <f>IF(J124="","",J124-TODAY())</f>
        <v/>
      </c>
      <c r="L124" s="32">
        <f>IF(A124="","",IF(H124="No","Pausada",IF(K124="","",IF(K124&lt;0,"Atrasada",IF(K124=0,"Hoy",IF(K124&lt;=7,"Esta semana","Más adelante"))))))</f>
        <v/>
      </c>
      <c r="M124" s="27">
        <f>IFERROR(IF(AND(OR(L124="Atrasada",L124="Hoy",L124="Esta semana"),OR('Hoy'!$B$3='Ajustes'!$D$5,F124='Hoy'!$B$3)),K124+ROW()/100000,""),"")</f>
        <v/>
      </c>
      <c r="N124" s="27">
        <f>IF(OR(A124="",H124="No",I124=""),0,E124*7/I124)</f>
        <v/>
      </c>
      <c r="O124" s="27">
        <f>IFERROR(IF(AND(A124&lt;&gt;"",H124&lt;&gt;"No",I124&lt;&gt;"",OR('Hoy'!$B$3='Ajustes'!$D$5,F124='Hoy'!$B$3),J124&lt;=TODAY()),ROW(),""),"")</f>
        <v/>
      </c>
      <c r="P124" s="27">
        <f>IFERROR(IF(AND(A124&lt;&gt;"",H124&lt;&gt;"No",I124&lt;&gt;"",OR('Hoy'!$B$3='Ajustes'!$D$5,F124='Hoy'!$B$3),OR(J124=TODAY()+1,AND(I124&lt;=7,J124&gt;=TODAY(),J124&lt;TODAY()+1,MOD(TODAY()+1-J124,I124)=0))),ROW(),""),"")</f>
        <v/>
      </c>
      <c r="Q124" s="27">
        <f>IFERROR(IF(AND(A124&lt;&gt;"",H124&lt;&gt;"No",I124&lt;&gt;"",OR('Hoy'!$B$3='Ajustes'!$D$5,F124='Hoy'!$B$3),OR(J124=TODAY()+2,AND(I124&lt;=7,J124&gt;=TODAY(),J124&lt;TODAY()+2,MOD(TODAY()+2-J124,I124)=0))),ROW(),""),"")</f>
        <v/>
      </c>
      <c r="R124" s="27">
        <f>IFERROR(IF(AND(A124&lt;&gt;"",H124&lt;&gt;"No",I124&lt;&gt;"",OR('Hoy'!$B$3='Ajustes'!$D$5,F124='Hoy'!$B$3),OR(J124=TODAY()+3,AND(I124&lt;=7,J124&gt;=TODAY(),J124&lt;TODAY()+3,MOD(TODAY()+3-J124,I124)=0))),ROW(),""),"")</f>
        <v/>
      </c>
      <c r="S124" s="27">
        <f>IFERROR(IF(AND(A124&lt;&gt;"",H124&lt;&gt;"No",I124&lt;&gt;"",OR('Hoy'!$B$3='Ajustes'!$D$5,F124='Hoy'!$B$3),OR(J124=TODAY()+4,AND(I124&lt;=7,J124&gt;=TODAY(),J124&lt;TODAY()+4,MOD(TODAY()+4-J124,I124)=0))),ROW(),""),"")</f>
        <v/>
      </c>
      <c r="T124" s="27">
        <f>IFERROR(IF(AND(A124&lt;&gt;"",H124&lt;&gt;"No",I124&lt;&gt;"",OR('Hoy'!$B$3='Ajustes'!$D$5,F124='Hoy'!$B$3),OR(J124=TODAY()+5,AND(I124&lt;=7,J124&gt;=TODAY(),J124&lt;TODAY()+5,MOD(TODAY()+5-J124,I124)=0))),ROW(),""),"")</f>
        <v/>
      </c>
      <c r="U124" s="27">
        <f>IFERROR(IF(AND(A124&lt;&gt;"",H124&lt;&gt;"No",I124&lt;&gt;"",OR('Hoy'!$B$3='Ajustes'!$D$5,F124='Hoy'!$B$3),OR(J124=TODAY()+6,AND(I124&lt;=7,J124&gt;=TODAY(),J124&lt;TODAY()+6,MOD(TODAY()+6-J124,I124)=0))),ROW(),""),"")</f>
        <v/>
      </c>
    </row>
    <row r="125">
      <c r="A125" s="6" t="n"/>
      <c r="B125" s="6" t="n"/>
      <c r="C125" s="28" t="n"/>
      <c r="D125" s="6" t="n"/>
      <c r="E125" s="28" t="n"/>
      <c r="F125" s="6" t="n"/>
      <c r="G125" s="6" t="n"/>
      <c r="H125" s="29" t="inlineStr">
        <is>
          <t>Sí</t>
        </is>
      </c>
      <c r="I125" s="30">
        <f>IFERROR(IF(OR(A125="",C125=""),"",C125*INDEX('Ajustes'!$I$5:$I$8,MATCH(D125,'Ajustes'!$H$5:$H$8,0))),"")</f>
        <v/>
      </c>
      <c r="J125" s="31">
        <f>IFERROR(IF(I125="","",IF(G125="",IF('Ajustes'!$B$5="",TODAY(),'Ajustes'!$B$5)+MOD(ROW()*13,I125),IF(D125='Ajustes'!$H$7,EDATE(G125,C125),IF(D125='Ajustes'!$H$8,EDATE(G125,12*C125),G125+I125)))),"")</f>
        <v/>
      </c>
      <c r="K125" s="30">
        <f>IF(J125="","",J125-TODAY())</f>
        <v/>
      </c>
      <c r="L125" s="32">
        <f>IF(A125="","",IF(H125="No","Pausada",IF(K125="","",IF(K125&lt;0,"Atrasada",IF(K125=0,"Hoy",IF(K125&lt;=7,"Esta semana","Más adelante"))))))</f>
        <v/>
      </c>
      <c r="M125" s="27">
        <f>IFERROR(IF(AND(OR(L125="Atrasada",L125="Hoy",L125="Esta semana"),OR('Hoy'!$B$3='Ajustes'!$D$5,F125='Hoy'!$B$3)),K125+ROW()/100000,""),"")</f>
        <v/>
      </c>
      <c r="N125" s="27">
        <f>IF(OR(A125="",H125="No",I125=""),0,E125*7/I125)</f>
        <v/>
      </c>
      <c r="O125" s="27">
        <f>IFERROR(IF(AND(A125&lt;&gt;"",H125&lt;&gt;"No",I125&lt;&gt;"",OR('Hoy'!$B$3='Ajustes'!$D$5,F125='Hoy'!$B$3),J125&lt;=TODAY()),ROW(),""),"")</f>
        <v/>
      </c>
      <c r="P125" s="27">
        <f>IFERROR(IF(AND(A125&lt;&gt;"",H125&lt;&gt;"No",I125&lt;&gt;"",OR('Hoy'!$B$3='Ajustes'!$D$5,F125='Hoy'!$B$3),OR(J125=TODAY()+1,AND(I125&lt;=7,J125&gt;=TODAY(),J125&lt;TODAY()+1,MOD(TODAY()+1-J125,I125)=0))),ROW(),""),"")</f>
        <v/>
      </c>
      <c r="Q125" s="27">
        <f>IFERROR(IF(AND(A125&lt;&gt;"",H125&lt;&gt;"No",I125&lt;&gt;"",OR('Hoy'!$B$3='Ajustes'!$D$5,F125='Hoy'!$B$3),OR(J125=TODAY()+2,AND(I125&lt;=7,J125&gt;=TODAY(),J125&lt;TODAY()+2,MOD(TODAY()+2-J125,I125)=0))),ROW(),""),"")</f>
        <v/>
      </c>
      <c r="R125" s="27">
        <f>IFERROR(IF(AND(A125&lt;&gt;"",H125&lt;&gt;"No",I125&lt;&gt;"",OR('Hoy'!$B$3='Ajustes'!$D$5,F125='Hoy'!$B$3),OR(J125=TODAY()+3,AND(I125&lt;=7,J125&gt;=TODAY(),J125&lt;TODAY()+3,MOD(TODAY()+3-J125,I125)=0))),ROW(),""),"")</f>
        <v/>
      </c>
      <c r="S125" s="27">
        <f>IFERROR(IF(AND(A125&lt;&gt;"",H125&lt;&gt;"No",I125&lt;&gt;"",OR('Hoy'!$B$3='Ajustes'!$D$5,F125='Hoy'!$B$3),OR(J125=TODAY()+4,AND(I125&lt;=7,J125&gt;=TODAY(),J125&lt;TODAY()+4,MOD(TODAY()+4-J125,I125)=0))),ROW(),""),"")</f>
        <v/>
      </c>
      <c r="T125" s="27">
        <f>IFERROR(IF(AND(A125&lt;&gt;"",H125&lt;&gt;"No",I125&lt;&gt;"",OR('Hoy'!$B$3='Ajustes'!$D$5,F125='Hoy'!$B$3),OR(J125=TODAY()+5,AND(I125&lt;=7,J125&gt;=TODAY(),J125&lt;TODAY()+5,MOD(TODAY()+5-J125,I125)=0))),ROW(),""),"")</f>
        <v/>
      </c>
      <c r="U125" s="27">
        <f>IFERROR(IF(AND(A125&lt;&gt;"",H125&lt;&gt;"No",I125&lt;&gt;"",OR('Hoy'!$B$3='Ajustes'!$D$5,F125='Hoy'!$B$3),OR(J125=TODAY()+6,AND(I125&lt;=7,J125&gt;=TODAY(),J125&lt;TODAY()+6,MOD(TODAY()+6-J125,I125)=0))),ROW(),""),"")</f>
        <v/>
      </c>
    </row>
    <row r="126">
      <c r="A126" s="6" t="n"/>
      <c r="B126" s="6" t="n"/>
      <c r="C126" s="28" t="n"/>
      <c r="D126" s="6" t="n"/>
      <c r="E126" s="28" t="n"/>
      <c r="F126" s="6" t="n"/>
      <c r="G126" s="6" t="n"/>
      <c r="H126" s="29" t="inlineStr">
        <is>
          <t>Sí</t>
        </is>
      </c>
      <c r="I126" s="30">
        <f>IFERROR(IF(OR(A126="",C126=""),"",C126*INDEX('Ajustes'!$I$5:$I$8,MATCH(D126,'Ajustes'!$H$5:$H$8,0))),"")</f>
        <v/>
      </c>
      <c r="J126" s="31">
        <f>IFERROR(IF(I126="","",IF(G126="",IF('Ajustes'!$B$5="",TODAY(),'Ajustes'!$B$5)+MOD(ROW()*13,I126),IF(D126='Ajustes'!$H$7,EDATE(G126,C126),IF(D126='Ajustes'!$H$8,EDATE(G126,12*C126),G126+I126)))),"")</f>
        <v/>
      </c>
      <c r="K126" s="30">
        <f>IF(J126="","",J126-TODAY())</f>
        <v/>
      </c>
      <c r="L126" s="32">
        <f>IF(A126="","",IF(H126="No","Pausada",IF(K126="","",IF(K126&lt;0,"Atrasada",IF(K126=0,"Hoy",IF(K126&lt;=7,"Esta semana","Más adelante"))))))</f>
        <v/>
      </c>
      <c r="M126" s="27">
        <f>IFERROR(IF(AND(OR(L126="Atrasada",L126="Hoy",L126="Esta semana"),OR('Hoy'!$B$3='Ajustes'!$D$5,F126='Hoy'!$B$3)),K126+ROW()/100000,""),"")</f>
        <v/>
      </c>
      <c r="N126" s="27">
        <f>IF(OR(A126="",H126="No",I126=""),0,E126*7/I126)</f>
        <v/>
      </c>
      <c r="O126" s="27">
        <f>IFERROR(IF(AND(A126&lt;&gt;"",H126&lt;&gt;"No",I126&lt;&gt;"",OR('Hoy'!$B$3='Ajustes'!$D$5,F126='Hoy'!$B$3),J126&lt;=TODAY()),ROW(),""),"")</f>
        <v/>
      </c>
      <c r="P126" s="27">
        <f>IFERROR(IF(AND(A126&lt;&gt;"",H126&lt;&gt;"No",I126&lt;&gt;"",OR('Hoy'!$B$3='Ajustes'!$D$5,F126='Hoy'!$B$3),OR(J126=TODAY()+1,AND(I126&lt;=7,J126&gt;=TODAY(),J126&lt;TODAY()+1,MOD(TODAY()+1-J126,I126)=0))),ROW(),""),"")</f>
        <v/>
      </c>
      <c r="Q126" s="27">
        <f>IFERROR(IF(AND(A126&lt;&gt;"",H126&lt;&gt;"No",I126&lt;&gt;"",OR('Hoy'!$B$3='Ajustes'!$D$5,F126='Hoy'!$B$3),OR(J126=TODAY()+2,AND(I126&lt;=7,J126&gt;=TODAY(),J126&lt;TODAY()+2,MOD(TODAY()+2-J126,I126)=0))),ROW(),""),"")</f>
        <v/>
      </c>
      <c r="R126" s="27">
        <f>IFERROR(IF(AND(A126&lt;&gt;"",H126&lt;&gt;"No",I126&lt;&gt;"",OR('Hoy'!$B$3='Ajustes'!$D$5,F126='Hoy'!$B$3),OR(J126=TODAY()+3,AND(I126&lt;=7,J126&gt;=TODAY(),J126&lt;TODAY()+3,MOD(TODAY()+3-J126,I126)=0))),ROW(),""),"")</f>
        <v/>
      </c>
      <c r="S126" s="27">
        <f>IFERROR(IF(AND(A126&lt;&gt;"",H126&lt;&gt;"No",I126&lt;&gt;"",OR('Hoy'!$B$3='Ajustes'!$D$5,F126='Hoy'!$B$3),OR(J126=TODAY()+4,AND(I126&lt;=7,J126&gt;=TODAY(),J126&lt;TODAY()+4,MOD(TODAY()+4-J126,I126)=0))),ROW(),""),"")</f>
        <v/>
      </c>
      <c r="T126" s="27">
        <f>IFERROR(IF(AND(A126&lt;&gt;"",H126&lt;&gt;"No",I126&lt;&gt;"",OR('Hoy'!$B$3='Ajustes'!$D$5,F126='Hoy'!$B$3),OR(J126=TODAY()+5,AND(I126&lt;=7,J126&gt;=TODAY(),J126&lt;TODAY()+5,MOD(TODAY()+5-J126,I126)=0))),ROW(),""),"")</f>
        <v/>
      </c>
      <c r="U126" s="27">
        <f>IFERROR(IF(AND(A126&lt;&gt;"",H126&lt;&gt;"No",I126&lt;&gt;"",OR('Hoy'!$B$3='Ajustes'!$D$5,F126='Hoy'!$B$3),OR(J126=TODAY()+6,AND(I126&lt;=7,J126&gt;=TODAY(),J126&lt;TODAY()+6,MOD(TODAY()+6-J126,I126)=0))),ROW(),""),"")</f>
        <v/>
      </c>
    </row>
    <row r="127">
      <c r="A127" s="6" t="n"/>
      <c r="B127" s="6" t="n"/>
      <c r="C127" s="28" t="n"/>
      <c r="D127" s="6" t="n"/>
      <c r="E127" s="28" t="n"/>
      <c r="F127" s="6" t="n"/>
      <c r="G127" s="6" t="n"/>
      <c r="H127" s="29" t="inlineStr">
        <is>
          <t>Sí</t>
        </is>
      </c>
      <c r="I127" s="30">
        <f>IFERROR(IF(OR(A127="",C127=""),"",C127*INDEX('Ajustes'!$I$5:$I$8,MATCH(D127,'Ajustes'!$H$5:$H$8,0))),"")</f>
        <v/>
      </c>
      <c r="J127" s="31">
        <f>IFERROR(IF(I127="","",IF(G127="",IF('Ajustes'!$B$5="",TODAY(),'Ajustes'!$B$5)+MOD(ROW()*13,I127),IF(D127='Ajustes'!$H$7,EDATE(G127,C127),IF(D127='Ajustes'!$H$8,EDATE(G127,12*C127),G127+I127)))),"")</f>
        <v/>
      </c>
      <c r="K127" s="30">
        <f>IF(J127="","",J127-TODAY())</f>
        <v/>
      </c>
      <c r="L127" s="32">
        <f>IF(A127="","",IF(H127="No","Pausada",IF(K127="","",IF(K127&lt;0,"Atrasada",IF(K127=0,"Hoy",IF(K127&lt;=7,"Esta semana","Más adelante"))))))</f>
        <v/>
      </c>
      <c r="M127" s="27">
        <f>IFERROR(IF(AND(OR(L127="Atrasada",L127="Hoy",L127="Esta semana"),OR('Hoy'!$B$3='Ajustes'!$D$5,F127='Hoy'!$B$3)),K127+ROW()/100000,""),"")</f>
        <v/>
      </c>
      <c r="N127" s="27">
        <f>IF(OR(A127="",H127="No",I127=""),0,E127*7/I127)</f>
        <v/>
      </c>
      <c r="O127" s="27">
        <f>IFERROR(IF(AND(A127&lt;&gt;"",H127&lt;&gt;"No",I127&lt;&gt;"",OR('Hoy'!$B$3='Ajustes'!$D$5,F127='Hoy'!$B$3),J127&lt;=TODAY()),ROW(),""),"")</f>
        <v/>
      </c>
      <c r="P127" s="27">
        <f>IFERROR(IF(AND(A127&lt;&gt;"",H127&lt;&gt;"No",I127&lt;&gt;"",OR('Hoy'!$B$3='Ajustes'!$D$5,F127='Hoy'!$B$3),OR(J127=TODAY()+1,AND(I127&lt;=7,J127&gt;=TODAY(),J127&lt;TODAY()+1,MOD(TODAY()+1-J127,I127)=0))),ROW(),""),"")</f>
        <v/>
      </c>
      <c r="Q127" s="27">
        <f>IFERROR(IF(AND(A127&lt;&gt;"",H127&lt;&gt;"No",I127&lt;&gt;"",OR('Hoy'!$B$3='Ajustes'!$D$5,F127='Hoy'!$B$3),OR(J127=TODAY()+2,AND(I127&lt;=7,J127&gt;=TODAY(),J127&lt;TODAY()+2,MOD(TODAY()+2-J127,I127)=0))),ROW(),""),"")</f>
        <v/>
      </c>
      <c r="R127" s="27">
        <f>IFERROR(IF(AND(A127&lt;&gt;"",H127&lt;&gt;"No",I127&lt;&gt;"",OR('Hoy'!$B$3='Ajustes'!$D$5,F127='Hoy'!$B$3),OR(J127=TODAY()+3,AND(I127&lt;=7,J127&gt;=TODAY(),J127&lt;TODAY()+3,MOD(TODAY()+3-J127,I127)=0))),ROW(),""),"")</f>
        <v/>
      </c>
      <c r="S127" s="27">
        <f>IFERROR(IF(AND(A127&lt;&gt;"",H127&lt;&gt;"No",I127&lt;&gt;"",OR('Hoy'!$B$3='Ajustes'!$D$5,F127='Hoy'!$B$3),OR(J127=TODAY()+4,AND(I127&lt;=7,J127&gt;=TODAY(),J127&lt;TODAY()+4,MOD(TODAY()+4-J127,I127)=0))),ROW(),""),"")</f>
        <v/>
      </c>
      <c r="T127" s="27">
        <f>IFERROR(IF(AND(A127&lt;&gt;"",H127&lt;&gt;"No",I127&lt;&gt;"",OR('Hoy'!$B$3='Ajustes'!$D$5,F127='Hoy'!$B$3),OR(J127=TODAY()+5,AND(I127&lt;=7,J127&gt;=TODAY(),J127&lt;TODAY()+5,MOD(TODAY()+5-J127,I127)=0))),ROW(),""),"")</f>
        <v/>
      </c>
      <c r="U127" s="27">
        <f>IFERROR(IF(AND(A127&lt;&gt;"",H127&lt;&gt;"No",I127&lt;&gt;"",OR('Hoy'!$B$3='Ajustes'!$D$5,F127='Hoy'!$B$3),OR(J127=TODAY()+6,AND(I127&lt;=7,J127&gt;=TODAY(),J127&lt;TODAY()+6,MOD(TODAY()+6-J127,I127)=0))),ROW(),""),"")</f>
        <v/>
      </c>
    </row>
    <row r="128">
      <c r="A128" s="6" t="n"/>
      <c r="B128" s="6" t="n"/>
      <c r="C128" s="28" t="n"/>
      <c r="D128" s="6" t="n"/>
      <c r="E128" s="28" t="n"/>
      <c r="F128" s="6" t="n"/>
      <c r="G128" s="6" t="n"/>
      <c r="H128" s="29" t="inlineStr">
        <is>
          <t>Sí</t>
        </is>
      </c>
      <c r="I128" s="30">
        <f>IFERROR(IF(OR(A128="",C128=""),"",C128*INDEX('Ajustes'!$I$5:$I$8,MATCH(D128,'Ajustes'!$H$5:$H$8,0))),"")</f>
        <v/>
      </c>
      <c r="J128" s="31">
        <f>IFERROR(IF(I128="","",IF(G128="",IF('Ajustes'!$B$5="",TODAY(),'Ajustes'!$B$5)+MOD(ROW()*13,I128),IF(D128='Ajustes'!$H$7,EDATE(G128,C128),IF(D128='Ajustes'!$H$8,EDATE(G128,12*C128),G128+I128)))),"")</f>
        <v/>
      </c>
      <c r="K128" s="30">
        <f>IF(J128="","",J128-TODAY())</f>
        <v/>
      </c>
      <c r="L128" s="32">
        <f>IF(A128="","",IF(H128="No","Pausada",IF(K128="","",IF(K128&lt;0,"Atrasada",IF(K128=0,"Hoy",IF(K128&lt;=7,"Esta semana","Más adelante"))))))</f>
        <v/>
      </c>
      <c r="M128" s="27">
        <f>IFERROR(IF(AND(OR(L128="Atrasada",L128="Hoy",L128="Esta semana"),OR('Hoy'!$B$3='Ajustes'!$D$5,F128='Hoy'!$B$3)),K128+ROW()/100000,""),"")</f>
        <v/>
      </c>
      <c r="N128" s="27">
        <f>IF(OR(A128="",H128="No",I128=""),0,E128*7/I128)</f>
        <v/>
      </c>
      <c r="O128" s="27">
        <f>IFERROR(IF(AND(A128&lt;&gt;"",H128&lt;&gt;"No",I128&lt;&gt;"",OR('Hoy'!$B$3='Ajustes'!$D$5,F128='Hoy'!$B$3),J128&lt;=TODAY()),ROW(),""),"")</f>
        <v/>
      </c>
      <c r="P128" s="27">
        <f>IFERROR(IF(AND(A128&lt;&gt;"",H128&lt;&gt;"No",I128&lt;&gt;"",OR('Hoy'!$B$3='Ajustes'!$D$5,F128='Hoy'!$B$3),OR(J128=TODAY()+1,AND(I128&lt;=7,J128&gt;=TODAY(),J128&lt;TODAY()+1,MOD(TODAY()+1-J128,I128)=0))),ROW(),""),"")</f>
        <v/>
      </c>
      <c r="Q128" s="27">
        <f>IFERROR(IF(AND(A128&lt;&gt;"",H128&lt;&gt;"No",I128&lt;&gt;"",OR('Hoy'!$B$3='Ajustes'!$D$5,F128='Hoy'!$B$3),OR(J128=TODAY()+2,AND(I128&lt;=7,J128&gt;=TODAY(),J128&lt;TODAY()+2,MOD(TODAY()+2-J128,I128)=0))),ROW(),""),"")</f>
        <v/>
      </c>
      <c r="R128" s="27">
        <f>IFERROR(IF(AND(A128&lt;&gt;"",H128&lt;&gt;"No",I128&lt;&gt;"",OR('Hoy'!$B$3='Ajustes'!$D$5,F128='Hoy'!$B$3),OR(J128=TODAY()+3,AND(I128&lt;=7,J128&gt;=TODAY(),J128&lt;TODAY()+3,MOD(TODAY()+3-J128,I128)=0))),ROW(),""),"")</f>
        <v/>
      </c>
      <c r="S128" s="27">
        <f>IFERROR(IF(AND(A128&lt;&gt;"",H128&lt;&gt;"No",I128&lt;&gt;"",OR('Hoy'!$B$3='Ajustes'!$D$5,F128='Hoy'!$B$3),OR(J128=TODAY()+4,AND(I128&lt;=7,J128&gt;=TODAY(),J128&lt;TODAY()+4,MOD(TODAY()+4-J128,I128)=0))),ROW(),""),"")</f>
        <v/>
      </c>
      <c r="T128" s="27">
        <f>IFERROR(IF(AND(A128&lt;&gt;"",H128&lt;&gt;"No",I128&lt;&gt;"",OR('Hoy'!$B$3='Ajustes'!$D$5,F128='Hoy'!$B$3),OR(J128=TODAY()+5,AND(I128&lt;=7,J128&gt;=TODAY(),J128&lt;TODAY()+5,MOD(TODAY()+5-J128,I128)=0))),ROW(),""),"")</f>
        <v/>
      </c>
      <c r="U128" s="27">
        <f>IFERROR(IF(AND(A128&lt;&gt;"",H128&lt;&gt;"No",I128&lt;&gt;"",OR('Hoy'!$B$3='Ajustes'!$D$5,F128='Hoy'!$B$3),OR(J128=TODAY()+6,AND(I128&lt;=7,J128&gt;=TODAY(),J128&lt;TODAY()+6,MOD(TODAY()+6-J128,I128)=0))),ROW(),""),"")</f>
        <v/>
      </c>
    </row>
    <row r="129">
      <c r="A129" s="6" t="n"/>
      <c r="B129" s="6" t="n"/>
      <c r="C129" s="28" t="n"/>
      <c r="D129" s="6" t="n"/>
      <c r="E129" s="28" t="n"/>
      <c r="F129" s="6" t="n"/>
      <c r="G129" s="6" t="n"/>
      <c r="H129" s="29" t="inlineStr">
        <is>
          <t>Sí</t>
        </is>
      </c>
      <c r="I129" s="30">
        <f>IFERROR(IF(OR(A129="",C129=""),"",C129*INDEX('Ajustes'!$I$5:$I$8,MATCH(D129,'Ajustes'!$H$5:$H$8,0))),"")</f>
        <v/>
      </c>
      <c r="J129" s="31">
        <f>IFERROR(IF(I129="","",IF(G129="",IF('Ajustes'!$B$5="",TODAY(),'Ajustes'!$B$5)+MOD(ROW()*13,I129),IF(D129='Ajustes'!$H$7,EDATE(G129,C129),IF(D129='Ajustes'!$H$8,EDATE(G129,12*C129),G129+I129)))),"")</f>
        <v/>
      </c>
      <c r="K129" s="30">
        <f>IF(J129="","",J129-TODAY())</f>
        <v/>
      </c>
      <c r="L129" s="32">
        <f>IF(A129="","",IF(H129="No","Pausada",IF(K129="","",IF(K129&lt;0,"Atrasada",IF(K129=0,"Hoy",IF(K129&lt;=7,"Esta semana","Más adelante"))))))</f>
        <v/>
      </c>
      <c r="M129" s="27">
        <f>IFERROR(IF(AND(OR(L129="Atrasada",L129="Hoy",L129="Esta semana"),OR('Hoy'!$B$3='Ajustes'!$D$5,F129='Hoy'!$B$3)),K129+ROW()/100000,""),"")</f>
        <v/>
      </c>
      <c r="N129" s="27">
        <f>IF(OR(A129="",H129="No",I129=""),0,E129*7/I129)</f>
        <v/>
      </c>
      <c r="O129" s="27">
        <f>IFERROR(IF(AND(A129&lt;&gt;"",H129&lt;&gt;"No",I129&lt;&gt;"",OR('Hoy'!$B$3='Ajustes'!$D$5,F129='Hoy'!$B$3),J129&lt;=TODAY()),ROW(),""),"")</f>
        <v/>
      </c>
      <c r="P129" s="27">
        <f>IFERROR(IF(AND(A129&lt;&gt;"",H129&lt;&gt;"No",I129&lt;&gt;"",OR('Hoy'!$B$3='Ajustes'!$D$5,F129='Hoy'!$B$3),OR(J129=TODAY()+1,AND(I129&lt;=7,J129&gt;=TODAY(),J129&lt;TODAY()+1,MOD(TODAY()+1-J129,I129)=0))),ROW(),""),"")</f>
        <v/>
      </c>
      <c r="Q129" s="27">
        <f>IFERROR(IF(AND(A129&lt;&gt;"",H129&lt;&gt;"No",I129&lt;&gt;"",OR('Hoy'!$B$3='Ajustes'!$D$5,F129='Hoy'!$B$3),OR(J129=TODAY()+2,AND(I129&lt;=7,J129&gt;=TODAY(),J129&lt;TODAY()+2,MOD(TODAY()+2-J129,I129)=0))),ROW(),""),"")</f>
        <v/>
      </c>
      <c r="R129" s="27">
        <f>IFERROR(IF(AND(A129&lt;&gt;"",H129&lt;&gt;"No",I129&lt;&gt;"",OR('Hoy'!$B$3='Ajustes'!$D$5,F129='Hoy'!$B$3),OR(J129=TODAY()+3,AND(I129&lt;=7,J129&gt;=TODAY(),J129&lt;TODAY()+3,MOD(TODAY()+3-J129,I129)=0))),ROW(),""),"")</f>
        <v/>
      </c>
      <c r="S129" s="27">
        <f>IFERROR(IF(AND(A129&lt;&gt;"",H129&lt;&gt;"No",I129&lt;&gt;"",OR('Hoy'!$B$3='Ajustes'!$D$5,F129='Hoy'!$B$3),OR(J129=TODAY()+4,AND(I129&lt;=7,J129&gt;=TODAY(),J129&lt;TODAY()+4,MOD(TODAY()+4-J129,I129)=0))),ROW(),""),"")</f>
        <v/>
      </c>
      <c r="T129" s="27">
        <f>IFERROR(IF(AND(A129&lt;&gt;"",H129&lt;&gt;"No",I129&lt;&gt;"",OR('Hoy'!$B$3='Ajustes'!$D$5,F129='Hoy'!$B$3),OR(J129=TODAY()+5,AND(I129&lt;=7,J129&gt;=TODAY(),J129&lt;TODAY()+5,MOD(TODAY()+5-J129,I129)=0))),ROW(),""),"")</f>
        <v/>
      </c>
      <c r="U129" s="27">
        <f>IFERROR(IF(AND(A129&lt;&gt;"",H129&lt;&gt;"No",I129&lt;&gt;"",OR('Hoy'!$B$3='Ajustes'!$D$5,F129='Hoy'!$B$3),OR(J129=TODAY()+6,AND(I129&lt;=7,J129&gt;=TODAY(),J129&lt;TODAY()+6,MOD(TODAY()+6-J129,I129)=0))),ROW(),""),"")</f>
        <v/>
      </c>
    </row>
    <row r="130">
      <c r="A130" s="6" t="n"/>
      <c r="B130" s="6" t="n"/>
      <c r="C130" s="28" t="n"/>
      <c r="D130" s="6" t="n"/>
      <c r="E130" s="28" t="n"/>
      <c r="F130" s="6" t="n"/>
      <c r="G130" s="6" t="n"/>
      <c r="H130" s="29" t="inlineStr">
        <is>
          <t>Sí</t>
        </is>
      </c>
      <c r="I130" s="30">
        <f>IFERROR(IF(OR(A130="",C130=""),"",C130*INDEX('Ajustes'!$I$5:$I$8,MATCH(D130,'Ajustes'!$H$5:$H$8,0))),"")</f>
        <v/>
      </c>
      <c r="J130" s="31">
        <f>IFERROR(IF(I130="","",IF(G130="",IF('Ajustes'!$B$5="",TODAY(),'Ajustes'!$B$5)+MOD(ROW()*13,I130),IF(D130='Ajustes'!$H$7,EDATE(G130,C130),IF(D130='Ajustes'!$H$8,EDATE(G130,12*C130),G130+I130)))),"")</f>
        <v/>
      </c>
      <c r="K130" s="30">
        <f>IF(J130="","",J130-TODAY())</f>
        <v/>
      </c>
      <c r="L130" s="32">
        <f>IF(A130="","",IF(H130="No","Pausada",IF(K130="","",IF(K130&lt;0,"Atrasada",IF(K130=0,"Hoy",IF(K130&lt;=7,"Esta semana","Más adelante"))))))</f>
        <v/>
      </c>
      <c r="M130" s="27">
        <f>IFERROR(IF(AND(OR(L130="Atrasada",L130="Hoy",L130="Esta semana"),OR('Hoy'!$B$3='Ajustes'!$D$5,F130='Hoy'!$B$3)),K130+ROW()/100000,""),"")</f>
        <v/>
      </c>
      <c r="N130" s="27">
        <f>IF(OR(A130="",H130="No",I130=""),0,E130*7/I130)</f>
        <v/>
      </c>
      <c r="O130" s="27">
        <f>IFERROR(IF(AND(A130&lt;&gt;"",H130&lt;&gt;"No",I130&lt;&gt;"",OR('Hoy'!$B$3='Ajustes'!$D$5,F130='Hoy'!$B$3),J130&lt;=TODAY()),ROW(),""),"")</f>
        <v/>
      </c>
      <c r="P130" s="27">
        <f>IFERROR(IF(AND(A130&lt;&gt;"",H130&lt;&gt;"No",I130&lt;&gt;"",OR('Hoy'!$B$3='Ajustes'!$D$5,F130='Hoy'!$B$3),OR(J130=TODAY()+1,AND(I130&lt;=7,J130&gt;=TODAY(),J130&lt;TODAY()+1,MOD(TODAY()+1-J130,I130)=0))),ROW(),""),"")</f>
        <v/>
      </c>
      <c r="Q130" s="27">
        <f>IFERROR(IF(AND(A130&lt;&gt;"",H130&lt;&gt;"No",I130&lt;&gt;"",OR('Hoy'!$B$3='Ajustes'!$D$5,F130='Hoy'!$B$3),OR(J130=TODAY()+2,AND(I130&lt;=7,J130&gt;=TODAY(),J130&lt;TODAY()+2,MOD(TODAY()+2-J130,I130)=0))),ROW(),""),"")</f>
        <v/>
      </c>
      <c r="R130" s="27">
        <f>IFERROR(IF(AND(A130&lt;&gt;"",H130&lt;&gt;"No",I130&lt;&gt;"",OR('Hoy'!$B$3='Ajustes'!$D$5,F130='Hoy'!$B$3),OR(J130=TODAY()+3,AND(I130&lt;=7,J130&gt;=TODAY(),J130&lt;TODAY()+3,MOD(TODAY()+3-J130,I130)=0))),ROW(),""),"")</f>
        <v/>
      </c>
      <c r="S130" s="27">
        <f>IFERROR(IF(AND(A130&lt;&gt;"",H130&lt;&gt;"No",I130&lt;&gt;"",OR('Hoy'!$B$3='Ajustes'!$D$5,F130='Hoy'!$B$3),OR(J130=TODAY()+4,AND(I130&lt;=7,J130&gt;=TODAY(),J130&lt;TODAY()+4,MOD(TODAY()+4-J130,I130)=0))),ROW(),""),"")</f>
        <v/>
      </c>
      <c r="T130" s="27">
        <f>IFERROR(IF(AND(A130&lt;&gt;"",H130&lt;&gt;"No",I130&lt;&gt;"",OR('Hoy'!$B$3='Ajustes'!$D$5,F130='Hoy'!$B$3),OR(J130=TODAY()+5,AND(I130&lt;=7,J130&gt;=TODAY(),J130&lt;TODAY()+5,MOD(TODAY()+5-J130,I130)=0))),ROW(),""),"")</f>
        <v/>
      </c>
      <c r="U130" s="27">
        <f>IFERROR(IF(AND(A130&lt;&gt;"",H130&lt;&gt;"No",I130&lt;&gt;"",OR('Hoy'!$B$3='Ajustes'!$D$5,F130='Hoy'!$B$3),OR(J130=TODAY()+6,AND(I130&lt;=7,J130&gt;=TODAY(),J130&lt;TODAY()+6,MOD(TODAY()+6-J130,I130)=0))),ROW(),""),"")</f>
        <v/>
      </c>
    </row>
    <row r="131">
      <c r="A131" s="6" t="n"/>
      <c r="B131" s="6" t="n"/>
      <c r="C131" s="28" t="n"/>
      <c r="D131" s="6" t="n"/>
      <c r="E131" s="28" t="n"/>
      <c r="F131" s="6" t="n"/>
      <c r="G131" s="6" t="n"/>
      <c r="H131" s="29" t="inlineStr">
        <is>
          <t>Sí</t>
        </is>
      </c>
      <c r="I131" s="30">
        <f>IFERROR(IF(OR(A131="",C131=""),"",C131*INDEX('Ajustes'!$I$5:$I$8,MATCH(D131,'Ajustes'!$H$5:$H$8,0))),"")</f>
        <v/>
      </c>
      <c r="J131" s="31">
        <f>IFERROR(IF(I131="","",IF(G131="",IF('Ajustes'!$B$5="",TODAY(),'Ajustes'!$B$5)+MOD(ROW()*13,I131),IF(D131='Ajustes'!$H$7,EDATE(G131,C131),IF(D131='Ajustes'!$H$8,EDATE(G131,12*C131),G131+I131)))),"")</f>
        <v/>
      </c>
      <c r="K131" s="30">
        <f>IF(J131="","",J131-TODAY())</f>
        <v/>
      </c>
      <c r="L131" s="32">
        <f>IF(A131="","",IF(H131="No","Pausada",IF(K131="","",IF(K131&lt;0,"Atrasada",IF(K131=0,"Hoy",IF(K131&lt;=7,"Esta semana","Más adelante"))))))</f>
        <v/>
      </c>
      <c r="M131" s="27">
        <f>IFERROR(IF(AND(OR(L131="Atrasada",L131="Hoy",L131="Esta semana"),OR('Hoy'!$B$3='Ajustes'!$D$5,F131='Hoy'!$B$3)),K131+ROW()/100000,""),"")</f>
        <v/>
      </c>
      <c r="N131" s="27">
        <f>IF(OR(A131="",H131="No",I131=""),0,E131*7/I131)</f>
        <v/>
      </c>
      <c r="O131" s="27">
        <f>IFERROR(IF(AND(A131&lt;&gt;"",H131&lt;&gt;"No",I131&lt;&gt;"",OR('Hoy'!$B$3='Ajustes'!$D$5,F131='Hoy'!$B$3),J131&lt;=TODAY()),ROW(),""),"")</f>
        <v/>
      </c>
      <c r="P131" s="27">
        <f>IFERROR(IF(AND(A131&lt;&gt;"",H131&lt;&gt;"No",I131&lt;&gt;"",OR('Hoy'!$B$3='Ajustes'!$D$5,F131='Hoy'!$B$3),OR(J131=TODAY()+1,AND(I131&lt;=7,J131&gt;=TODAY(),J131&lt;TODAY()+1,MOD(TODAY()+1-J131,I131)=0))),ROW(),""),"")</f>
        <v/>
      </c>
      <c r="Q131" s="27">
        <f>IFERROR(IF(AND(A131&lt;&gt;"",H131&lt;&gt;"No",I131&lt;&gt;"",OR('Hoy'!$B$3='Ajustes'!$D$5,F131='Hoy'!$B$3),OR(J131=TODAY()+2,AND(I131&lt;=7,J131&gt;=TODAY(),J131&lt;TODAY()+2,MOD(TODAY()+2-J131,I131)=0))),ROW(),""),"")</f>
        <v/>
      </c>
      <c r="R131" s="27">
        <f>IFERROR(IF(AND(A131&lt;&gt;"",H131&lt;&gt;"No",I131&lt;&gt;"",OR('Hoy'!$B$3='Ajustes'!$D$5,F131='Hoy'!$B$3),OR(J131=TODAY()+3,AND(I131&lt;=7,J131&gt;=TODAY(),J131&lt;TODAY()+3,MOD(TODAY()+3-J131,I131)=0))),ROW(),""),"")</f>
        <v/>
      </c>
      <c r="S131" s="27">
        <f>IFERROR(IF(AND(A131&lt;&gt;"",H131&lt;&gt;"No",I131&lt;&gt;"",OR('Hoy'!$B$3='Ajustes'!$D$5,F131='Hoy'!$B$3),OR(J131=TODAY()+4,AND(I131&lt;=7,J131&gt;=TODAY(),J131&lt;TODAY()+4,MOD(TODAY()+4-J131,I131)=0))),ROW(),""),"")</f>
        <v/>
      </c>
      <c r="T131" s="27">
        <f>IFERROR(IF(AND(A131&lt;&gt;"",H131&lt;&gt;"No",I131&lt;&gt;"",OR('Hoy'!$B$3='Ajustes'!$D$5,F131='Hoy'!$B$3),OR(J131=TODAY()+5,AND(I131&lt;=7,J131&gt;=TODAY(),J131&lt;TODAY()+5,MOD(TODAY()+5-J131,I131)=0))),ROW(),""),"")</f>
        <v/>
      </c>
      <c r="U131" s="27">
        <f>IFERROR(IF(AND(A131&lt;&gt;"",H131&lt;&gt;"No",I131&lt;&gt;"",OR('Hoy'!$B$3='Ajustes'!$D$5,F131='Hoy'!$B$3),OR(J131=TODAY()+6,AND(I131&lt;=7,J131&gt;=TODAY(),J131&lt;TODAY()+6,MOD(TODAY()+6-J131,I131)=0))),ROW(),""),"")</f>
        <v/>
      </c>
    </row>
    <row r="132">
      <c r="A132" s="6" t="n"/>
      <c r="B132" s="6" t="n"/>
      <c r="C132" s="28" t="n"/>
      <c r="D132" s="6" t="n"/>
      <c r="E132" s="28" t="n"/>
      <c r="F132" s="6" t="n"/>
      <c r="G132" s="6" t="n"/>
      <c r="H132" s="29" t="inlineStr">
        <is>
          <t>Sí</t>
        </is>
      </c>
      <c r="I132" s="30">
        <f>IFERROR(IF(OR(A132="",C132=""),"",C132*INDEX('Ajustes'!$I$5:$I$8,MATCH(D132,'Ajustes'!$H$5:$H$8,0))),"")</f>
        <v/>
      </c>
      <c r="J132" s="31">
        <f>IFERROR(IF(I132="","",IF(G132="",IF('Ajustes'!$B$5="",TODAY(),'Ajustes'!$B$5)+MOD(ROW()*13,I132),IF(D132='Ajustes'!$H$7,EDATE(G132,C132),IF(D132='Ajustes'!$H$8,EDATE(G132,12*C132),G132+I132)))),"")</f>
        <v/>
      </c>
      <c r="K132" s="30">
        <f>IF(J132="","",J132-TODAY())</f>
        <v/>
      </c>
      <c r="L132" s="32">
        <f>IF(A132="","",IF(H132="No","Pausada",IF(K132="","",IF(K132&lt;0,"Atrasada",IF(K132=0,"Hoy",IF(K132&lt;=7,"Esta semana","Más adelante"))))))</f>
        <v/>
      </c>
      <c r="M132" s="27">
        <f>IFERROR(IF(AND(OR(L132="Atrasada",L132="Hoy",L132="Esta semana"),OR('Hoy'!$B$3='Ajustes'!$D$5,F132='Hoy'!$B$3)),K132+ROW()/100000,""),"")</f>
        <v/>
      </c>
      <c r="N132" s="27">
        <f>IF(OR(A132="",H132="No",I132=""),0,E132*7/I132)</f>
        <v/>
      </c>
      <c r="O132" s="27">
        <f>IFERROR(IF(AND(A132&lt;&gt;"",H132&lt;&gt;"No",I132&lt;&gt;"",OR('Hoy'!$B$3='Ajustes'!$D$5,F132='Hoy'!$B$3),J132&lt;=TODAY()),ROW(),""),"")</f>
        <v/>
      </c>
      <c r="P132" s="27">
        <f>IFERROR(IF(AND(A132&lt;&gt;"",H132&lt;&gt;"No",I132&lt;&gt;"",OR('Hoy'!$B$3='Ajustes'!$D$5,F132='Hoy'!$B$3),OR(J132=TODAY()+1,AND(I132&lt;=7,J132&gt;=TODAY(),J132&lt;TODAY()+1,MOD(TODAY()+1-J132,I132)=0))),ROW(),""),"")</f>
        <v/>
      </c>
      <c r="Q132" s="27">
        <f>IFERROR(IF(AND(A132&lt;&gt;"",H132&lt;&gt;"No",I132&lt;&gt;"",OR('Hoy'!$B$3='Ajustes'!$D$5,F132='Hoy'!$B$3),OR(J132=TODAY()+2,AND(I132&lt;=7,J132&gt;=TODAY(),J132&lt;TODAY()+2,MOD(TODAY()+2-J132,I132)=0))),ROW(),""),"")</f>
        <v/>
      </c>
      <c r="R132" s="27">
        <f>IFERROR(IF(AND(A132&lt;&gt;"",H132&lt;&gt;"No",I132&lt;&gt;"",OR('Hoy'!$B$3='Ajustes'!$D$5,F132='Hoy'!$B$3),OR(J132=TODAY()+3,AND(I132&lt;=7,J132&gt;=TODAY(),J132&lt;TODAY()+3,MOD(TODAY()+3-J132,I132)=0))),ROW(),""),"")</f>
        <v/>
      </c>
      <c r="S132" s="27">
        <f>IFERROR(IF(AND(A132&lt;&gt;"",H132&lt;&gt;"No",I132&lt;&gt;"",OR('Hoy'!$B$3='Ajustes'!$D$5,F132='Hoy'!$B$3),OR(J132=TODAY()+4,AND(I132&lt;=7,J132&gt;=TODAY(),J132&lt;TODAY()+4,MOD(TODAY()+4-J132,I132)=0))),ROW(),""),"")</f>
        <v/>
      </c>
      <c r="T132" s="27">
        <f>IFERROR(IF(AND(A132&lt;&gt;"",H132&lt;&gt;"No",I132&lt;&gt;"",OR('Hoy'!$B$3='Ajustes'!$D$5,F132='Hoy'!$B$3),OR(J132=TODAY()+5,AND(I132&lt;=7,J132&gt;=TODAY(),J132&lt;TODAY()+5,MOD(TODAY()+5-J132,I132)=0))),ROW(),""),"")</f>
        <v/>
      </c>
      <c r="U132" s="27">
        <f>IFERROR(IF(AND(A132&lt;&gt;"",H132&lt;&gt;"No",I132&lt;&gt;"",OR('Hoy'!$B$3='Ajustes'!$D$5,F132='Hoy'!$B$3),OR(J132=TODAY()+6,AND(I132&lt;=7,J132&gt;=TODAY(),J132&lt;TODAY()+6,MOD(TODAY()+6-J132,I132)=0))),ROW(),""),"")</f>
        <v/>
      </c>
    </row>
    <row r="133">
      <c r="A133" s="6" t="n"/>
      <c r="B133" s="6" t="n"/>
      <c r="C133" s="28" t="n"/>
      <c r="D133" s="6" t="n"/>
      <c r="E133" s="28" t="n"/>
      <c r="F133" s="6" t="n"/>
      <c r="G133" s="6" t="n"/>
      <c r="H133" s="29" t="inlineStr">
        <is>
          <t>Sí</t>
        </is>
      </c>
      <c r="I133" s="30">
        <f>IFERROR(IF(OR(A133="",C133=""),"",C133*INDEX('Ajustes'!$I$5:$I$8,MATCH(D133,'Ajustes'!$H$5:$H$8,0))),"")</f>
        <v/>
      </c>
      <c r="J133" s="31">
        <f>IFERROR(IF(I133="","",IF(G133="",IF('Ajustes'!$B$5="",TODAY(),'Ajustes'!$B$5)+MOD(ROW()*13,I133),IF(D133='Ajustes'!$H$7,EDATE(G133,C133),IF(D133='Ajustes'!$H$8,EDATE(G133,12*C133),G133+I133)))),"")</f>
        <v/>
      </c>
      <c r="K133" s="30">
        <f>IF(J133="","",J133-TODAY())</f>
        <v/>
      </c>
      <c r="L133" s="32">
        <f>IF(A133="","",IF(H133="No","Pausada",IF(K133="","",IF(K133&lt;0,"Atrasada",IF(K133=0,"Hoy",IF(K133&lt;=7,"Esta semana","Más adelante"))))))</f>
        <v/>
      </c>
      <c r="M133" s="27">
        <f>IFERROR(IF(AND(OR(L133="Atrasada",L133="Hoy",L133="Esta semana"),OR('Hoy'!$B$3='Ajustes'!$D$5,F133='Hoy'!$B$3)),K133+ROW()/100000,""),"")</f>
        <v/>
      </c>
      <c r="N133" s="27">
        <f>IF(OR(A133="",H133="No",I133=""),0,E133*7/I133)</f>
        <v/>
      </c>
      <c r="O133" s="27">
        <f>IFERROR(IF(AND(A133&lt;&gt;"",H133&lt;&gt;"No",I133&lt;&gt;"",OR('Hoy'!$B$3='Ajustes'!$D$5,F133='Hoy'!$B$3),J133&lt;=TODAY()),ROW(),""),"")</f>
        <v/>
      </c>
      <c r="P133" s="27">
        <f>IFERROR(IF(AND(A133&lt;&gt;"",H133&lt;&gt;"No",I133&lt;&gt;"",OR('Hoy'!$B$3='Ajustes'!$D$5,F133='Hoy'!$B$3),OR(J133=TODAY()+1,AND(I133&lt;=7,J133&gt;=TODAY(),J133&lt;TODAY()+1,MOD(TODAY()+1-J133,I133)=0))),ROW(),""),"")</f>
        <v/>
      </c>
      <c r="Q133" s="27">
        <f>IFERROR(IF(AND(A133&lt;&gt;"",H133&lt;&gt;"No",I133&lt;&gt;"",OR('Hoy'!$B$3='Ajustes'!$D$5,F133='Hoy'!$B$3),OR(J133=TODAY()+2,AND(I133&lt;=7,J133&gt;=TODAY(),J133&lt;TODAY()+2,MOD(TODAY()+2-J133,I133)=0))),ROW(),""),"")</f>
        <v/>
      </c>
      <c r="R133" s="27">
        <f>IFERROR(IF(AND(A133&lt;&gt;"",H133&lt;&gt;"No",I133&lt;&gt;"",OR('Hoy'!$B$3='Ajustes'!$D$5,F133='Hoy'!$B$3),OR(J133=TODAY()+3,AND(I133&lt;=7,J133&gt;=TODAY(),J133&lt;TODAY()+3,MOD(TODAY()+3-J133,I133)=0))),ROW(),""),"")</f>
        <v/>
      </c>
      <c r="S133" s="27">
        <f>IFERROR(IF(AND(A133&lt;&gt;"",H133&lt;&gt;"No",I133&lt;&gt;"",OR('Hoy'!$B$3='Ajustes'!$D$5,F133='Hoy'!$B$3),OR(J133=TODAY()+4,AND(I133&lt;=7,J133&gt;=TODAY(),J133&lt;TODAY()+4,MOD(TODAY()+4-J133,I133)=0))),ROW(),""),"")</f>
        <v/>
      </c>
      <c r="T133" s="27">
        <f>IFERROR(IF(AND(A133&lt;&gt;"",H133&lt;&gt;"No",I133&lt;&gt;"",OR('Hoy'!$B$3='Ajustes'!$D$5,F133='Hoy'!$B$3),OR(J133=TODAY()+5,AND(I133&lt;=7,J133&gt;=TODAY(),J133&lt;TODAY()+5,MOD(TODAY()+5-J133,I133)=0))),ROW(),""),"")</f>
        <v/>
      </c>
      <c r="U133" s="27">
        <f>IFERROR(IF(AND(A133&lt;&gt;"",H133&lt;&gt;"No",I133&lt;&gt;"",OR('Hoy'!$B$3='Ajustes'!$D$5,F133='Hoy'!$B$3),OR(J133=TODAY()+6,AND(I133&lt;=7,J133&gt;=TODAY(),J133&lt;TODAY()+6,MOD(TODAY()+6-J133,I133)=0))),ROW(),""),"")</f>
        <v/>
      </c>
    </row>
    <row r="134">
      <c r="A134" s="6" t="n"/>
      <c r="B134" s="6" t="n"/>
      <c r="C134" s="28" t="n"/>
      <c r="D134" s="6" t="n"/>
      <c r="E134" s="28" t="n"/>
      <c r="F134" s="6" t="n"/>
      <c r="G134" s="6" t="n"/>
      <c r="H134" s="29" t="inlineStr">
        <is>
          <t>Sí</t>
        </is>
      </c>
      <c r="I134" s="30">
        <f>IFERROR(IF(OR(A134="",C134=""),"",C134*INDEX('Ajustes'!$I$5:$I$8,MATCH(D134,'Ajustes'!$H$5:$H$8,0))),"")</f>
        <v/>
      </c>
      <c r="J134" s="31">
        <f>IFERROR(IF(I134="","",IF(G134="",IF('Ajustes'!$B$5="",TODAY(),'Ajustes'!$B$5)+MOD(ROW()*13,I134),IF(D134='Ajustes'!$H$7,EDATE(G134,C134),IF(D134='Ajustes'!$H$8,EDATE(G134,12*C134),G134+I134)))),"")</f>
        <v/>
      </c>
      <c r="K134" s="30">
        <f>IF(J134="","",J134-TODAY())</f>
        <v/>
      </c>
      <c r="L134" s="32">
        <f>IF(A134="","",IF(H134="No","Pausada",IF(K134="","",IF(K134&lt;0,"Atrasada",IF(K134=0,"Hoy",IF(K134&lt;=7,"Esta semana","Más adelante"))))))</f>
        <v/>
      </c>
      <c r="M134" s="27">
        <f>IFERROR(IF(AND(OR(L134="Atrasada",L134="Hoy",L134="Esta semana"),OR('Hoy'!$B$3='Ajustes'!$D$5,F134='Hoy'!$B$3)),K134+ROW()/100000,""),"")</f>
        <v/>
      </c>
      <c r="N134" s="27">
        <f>IF(OR(A134="",H134="No",I134=""),0,E134*7/I134)</f>
        <v/>
      </c>
      <c r="O134" s="27">
        <f>IFERROR(IF(AND(A134&lt;&gt;"",H134&lt;&gt;"No",I134&lt;&gt;"",OR('Hoy'!$B$3='Ajustes'!$D$5,F134='Hoy'!$B$3),J134&lt;=TODAY()),ROW(),""),"")</f>
        <v/>
      </c>
      <c r="P134" s="27">
        <f>IFERROR(IF(AND(A134&lt;&gt;"",H134&lt;&gt;"No",I134&lt;&gt;"",OR('Hoy'!$B$3='Ajustes'!$D$5,F134='Hoy'!$B$3),OR(J134=TODAY()+1,AND(I134&lt;=7,J134&gt;=TODAY(),J134&lt;TODAY()+1,MOD(TODAY()+1-J134,I134)=0))),ROW(),""),"")</f>
        <v/>
      </c>
      <c r="Q134" s="27">
        <f>IFERROR(IF(AND(A134&lt;&gt;"",H134&lt;&gt;"No",I134&lt;&gt;"",OR('Hoy'!$B$3='Ajustes'!$D$5,F134='Hoy'!$B$3),OR(J134=TODAY()+2,AND(I134&lt;=7,J134&gt;=TODAY(),J134&lt;TODAY()+2,MOD(TODAY()+2-J134,I134)=0))),ROW(),""),"")</f>
        <v/>
      </c>
      <c r="R134" s="27">
        <f>IFERROR(IF(AND(A134&lt;&gt;"",H134&lt;&gt;"No",I134&lt;&gt;"",OR('Hoy'!$B$3='Ajustes'!$D$5,F134='Hoy'!$B$3),OR(J134=TODAY()+3,AND(I134&lt;=7,J134&gt;=TODAY(),J134&lt;TODAY()+3,MOD(TODAY()+3-J134,I134)=0))),ROW(),""),"")</f>
        <v/>
      </c>
      <c r="S134" s="27">
        <f>IFERROR(IF(AND(A134&lt;&gt;"",H134&lt;&gt;"No",I134&lt;&gt;"",OR('Hoy'!$B$3='Ajustes'!$D$5,F134='Hoy'!$B$3),OR(J134=TODAY()+4,AND(I134&lt;=7,J134&gt;=TODAY(),J134&lt;TODAY()+4,MOD(TODAY()+4-J134,I134)=0))),ROW(),""),"")</f>
        <v/>
      </c>
      <c r="T134" s="27">
        <f>IFERROR(IF(AND(A134&lt;&gt;"",H134&lt;&gt;"No",I134&lt;&gt;"",OR('Hoy'!$B$3='Ajustes'!$D$5,F134='Hoy'!$B$3),OR(J134=TODAY()+5,AND(I134&lt;=7,J134&gt;=TODAY(),J134&lt;TODAY()+5,MOD(TODAY()+5-J134,I134)=0))),ROW(),""),"")</f>
        <v/>
      </c>
      <c r="U134" s="27">
        <f>IFERROR(IF(AND(A134&lt;&gt;"",H134&lt;&gt;"No",I134&lt;&gt;"",OR('Hoy'!$B$3='Ajustes'!$D$5,F134='Hoy'!$B$3),OR(J134=TODAY()+6,AND(I134&lt;=7,J134&gt;=TODAY(),J134&lt;TODAY()+6,MOD(TODAY()+6-J134,I134)=0))),ROW(),""),"")</f>
        <v/>
      </c>
    </row>
    <row r="135">
      <c r="A135" s="6" t="n"/>
      <c r="B135" s="6" t="n"/>
      <c r="C135" s="28" t="n"/>
      <c r="D135" s="6" t="n"/>
      <c r="E135" s="28" t="n"/>
      <c r="F135" s="6" t="n"/>
      <c r="G135" s="6" t="n"/>
      <c r="H135" s="29" t="inlineStr">
        <is>
          <t>Sí</t>
        </is>
      </c>
      <c r="I135" s="30">
        <f>IFERROR(IF(OR(A135="",C135=""),"",C135*INDEX('Ajustes'!$I$5:$I$8,MATCH(D135,'Ajustes'!$H$5:$H$8,0))),"")</f>
        <v/>
      </c>
      <c r="J135" s="31">
        <f>IFERROR(IF(I135="","",IF(G135="",IF('Ajustes'!$B$5="",TODAY(),'Ajustes'!$B$5)+MOD(ROW()*13,I135),IF(D135='Ajustes'!$H$7,EDATE(G135,C135),IF(D135='Ajustes'!$H$8,EDATE(G135,12*C135),G135+I135)))),"")</f>
        <v/>
      </c>
      <c r="K135" s="30">
        <f>IF(J135="","",J135-TODAY())</f>
        <v/>
      </c>
      <c r="L135" s="32">
        <f>IF(A135="","",IF(H135="No","Pausada",IF(K135="","",IF(K135&lt;0,"Atrasada",IF(K135=0,"Hoy",IF(K135&lt;=7,"Esta semana","Más adelante"))))))</f>
        <v/>
      </c>
      <c r="M135" s="27">
        <f>IFERROR(IF(AND(OR(L135="Atrasada",L135="Hoy",L135="Esta semana"),OR('Hoy'!$B$3='Ajustes'!$D$5,F135='Hoy'!$B$3)),K135+ROW()/100000,""),"")</f>
        <v/>
      </c>
      <c r="N135" s="27">
        <f>IF(OR(A135="",H135="No",I135=""),0,E135*7/I135)</f>
        <v/>
      </c>
      <c r="O135" s="27">
        <f>IFERROR(IF(AND(A135&lt;&gt;"",H135&lt;&gt;"No",I135&lt;&gt;"",OR('Hoy'!$B$3='Ajustes'!$D$5,F135='Hoy'!$B$3),J135&lt;=TODAY()),ROW(),""),"")</f>
        <v/>
      </c>
      <c r="P135" s="27">
        <f>IFERROR(IF(AND(A135&lt;&gt;"",H135&lt;&gt;"No",I135&lt;&gt;"",OR('Hoy'!$B$3='Ajustes'!$D$5,F135='Hoy'!$B$3),OR(J135=TODAY()+1,AND(I135&lt;=7,J135&gt;=TODAY(),J135&lt;TODAY()+1,MOD(TODAY()+1-J135,I135)=0))),ROW(),""),"")</f>
        <v/>
      </c>
      <c r="Q135" s="27">
        <f>IFERROR(IF(AND(A135&lt;&gt;"",H135&lt;&gt;"No",I135&lt;&gt;"",OR('Hoy'!$B$3='Ajustes'!$D$5,F135='Hoy'!$B$3),OR(J135=TODAY()+2,AND(I135&lt;=7,J135&gt;=TODAY(),J135&lt;TODAY()+2,MOD(TODAY()+2-J135,I135)=0))),ROW(),""),"")</f>
        <v/>
      </c>
      <c r="R135" s="27">
        <f>IFERROR(IF(AND(A135&lt;&gt;"",H135&lt;&gt;"No",I135&lt;&gt;"",OR('Hoy'!$B$3='Ajustes'!$D$5,F135='Hoy'!$B$3),OR(J135=TODAY()+3,AND(I135&lt;=7,J135&gt;=TODAY(),J135&lt;TODAY()+3,MOD(TODAY()+3-J135,I135)=0))),ROW(),""),"")</f>
        <v/>
      </c>
      <c r="S135" s="27">
        <f>IFERROR(IF(AND(A135&lt;&gt;"",H135&lt;&gt;"No",I135&lt;&gt;"",OR('Hoy'!$B$3='Ajustes'!$D$5,F135='Hoy'!$B$3),OR(J135=TODAY()+4,AND(I135&lt;=7,J135&gt;=TODAY(),J135&lt;TODAY()+4,MOD(TODAY()+4-J135,I135)=0))),ROW(),""),"")</f>
        <v/>
      </c>
      <c r="T135" s="27">
        <f>IFERROR(IF(AND(A135&lt;&gt;"",H135&lt;&gt;"No",I135&lt;&gt;"",OR('Hoy'!$B$3='Ajustes'!$D$5,F135='Hoy'!$B$3),OR(J135=TODAY()+5,AND(I135&lt;=7,J135&gt;=TODAY(),J135&lt;TODAY()+5,MOD(TODAY()+5-J135,I135)=0))),ROW(),""),"")</f>
        <v/>
      </c>
      <c r="U135" s="27">
        <f>IFERROR(IF(AND(A135&lt;&gt;"",H135&lt;&gt;"No",I135&lt;&gt;"",OR('Hoy'!$B$3='Ajustes'!$D$5,F135='Hoy'!$B$3),OR(J135=TODAY()+6,AND(I135&lt;=7,J135&gt;=TODAY(),J135&lt;TODAY()+6,MOD(TODAY()+6-J135,I135)=0))),ROW(),""),"")</f>
        <v/>
      </c>
    </row>
    <row r="136">
      <c r="A136" s="6" t="n"/>
      <c r="B136" s="6" t="n"/>
      <c r="C136" s="28" t="n"/>
      <c r="D136" s="6" t="n"/>
      <c r="E136" s="28" t="n"/>
      <c r="F136" s="6" t="n"/>
      <c r="G136" s="6" t="n"/>
      <c r="H136" s="29" t="inlineStr">
        <is>
          <t>Sí</t>
        </is>
      </c>
      <c r="I136" s="30">
        <f>IFERROR(IF(OR(A136="",C136=""),"",C136*INDEX('Ajustes'!$I$5:$I$8,MATCH(D136,'Ajustes'!$H$5:$H$8,0))),"")</f>
        <v/>
      </c>
      <c r="J136" s="31">
        <f>IFERROR(IF(I136="","",IF(G136="",IF('Ajustes'!$B$5="",TODAY(),'Ajustes'!$B$5)+MOD(ROW()*13,I136),IF(D136='Ajustes'!$H$7,EDATE(G136,C136),IF(D136='Ajustes'!$H$8,EDATE(G136,12*C136),G136+I136)))),"")</f>
        <v/>
      </c>
      <c r="K136" s="30">
        <f>IF(J136="","",J136-TODAY())</f>
        <v/>
      </c>
      <c r="L136" s="32">
        <f>IF(A136="","",IF(H136="No","Pausada",IF(K136="","",IF(K136&lt;0,"Atrasada",IF(K136=0,"Hoy",IF(K136&lt;=7,"Esta semana","Más adelante"))))))</f>
        <v/>
      </c>
      <c r="M136" s="27">
        <f>IFERROR(IF(AND(OR(L136="Atrasada",L136="Hoy",L136="Esta semana"),OR('Hoy'!$B$3='Ajustes'!$D$5,F136='Hoy'!$B$3)),K136+ROW()/100000,""),"")</f>
        <v/>
      </c>
      <c r="N136" s="27">
        <f>IF(OR(A136="",H136="No",I136=""),0,E136*7/I136)</f>
        <v/>
      </c>
      <c r="O136" s="27">
        <f>IFERROR(IF(AND(A136&lt;&gt;"",H136&lt;&gt;"No",I136&lt;&gt;"",OR('Hoy'!$B$3='Ajustes'!$D$5,F136='Hoy'!$B$3),J136&lt;=TODAY()),ROW(),""),"")</f>
        <v/>
      </c>
      <c r="P136" s="27">
        <f>IFERROR(IF(AND(A136&lt;&gt;"",H136&lt;&gt;"No",I136&lt;&gt;"",OR('Hoy'!$B$3='Ajustes'!$D$5,F136='Hoy'!$B$3),OR(J136=TODAY()+1,AND(I136&lt;=7,J136&gt;=TODAY(),J136&lt;TODAY()+1,MOD(TODAY()+1-J136,I136)=0))),ROW(),""),"")</f>
        <v/>
      </c>
      <c r="Q136" s="27">
        <f>IFERROR(IF(AND(A136&lt;&gt;"",H136&lt;&gt;"No",I136&lt;&gt;"",OR('Hoy'!$B$3='Ajustes'!$D$5,F136='Hoy'!$B$3),OR(J136=TODAY()+2,AND(I136&lt;=7,J136&gt;=TODAY(),J136&lt;TODAY()+2,MOD(TODAY()+2-J136,I136)=0))),ROW(),""),"")</f>
        <v/>
      </c>
      <c r="R136" s="27">
        <f>IFERROR(IF(AND(A136&lt;&gt;"",H136&lt;&gt;"No",I136&lt;&gt;"",OR('Hoy'!$B$3='Ajustes'!$D$5,F136='Hoy'!$B$3),OR(J136=TODAY()+3,AND(I136&lt;=7,J136&gt;=TODAY(),J136&lt;TODAY()+3,MOD(TODAY()+3-J136,I136)=0))),ROW(),""),"")</f>
        <v/>
      </c>
      <c r="S136" s="27">
        <f>IFERROR(IF(AND(A136&lt;&gt;"",H136&lt;&gt;"No",I136&lt;&gt;"",OR('Hoy'!$B$3='Ajustes'!$D$5,F136='Hoy'!$B$3),OR(J136=TODAY()+4,AND(I136&lt;=7,J136&gt;=TODAY(),J136&lt;TODAY()+4,MOD(TODAY()+4-J136,I136)=0))),ROW(),""),"")</f>
        <v/>
      </c>
      <c r="T136" s="27">
        <f>IFERROR(IF(AND(A136&lt;&gt;"",H136&lt;&gt;"No",I136&lt;&gt;"",OR('Hoy'!$B$3='Ajustes'!$D$5,F136='Hoy'!$B$3),OR(J136=TODAY()+5,AND(I136&lt;=7,J136&gt;=TODAY(),J136&lt;TODAY()+5,MOD(TODAY()+5-J136,I136)=0))),ROW(),""),"")</f>
        <v/>
      </c>
      <c r="U136" s="27">
        <f>IFERROR(IF(AND(A136&lt;&gt;"",H136&lt;&gt;"No",I136&lt;&gt;"",OR('Hoy'!$B$3='Ajustes'!$D$5,F136='Hoy'!$B$3),OR(J136=TODAY()+6,AND(I136&lt;=7,J136&gt;=TODAY(),J136&lt;TODAY()+6,MOD(TODAY()+6-J136,I136)=0))),ROW(),""),"")</f>
        <v/>
      </c>
    </row>
    <row r="137">
      <c r="A137" s="6" t="n"/>
      <c r="B137" s="6" t="n"/>
      <c r="C137" s="28" t="n"/>
      <c r="D137" s="6" t="n"/>
      <c r="E137" s="28" t="n"/>
      <c r="F137" s="6" t="n"/>
      <c r="G137" s="6" t="n"/>
      <c r="H137" s="29" t="inlineStr">
        <is>
          <t>Sí</t>
        </is>
      </c>
      <c r="I137" s="30">
        <f>IFERROR(IF(OR(A137="",C137=""),"",C137*INDEX('Ajustes'!$I$5:$I$8,MATCH(D137,'Ajustes'!$H$5:$H$8,0))),"")</f>
        <v/>
      </c>
      <c r="J137" s="31">
        <f>IFERROR(IF(I137="","",IF(G137="",IF('Ajustes'!$B$5="",TODAY(),'Ajustes'!$B$5)+MOD(ROW()*13,I137),IF(D137='Ajustes'!$H$7,EDATE(G137,C137),IF(D137='Ajustes'!$H$8,EDATE(G137,12*C137),G137+I137)))),"")</f>
        <v/>
      </c>
      <c r="K137" s="30">
        <f>IF(J137="","",J137-TODAY())</f>
        <v/>
      </c>
      <c r="L137" s="32">
        <f>IF(A137="","",IF(H137="No","Pausada",IF(K137="","",IF(K137&lt;0,"Atrasada",IF(K137=0,"Hoy",IF(K137&lt;=7,"Esta semana","Más adelante"))))))</f>
        <v/>
      </c>
      <c r="M137" s="27">
        <f>IFERROR(IF(AND(OR(L137="Atrasada",L137="Hoy",L137="Esta semana"),OR('Hoy'!$B$3='Ajustes'!$D$5,F137='Hoy'!$B$3)),K137+ROW()/100000,""),"")</f>
        <v/>
      </c>
      <c r="N137" s="27">
        <f>IF(OR(A137="",H137="No",I137=""),0,E137*7/I137)</f>
        <v/>
      </c>
      <c r="O137" s="27">
        <f>IFERROR(IF(AND(A137&lt;&gt;"",H137&lt;&gt;"No",I137&lt;&gt;"",OR('Hoy'!$B$3='Ajustes'!$D$5,F137='Hoy'!$B$3),J137&lt;=TODAY()),ROW(),""),"")</f>
        <v/>
      </c>
      <c r="P137" s="27">
        <f>IFERROR(IF(AND(A137&lt;&gt;"",H137&lt;&gt;"No",I137&lt;&gt;"",OR('Hoy'!$B$3='Ajustes'!$D$5,F137='Hoy'!$B$3),OR(J137=TODAY()+1,AND(I137&lt;=7,J137&gt;=TODAY(),J137&lt;TODAY()+1,MOD(TODAY()+1-J137,I137)=0))),ROW(),""),"")</f>
        <v/>
      </c>
      <c r="Q137" s="27">
        <f>IFERROR(IF(AND(A137&lt;&gt;"",H137&lt;&gt;"No",I137&lt;&gt;"",OR('Hoy'!$B$3='Ajustes'!$D$5,F137='Hoy'!$B$3),OR(J137=TODAY()+2,AND(I137&lt;=7,J137&gt;=TODAY(),J137&lt;TODAY()+2,MOD(TODAY()+2-J137,I137)=0))),ROW(),""),"")</f>
        <v/>
      </c>
      <c r="R137" s="27">
        <f>IFERROR(IF(AND(A137&lt;&gt;"",H137&lt;&gt;"No",I137&lt;&gt;"",OR('Hoy'!$B$3='Ajustes'!$D$5,F137='Hoy'!$B$3),OR(J137=TODAY()+3,AND(I137&lt;=7,J137&gt;=TODAY(),J137&lt;TODAY()+3,MOD(TODAY()+3-J137,I137)=0))),ROW(),""),"")</f>
        <v/>
      </c>
      <c r="S137" s="27">
        <f>IFERROR(IF(AND(A137&lt;&gt;"",H137&lt;&gt;"No",I137&lt;&gt;"",OR('Hoy'!$B$3='Ajustes'!$D$5,F137='Hoy'!$B$3),OR(J137=TODAY()+4,AND(I137&lt;=7,J137&gt;=TODAY(),J137&lt;TODAY()+4,MOD(TODAY()+4-J137,I137)=0))),ROW(),""),"")</f>
        <v/>
      </c>
      <c r="T137" s="27">
        <f>IFERROR(IF(AND(A137&lt;&gt;"",H137&lt;&gt;"No",I137&lt;&gt;"",OR('Hoy'!$B$3='Ajustes'!$D$5,F137='Hoy'!$B$3),OR(J137=TODAY()+5,AND(I137&lt;=7,J137&gt;=TODAY(),J137&lt;TODAY()+5,MOD(TODAY()+5-J137,I137)=0))),ROW(),""),"")</f>
        <v/>
      </c>
      <c r="U137" s="27">
        <f>IFERROR(IF(AND(A137&lt;&gt;"",H137&lt;&gt;"No",I137&lt;&gt;"",OR('Hoy'!$B$3='Ajustes'!$D$5,F137='Hoy'!$B$3),OR(J137=TODAY()+6,AND(I137&lt;=7,J137&gt;=TODAY(),J137&lt;TODAY()+6,MOD(TODAY()+6-J137,I137)=0))),ROW(),""),"")</f>
        <v/>
      </c>
    </row>
    <row r="138">
      <c r="A138" s="6" t="n"/>
      <c r="B138" s="6" t="n"/>
      <c r="C138" s="28" t="n"/>
      <c r="D138" s="6" t="n"/>
      <c r="E138" s="28" t="n"/>
      <c r="F138" s="6" t="n"/>
      <c r="G138" s="6" t="n"/>
      <c r="H138" s="29" t="inlineStr">
        <is>
          <t>Sí</t>
        </is>
      </c>
      <c r="I138" s="30">
        <f>IFERROR(IF(OR(A138="",C138=""),"",C138*INDEX('Ajustes'!$I$5:$I$8,MATCH(D138,'Ajustes'!$H$5:$H$8,0))),"")</f>
        <v/>
      </c>
      <c r="J138" s="31">
        <f>IFERROR(IF(I138="","",IF(G138="",IF('Ajustes'!$B$5="",TODAY(),'Ajustes'!$B$5)+MOD(ROW()*13,I138),IF(D138='Ajustes'!$H$7,EDATE(G138,C138),IF(D138='Ajustes'!$H$8,EDATE(G138,12*C138),G138+I138)))),"")</f>
        <v/>
      </c>
      <c r="K138" s="30">
        <f>IF(J138="","",J138-TODAY())</f>
        <v/>
      </c>
      <c r="L138" s="32">
        <f>IF(A138="","",IF(H138="No","Pausada",IF(K138="","",IF(K138&lt;0,"Atrasada",IF(K138=0,"Hoy",IF(K138&lt;=7,"Esta semana","Más adelante"))))))</f>
        <v/>
      </c>
      <c r="M138" s="27">
        <f>IFERROR(IF(AND(OR(L138="Atrasada",L138="Hoy",L138="Esta semana"),OR('Hoy'!$B$3='Ajustes'!$D$5,F138='Hoy'!$B$3)),K138+ROW()/100000,""),"")</f>
        <v/>
      </c>
      <c r="N138" s="27">
        <f>IF(OR(A138="",H138="No",I138=""),0,E138*7/I138)</f>
        <v/>
      </c>
      <c r="O138" s="27">
        <f>IFERROR(IF(AND(A138&lt;&gt;"",H138&lt;&gt;"No",I138&lt;&gt;"",OR('Hoy'!$B$3='Ajustes'!$D$5,F138='Hoy'!$B$3),J138&lt;=TODAY()),ROW(),""),"")</f>
        <v/>
      </c>
      <c r="P138" s="27">
        <f>IFERROR(IF(AND(A138&lt;&gt;"",H138&lt;&gt;"No",I138&lt;&gt;"",OR('Hoy'!$B$3='Ajustes'!$D$5,F138='Hoy'!$B$3),OR(J138=TODAY()+1,AND(I138&lt;=7,J138&gt;=TODAY(),J138&lt;TODAY()+1,MOD(TODAY()+1-J138,I138)=0))),ROW(),""),"")</f>
        <v/>
      </c>
      <c r="Q138" s="27">
        <f>IFERROR(IF(AND(A138&lt;&gt;"",H138&lt;&gt;"No",I138&lt;&gt;"",OR('Hoy'!$B$3='Ajustes'!$D$5,F138='Hoy'!$B$3),OR(J138=TODAY()+2,AND(I138&lt;=7,J138&gt;=TODAY(),J138&lt;TODAY()+2,MOD(TODAY()+2-J138,I138)=0))),ROW(),""),"")</f>
        <v/>
      </c>
      <c r="R138" s="27">
        <f>IFERROR(IF(AND(A138&lt;&gt;"",H138&lt;&gt;"No",I138&lt;&gt;"",OR('Hoy'!$B$3='Ajustes'!$D$5,F138='Hoy'!$B$3),OR(J138=TODAY()+3,AND(I138&lt;=7,J138&gt;=TODAY(),J138&lt;TODAY()+3,MOD(TODAY()+3-J138,I138)=0))),ROW(),""),"")</f>
        <v/>
      </c>
      <c r="S138" s="27">
        <f>IFERROR(IF(AND(A138&lt;&gt;"",H138&lt;&gt;"No",I138&lt;&gt;"",OR('Hoy'!$B$3='Ajustes'!$D$5,F138='Hoy'!$B$3),OR(J138=TODAY()+4,AND(I138&lt;=7,J138&gt;=TODAY(),J138&lt;TODAY()+4,MOD(TODAY()+4-J138,I138)=0))),ROW(),""),"")</f>
        <v/>
      </c>
      <c r="T138" s="27">
        <f>IFERROR(IF(AND(A138&lt;&gt;"",H138&lt;&gt;"No",I138&lt;&gt;"",OR('Hoy'!$B$3='Ajustes'!$D$5,F138='Hoy'!$B$3),OR(J138=TODAY()+5,AND(I138&lt;=7,J138&gt;=TODAY(),J138&lt;TODAY()+5,MOD(TODAY()+5-J138,I138)=0))),ROW(),""),"")</f>
        <v/>
      </c>
      <c r="U138" s="27">
        <f>IFERROR(IF(AND(A138&lt;&gt;"",H138&lt;&gt;"No",I138&lt;&gt;"",OR('Hoy'!$B$3='Ajustes'!$D$5,F138='Hoy'!$B$3),OR(J138=TODAY()+6,AND(I138&lt;=7,J138&gt;=TODAY(),J138&lt;TODAY()+6,MOD(TODAY()+6-J138,I138)=0))),ROW(),""),"")</f>
        <v/>
      </c>
    </row>
    <row r="139">
      <c r="A139" s="6" t="n"/>
      <c r="B139" s="6" t="n"/>
      <c r="C139" s="28" t="n"/>
      <c r="D139" s="6" t="n"/>
      <c r="E139" s="28" t="n"/>
      <c r="F139" s="6" t="n"/>
      <c r="G139" s="6" t="n"/>
      <c r="H139" s="29" t="inlineStr">
        <is>
          <t>Sí</t>
        </is>
      </c>
      <c r="I139" s="30">
        <f>IFERROR(IF(OR(A139="",C139=""),"",C139*INDEX('Ajustes'!$I$5:$I$8,MATCH(D139,'Ajustes'!$H$5:$H$8,0))),"")</f>
        <v/>
      </c>
      <c r="J139" s="31">
        <f>IFERROR(IF(I139="","",IF(G139="",IF('Ajustes'!$B$5="",TODAY(),'Ajustes'!$B$5)+MOD(ROW()*13,I139),IF(D139='Ajustes'!$H$7,EDATE(G139,C139),IF(D139='Ajustes'!$H$8,EDATE(G139,12*C139),G139+I139)))),"")</f>
        <v/>
      </c>
      <c r="K139" s="30">
        <f>IF(J139="","",J139-TODAY())</f>
        <v/>
      </c>
      <c r="L139" s="32">
        <f>IF(A139="","",IF(H139="No","Pausada",IF(K139="","",IF(K139&lt;0,"Atrasada",IF(K139=0,"Hoy",IF(K139&lt;=7,"Esta semana","Más adelante"))))))</f>
        <v/>
      </c>
      <c r="M139" s="27">
        <f>IFERROR(IF(AND(OR(L139="Atrasada",L139="Hoy",L139="Esta semana"),OR('Hoy'!$B$3='Ajustes'!$D$5,F139='Hoy'!$B$3)),K139+ROW()/100000,""),"")</f>
        <v/>
      </c>
      <c r="N139" s="27">
        <f>IF(OR(A139="",H139="No",I139=""),0,E139*7/I139)</f>
        <v/>
      </c>
      <c r="O139" s="27">
        <f>IFERROR(IF(AND(A139&lt;&gt;"",H139&lt;&gt;"No",I139&lt;&gt;"",OR('Hoy'!$B$3='Ajustes'!$D$5,F139='Hoy'!$B$3),J139&lt;=TODAY()),ROW(),""),"")</f>
        <v/>
      </c>
      <c r="P139" s="27">
        <f>IFERROR(IF(AND(A139&lt;&gt;"",H139&lt;&gt;"No",I139&lt;&gt;"",OR('Hoy'!$B$3='Ajustes'!$D$5,F139='Hoy'!$B$3),OR(J139=TODAY()+1,AND(I139&lt;=7,J139&gt;=TODAY(),J139&lt;TODAY()+1,MOD(TODAY()+1-J139,I139)=0))),ROW(),""),"")</f>
        <v/>
      </c>
      <c r="Q139" s="27">
        <f>IFERROR(IF(AND(A139&lt;&gt;"",H139&lt;&gt;"No",I139&lt;&gt;"",OR('Hoy'!$B$3='Ajustes'!$D$5,F139='Hoy'!$B$3),OR(J139=TODAY()+2,AND(I139&lt;=7,J139&gt;=TODAY(),J139&lt;TODAY()+2,MOD(TODAY()+2-J139,I139)=0))),ROW(),""),"")</f>
        <v/>
      </c>
      <c r="R139" s="27">
        <f>IFERROR(IF(AND(A139&lt;&gt;"",H139&lt;&gt;"No",I139&lt;&gt;"",OR('Hoy'!$B$3='Ajustes'!$D$5,F139='Hoy'!$B$3),OR(J139=TODAY()+3,AND(I139&lt;=7,J139&gt;=TODAY(),J139&lt;TODAY()+3,MOD(TODAY()+3-J139,I139)=0))),ROW(),""),"")</f>
        <v/>
      </c>
      <c r="S139" s="27">
        <f>IFERROR(IF(AND(A139&lt;&gt;"",H139&lt;&gt;"No",I139&lt;&gt;"",OR('Hoy'!$B$3='Ajustes'!$D$5,F139='Hoy'!$B$3),OR(J139=TODAY()+4,AND(I139&lt;=7,J139&gt;=TODAY(),J139&lt;TODAY()+4,MOD(TODAY()+4-J139,I139)=0))),ROW(),""),"")</f>
        <v/>
      </c>
      <c r="T139" s="27">
        <f>IFERROR(IF(AND(A139&lt;&gt;"",H139&lt;&gt;"No",I139&lt;&gt;"",OR('Hoy'!$B$3='Ajustes'!$D$5,F139='Hoy'!$B$3),OR(J139=TODAY()+5,AND(I139&lt;=7,J139&gt;=TODAY(),J139&lt;TODAY()+5,MOD(TODAY()+5-J139,I139)=0))),ROW(),""),"")</f>
        <v/>
      </c>
      <c r="U139" s="27">
        <f>IFERROR(IF(AND(A139&lt;&gt;"",H139&lt;&gt;"No",I139&lt;&gt;"",OR('Hoy'!$B$3='Ajustes'!$D$5,F139='Hoy'!$B$3),OR(J139=TODAY()+6,AND(I139&lt;=7,J139&gt;=TODAY(),J139&lt;TODAY()+6,MOD(TODAY()+6-J139,I139)=0))),ROW(),""),"")</f>
        <v/>
      </c>
    </row>
    <row r="140">
      <c r="A140" s="6" t="n"/>
      <c r="B140" s="6" t="n"/>
      <c r="C140" s="28" t="n"/>
      <c r="D140" s="6" t="n"/>
      <c r="E140" s="28" t="n"/>
      <c r="F140" s="6" t="n"/>
      <c r="G140" s="6" t="n"/>
      <c r="H140" s="29" t="inlineStr">
        <is>
          <t>Sí</t>
        </is>
      </c>
      <c r="I140" s="30">
        <f>IFERROR(IF(OR(A140="",C140=""),"",C140*INDEX('Ajustes'!$I$5:$I$8,MATCH(D140,'Ajustes'!$H$5:$H$8,0))),"")</f>
        <v/>
      </c>
      <c r="J140" s="31">
        <f>IFERROR(IF(I140="","",IF(G140="",IF('Ajustes'!$B$5="",TODAY(),'Ajustes'!$B$5)+MOD(ROW()*13,I140),IF(D140='Ajustes'!$H$7,EDATE(G140,C140),IF(D140='Ajustes'!$H$8,EDATE(G140,12*C140),G140+I140)))),"")</f>
        <v/>
      </c>
      <c r="K140" s="30">
        <f>IF(J140="","",J140-TODAY())</f>
        <v/>
      </c>
      <c r="L140" s="32">
        <f>IF(A140="","",IF(H140="No","Pausada",IF(K140="","",IF(K140&lt;0,"Atrasada",IF(K140=0,"Hoy",IF(K140&lt;=7,"Esta semana","Más adelante"))))))</f>
        <v/>
      </c>
      <c r="M140" s="27">
        <f>IFERROR(IF(AND(OR(L140="Atrasada",L140="Hoy",L140="Esta semana"),OR('Hoy'!$B$3='Ajustes'!$D$5,F140='Hoy'!$B$3)),K140+ROW()/100000,""),"")</f>
        <v/>
      </c>
      <c r="N140" s="27">
        <f>IF(OR(A140="",H140="No",I140=""),0,E140*7/I140)</f>
        <v/>
      </c>
      <c r="O140" s="27">
        <f>IFERROR(IF(AND(A140&lt;&gt;"",H140&lt;&gt;"No",I140&lt;&gt;"",OR('Hoy'!$B$3='Ajustes'!$D$5,F140='Hoy'!$B$3),J140&lt;=TODAY()),ROW(),""),"")</f>
        <v/>
      </c>
      <c r="P140" s="27">
        <f>IFERROR(IF(AND(A140&lt;&gt;"",H140&lt;&gt;"No",I140&lt;&gt;"",OR('Hoy'!$B$3='Ajustes'!$D$5,F140='Hoy'!$B$3),OR(J140=TODAY()+1,AND(I140&lt;=7,J140&gt;=TODAY(),J140&lt;TODAY()+1,MOD(TODAY()+1-J140,I140)=0))),ROW(),""),"")</f>
        <v/>
      </c>
      <c r="Q140" s="27">
        <f>IFERROR(IF(AND(A140&lt;&gt;"",H140&lt;&gt;"No",I140&lt;&gt;"",OR('Hoy'!$B$3='Ajustes'!$D$5,F140='Hoy'!$B$3),OR(J140=TODAY()+2,AND(I140&lt;=7,J140&gt;=TODAY(),J140&lt;TODAY()+2,MOD(TODAY()+2-J140,I140)=0))),ROW(),""),"")</f>
        <v/>
      </c>
      <c r="R140" s="27">
        <f>IFERROR(IF(AND(A140&lt;&gt;"",H140&lt;&gt;"No",I140&lt;&gt;"",OR('Hoy'!$B$3='Ajustes'!$D$5,F140='Hoy'!$B$3),OR(J140=TODAY()+3,AND(I140&lt;=7,J140&gt;=TODAY(),J140&lt;TODAY()+3,MOD(TODAY()+3-J140,I140)=0))),ROW(),""),"")</f>
        <v/>
      </c>
      <c r="S140" s="27">
        <f>IFERROR(IF(AND(A140&lt;&gt;"",H140&lt;&gt;"No",I140&lt;&gt;"",OR('Hoy'!$B$3='Ajustes'!$D$5,F140='Hoy'!$B$3),OR(J140=TODAY()+4,AND(I140&lt;=7,J140&gt;=TODAY(),J140&lt;TODAY()+4,MOD(TODAY()+4-J140,I140)=0))),ROW(),""),"")</f>
        <v/>
      </c>
      <c r="T140" s="27">
        <f>IFERROR(IF(AND(A140&lt;&gt;"",H140&lt;&gt;"No",I140&lt;&gt;"",OR('Hoy'!$B$3='Ajustes'!$D$5,F140='Hoy'!$B$3),OR(J140=TODAY()+5,AND(I140&lt;=7,J140&gt;=TODAY(),J140&lt;TODAY()+5,MOD(TODAY()+5-J140,I140)=0))),ROW(),""),"")</f>
        <v/>
      </c>
      <c r="U140" s="27">
        <f>IFERROR(IF(AND(A140&lt;&gt;"",H140&lt;&gt;"No",I140&lt;&gt;"",OR('Hoy'!$B$3='Ajustes'!$D$5,F140='Hoy'!$B$3),OR(J140=TODAY()+6,AND(I140&lt;=7,J140&gt;=TODAY(),J140&lt;TODAY()+6,MOD(TODAY()+6-J140,I140)=0))),ROW(),""),"")</f>
        <v/>
      </c>
    </row>
    <row r="141">
      <c r="A141" s="6" t="n"/>
      <c r="B141" s="6" t="n"/>
      <c r="C141" s="28" t="n"/>
      <c r="D141" s="6" t="n"/>
      <c r="E141" s="28" t="n"/>
      <c r="F141" s="6" t="n"/>
      <c r="G141" s="6" t="n"/>
      <c r="H141" s="29" t="inlineStr">
        <is>
          <t>Sí</t>
        </is>
      </c>
      <c r="I141" s="30">
        <f>IFERROR(IF(OR(A141="",C141=""),"",C141*INDEX('Ajustes'!$I$5:$I$8,MATCH(D141,'Ajustes'!$H$5:$H$8,0))),"")</f>
        <v/>
      </c>
      <c r="J141" s="31">
        <f>IFERROR(IF(I141="","",IF(G141="",IF('Ajustes'!$B$5="",TODAY(),'Ajustes'!$B$5)+MOD(ROW()*13,I141),IF(D141='Ajustes'!$H$7,EDATE(G141,C141),IF(D141='Ajustes'!$H$8,EDATE(G141,12*C141),G141+I141)))),"")</f>
        <v/>
      </c>
      <c r="K141" s="30">
        <f>IF(J141="","",J141-TODAY())</f>
        <v/>
      </c>
      <c r="L141" s="32">
        <f>IF(A141="","",IF(H141="No","Pausada",IF(K141="","",IF(K141&lt;0,"Atrasada",IF(K141=0,"Hoy",IF(K141&lt;=7,"Esta semana","Más adelante"))))))</f>
        <v/>
      </c>
      <c r="M141" s="27">
        <f>IFERROR(IF(AND(OR(L141="Atrasada",L141="Hoy",L141="Esta semana"),OR('Hoy'!$B$3='Ajustes'!$D$5,F141='Hoy'!$B$3)),K141+ROW()/100000,""),"")</f>
        <v/>
      </c>
      <c r="N141" s="27">
        <f>IF(OR(A141="",H141="No",I141=""),0,E141*7/I141)</f>
        <v/>
      </c>
      <c r="O141" s="27">
        <f>IFERROR(IF(AND(A141&lt;&gt;"",H141&lt;&gt;"No",I141&lt;&gt;"",OR('Hoy'!$B$3='Ajustes'!$D$5,F141='Hoy'!$B$3),J141&lt;=TODAY()),ROW(),""),"")</f>
        <v/>
      </c>
      <c r="P141" s="27">
        <f>IFERROR(IF(AND(A141&lt;&gt;"",H141&lt;&gt;"No",I141&lt;&gt;"",OR('Hoy'!$B$3='Ajustes'!$D$5,F141='Hoy'!$B$3),OR(J141=TODAY()+1,AND(I141&lt;=7,J141&gt;=TODAY(),J141&lt;TODAY()+1,MOD(TODAY()+1-J141,I141)=0))),ROW(),""),"")</f>
        <v/>
      </c>
      <c r="Q141" s="27">
        <f>IFERROR(IF(AND(A141&lt;&gt;"",H141&lt;&gt;"No",I141&lt;&gt;"",OR('Hoy'!$B$3='Ajustes'!$D$5,F141='Hoy'!$B$3),OR(J141=TODAY()+2,AND(I141&lt;=7,J141&gt;=TODAY(),J141&lt;TODAY()+2,MOD(TODAY()+2-J141,I141)=0))),ROW(),""),"")</f>
        <v/>
      </c>
      <c r="R141" s="27">
        <f>IFERROR(IF(AND(A141&lt;&gt;"",H141&lt;&gt;"No",I141&lt;&gt;"",OR('Hoy'!$B$3='Ajustes'!$D$5,F141='Hoy'!$B$3),OR(J141=TODAY()+3,AND(I141&lt;=7,J141&gt;=TODAY(),J141&lt;TODAY()+3,MOD(TODAY()+3-J141,I141)=0))),ROW(),""),"")</f>
        <v/>
      </c>
      <c r="S141" s="27">
        <f>IFERROR(IF(AND(A141&lt;&gt;"",H141&lt;&gt;"No",I141&lt;&gt;"",OR('Hoy'!$B$3='Ajustes'!$D$5,F141='Hoy'!$B$3),OR(J141=TODAY()+4,AND(I141&lt;=7,J141&gt;=TODAY(),J141&lt;TODAY()+4,MOD(TODAY()+4-J141,I141)=0))),ROW(),""),"")</f>
        <v/>
      </c>
      <c r="T141" s="27">
        <f>IFERROR(IF(AND(A141&lt;&gt;"",H141&lt;&gt;"No",I141&lt;&gt;"",OR('Hoy'!$B$3='Ajustes'!$D$5,F141='Hoy'!$B$3),OR(J141=TODAY()+5,AND(I141&lt;=7,J141&gt;=TODAY(),J141&lt;TODAY()+5,MOD(TODAY()+5-J141,I141)=0))),ROW(),""),"")</f>
        <v/>
      </c>
      <c r="U141" s="27">
        <f>IFERROR(IF(AND(A141&lt;&gt;"",H141&lt;&gt;"No",I141&lt;&gt;"",OR('Hoy'!$B$3='Ajustes'!$D$5,F141='Hoy'!$B$3),OR(J141=TODAY()+6,AND(I141&lt;=7,J141&gt;=TODAY(),J141&lt;TODAY()+6,MOD(TODAY()+6-J141,I141)=0))),ROW(),""),"")</f>
        <v/>
      </c>
    </row>
    <row r="142">
      <c r="A142" s="6" t="n"/>
      <c r="B142" s="6" t="n"/>
      <c r="C142" s="28" t="n"/>
      <c r="D142" s="6" t="n"/>
      <c r="E142" s="28" t="n"/>
      <c r="F142" s="6" t="n"/>
      <c r="G142" s="6" t="n"/>
      <c r="H142" s="29" t="inlineStr">
        <is>
          <t>Sí</t>
        </is>
      </c>
      <c r="I142" s="30">
        <f>IFERROR(IF(OR(A142="",C142=""),"",C142*INDEX('Ajustes'!$I$5:$I$8,MATCH(D142,'Ajustes'!$H$5:$H$8,0))),"")</f>
        <v/>
      </c>
      <c r="J142" s="31">
        <f>IFERROR(IF(I142="","",IF(G142="",IF('Ajustes'!$B$5="",TODAY(),'Ajustes'!$B$5)+MOD(ROW()*13,I142),IF(D142='Ajustes'!$H$7,EDATE(G142,C142),IF(D142='Ajustes'!$H$8,EDATE(G142,12*C142),G142+I142)))),"")</f>
        <v/>
      </c>
      <c r="K142" s="30">
        <f>IF(J142="","",J142-TODAY())</f>
        <v/>
      </c>
      <c r="L142" s="32">
        <f>IF(A142="","",IF(H142="No","Pausada",IF(K142="","",IF(K142&lt;0,"Atrasada",IF(K142=0,"Hoy",IF(K142&lt;=7,"Esta semana","Más adelante"))))))</f>
        <v/>
      </c>
      <c r="M142" s="27">
        <f>IFERROR(IF(AND(OR(L142="Atrasada",L142="Hoy",L142="Esta semana"),OR('Hoy'!$B$3='Ajustes'!$D$5,F142='Hoy'!$B$3)),K142+ROW()/100000,""),"")</f>
        <v/>
      </c>
      <c r="N142" s="27">
        <f>IF(OR(A142="",H142="No",I142=""),0,E142*7/I142)</f>
        <v/>
      </c>
      <c r="O142" s="27">
        <f>IFERROR(IF(AND(A142&lt;&gt;"",H142&lt;&gt;"No",I142&lt;&gt;"",OR('Hoy'!$B$3='Ajustes'!$D$5,F142='Hoy'!$B$3),J142&lt;=TODAY()),ROW(),""),"")</f>
        <v/>
      </c>
      <c r="P142" s="27">
        <f>IFERROR(IF(AND(A142&lt;&gt;"",H142&lt;&gt;"No",I142&lt;&gt;"",OR('Hoy'!$B$3='Ajustes'!$D$5,F142='Hoy'!$B$3),OR(J142=TODAY()+1,AND(I142&lt;=7,J142&gt;=TODAY(),J142&lt;TODAY()+1,MOD(TODAY()+1-J142,I142)=0))),ROW(),""),"")</f>
        <v/>
      </c>
      <c r="Q142" s="27">
        <f>IFERROR(IF(AND(A142&lt;&gt;"",H142&lt;&gt;"No",I142&lt;&gt;"",OR('Hoy'!$B$3='Ajustes'!$D$5,F142='Hoy'!$B$3),OR(J142=TODAY()+2,AND(I142&lt;=7,J142&gt;=TODAY(),J142&lt;TODAY()+2,MOD(TODAY()+2-J142,I142)=0))),ROW(),""),"")</f>
        <v/>
      </c>
      <c r="R142" s="27">
        <f>IFERROR(IF(AND(A142&lt;&gt;"",H142&lt;&gt;"No",I142&lt;&gt;"",OR('Hoy'!$B$3='Ajustes'!$D$5,F142='Hoy'!$B$3),OR(J142=TODAY()+3,AND(I142&lt;=7,J142&gt;=TODAY(),J142&lt;TODAY()+3,MOD(TODAY()+3-J142,I142)=0))),ROW(),""),"")</f>
        <v/>
      </c>
      <c r="S142" s="27">
        <f>IFERROR(IF(AND(A142&lt;&gt;"",H142&lt;&gt;"No",I142&lt;&gt;"",OR('Hoy'!$B$3='Ajustes'!$D$5,F142='Hoy'!$B$3),OR(J142=TODAY()+4,AND(I142&lt;=7,J142&gt;=TODAY(),J142&lt;TODAY()+4,MOD(TODAY()+4-J142,I142)=0))),ROW(),""),"")</f>
        <v/>
      </c>
      <c r="T142" s="27">
        <f>IFERROR(IF(AND(A142&lt;&gt;"",H142&lt;&gt;"No",I142&lt;&gt;"",OR('Hoy'!$B$3='Ajustes'!$D$5,F142='Hoy'!$B$3),OR(J142=TODAY()+5,AND(I142&lt;=7,J142&gt;=TODAY(),J142&lt;TODAY()+5,MOD(TODAY()+5-J142,I142)=0))),ROW(),""),"")</f>
        <v/>
      </c>
      <c r="U142" s="27">
        <f>IFERROR(IF(AND(A142&lt;&gt;"",H142&lt;&gt;"No",I142&lt;&gt;"",OR('Hoy'!$B$3='Ajustes'!$D$5,F142='Hoy'!$B$3),OR(J142=TODAY()+6,AND(I142&lt;=7,J142&gt;=TODAY(),J142&lt;TODAY()+6,MOD(TODAY()+6-J142,I142)=0))),ROW(),""),"")</f>
        <v/>
      </c>
    </row>
    <row r="143">
      <c r="A143" s="6" t="n"/>
      <c r="B143" s="6" t="n"/>
      <c r="C143" s="28" t="n"/>
      <c r="D143" s="6" t="n"/>
      <c r="E143" s="28" t="n"/>
      <c r="F143" s="6" t="n"/>
      <c r="G143" s="6" t="n"/>
      <c r="H143" s="29" t="inlineStr">
        <is>
          <t>Sí</t>
        </is>
      </c>
      <c r="I143" s="30">
        <f>IFERROR(IF(OR(A143="",C143=""),"",C143*INDEX('Ajustes'!$I$5:$I$8,MATCH(D143,'Ajustes'!$H$5:$H$8,0))),"")</f>
        <v/>
      </c>
      <c r="J143" s="31">
        <f>IFERROR(IF(I143="","",IF(G143="",IF('Ajustes'!$B$5="",TODAY(),'Ajustes'!$B$5)+MOD(ROW()*13,I143),IF(D143='Ajustes'!$H$7,EDATE(G143,C143),IF(D143='Ajustes'!$H$8,EDATE(G143,12*C143),G143+I143)))),"")</f>
        <v/>
      </c>
      <c r="K143" s="30">
        <f>IF(J143="","",J143-TODAY())</f>
        <v/>
      </c>
      <c r="L143" s="32">
        <f>IF(A143="","",IF(H143="No","Pausada",IF(K143="","",IF(K143&lt;0,"Atrasada",IF(K143=0,"Hoy",IF(K143&lt;=7,"Esta semana","Más adelante"))))))</f>
        <v/>
      </c>
      <c r="M143" s="27">
        <f>IFERROR(IF(AND(OR(L143="Atrasada",L143="Hoy",L143="Esta semana"),OR('Hoy'!$B$3='Ajustes'!$D$5,F143='Hoy'!$B$3)),K143+ROW()/100000,""),"")</f>
        <v/>
      </c>
      <c r="N143" s="27">
        <f>IF(OR(A143="",H143="No",I143=""),0,E143*7/I143)</f>
        <v/>
      </c>
      <c r="O143" s="27">
        <f>IFERROR(IF(AND(A143&lt;&gt;"",H143&lt;&gt;"No",I143&lt;&gt;"",OR('Hoy'!$B$3='Ajustes'!$D$5,F143='Hoy'!$B$3),J143&lt;=TODAY()),ROW(),""),"")</f>
        <v/>
      </c>
      <c r="P143" s="27">
        <f>IFERROR(IF(AND(A143&lt;&gt;"",H143&lt;&gt;"No",I143&lt;&gt;"",OR('Hoy'!$B$3='Ajustes'!$D$5,F143='Hoy'!$B$3),OR(J143=TODAY()+1,AND(I143&lt;=7,J143&gt;=TODAY(),J143&lt;TODAY()+1,MOD(TODAY()+1-J143,I143)=0))),ROW(),""),"")</f>
        <v/>
      </c>
      <c r="Q143" s="27">
        <f>IFERROR(IF(AND(A143&lt;&gt;"",H143&lt;&gt;"No",I143&lt;&gt;"",OR('Hoy'!$B$3='Ajustes'!$D$5,F143='Hoy'!$B$3),OR(J143=TODAY()+2,AND(I143&lt;=7,J143&gt;=TODAY(),J143&lt;TODAY()+2,MOD(TODAY()+2-J143,I143)=0))),ROW(),""),"")</f>
        <v/>
      </c>
      <c r="R143" s="27">
        <f>IFERROR(IF(AND(A143&lt;&gt;"",H143&lt;&gt;"No",I143&lt;&gt;"",OR('Hoy'!$B$3='Ajustes'!$D$5,F143='Hoy'!$B$3),OR(J143=TODAY()+3,AND(I143&lt;=7,J143&gt;=TODAY(),J143&lt;TODAY()+3,MOD(TODAY()+3-J143,I143)=0))),ROW(),""),"")</f>
        <v/>
      </c>
      <c r="S143" s="27">
        <f>IFERROR(IF(AND(A143&lt;&gt;"",H143&lt;&gt;"No",I143&lt;&gt;"",OR('Hoy'!$B$3='Ajustes'!$D$5,F143='Hoy'!$B$3),OR(J143=TODAY()+4,AND(I143&lt;=7,J143&gt;=TODAY(),J143&lt;TODAY()+4,MOD(TODAY()+4-J143,I143)=0))),ROW(),""),"")</f>
        <v/>
      </c>
      <c r="T143" s="27">
        <f>IFERROR(IF(AND(A143&lt;&gt;"",H143&lt;&gt;"No",I143&lt;&gt;"",OR('Hoy'!$B$3='Ajustes'!$D$5,F143='Hoy'!$B$3),OR(J143=TODAY()+5,AND(I143&lt;=7,J143&gt;=TODAY(),J143&lt;TODAY()+5,MOD(TODAY()+5-J143,I143)=0))),ROW(),""),"")</f>
        <v/>
      </c>
      <c r="U143" s="27">
        <f>IFERROR(IF(AND(A143&lt;&gt;"",H143&lt;&gt;"No",I143&lt;&gt;"",OR('Hoy'!$B$3='Ajustes'!$D$5,F143='Hoy'!$B$3),OR(J143=TODAY()+6,AND(I143&lt;=7,J143&gt;=TODAY(),J143&lt;TODAY()+6,MOD(TODAY()+6-J143,I143)=0))),ROW(),""),"")</f>
        <v/>
      </c>
    </row>
    <row r="144">
      <c r="A144" s="6" t="n"/>
      <c r="B144" s="6" t="n"/>
      <c r="C144" s="28" t="n"/>
      <c r="D144" s="6" t="n"/>
      <c r="E144" s="28" t="n"/>
      <c r="F144" s="6" t="n"/>
      <c r="G144" s="6" t="n"/>
      <c r="H144" s="29" t="inlineStr">
        <is>
          <t>Sí</t>
        </is>
      </c>
      <c r="I144" s="30">
        <f>IFERROR(IF(OR(A144="",C144=""),"",C144*INDEX('Ajustes'!$I$5:$I$8,MATCH(D144,'Ajustes'!$H$5:$H$8,0))),"")</f>
        <v/>
      </c>
      <c r="J144" s="31">
        <f>IFERROR(IF(I144="","",IF(G144="",IF('Ajustes'!$B$5="",TODAY(),'Ajustes'!$B$5)+MOD(ROW()*13,I144),IF(D144='Ajustes'!$H$7,EDATE(G144,C144),IF(D144='Ajustes'!$H$8,EDATE(G144,12*C144),G144+I144)))),"")</f>
        <v/>
      </c>
      <c r="K144" s="30">
        <f>IF(J144="","",J144-TODAY())</f>
        <v/>
      </c>
      <c r="L144" s="32">
        <f>IF(A144="","",IF(H144="No","Pausada",IF(K144="","",IF(K144&lt;0,"Atrasada",IF(K144=0,"Hoy",IF(K144&lt;=7,"Esta semana","Más adelante"))))))</f>
        <v/>
      </c>
      <c r="M144" s="27">
        <f>IFERROR(IF(AND(OR(L144="Atrasada",L144="Hoy",L144="Esta semana"),OR('Hoy'!$B$3='Ajustes'!$D$5,F144='Hoy'!$B$3)),K144+ROW()/100000,""),"")</f>
        <v/>
      </c>
      <c r="N144" s="27">
        <f>IF(OR(A144="",H144="No",I144=""),0,E144*7/I144)</f>
        <v/>
      </c>
      <c r="O144" s="27">
        <f>IFERROR(IF(AND(A144&lt;&gt;"",H144&lt;&gt;"No",I144&lt;&gt;"",OR('Hoy'!$B$3='Ajustes'!$D$5,F144='Hoy'!$B$3),J144&lt;=TODAY()),ROW(),""),"")</f>
        <v/>
      </c>
      <c r="P144" s="27">
        <f>IFERROR(IF(AND(A144&lt;&gt;"",H144&lt;&gt;"No",I144&lt;&gt;"",OR('Hoy'!$B$3='Ajustes'!$D$5,F144='Hoy'!$B$3),OR(J144=TODAY()+1,AND(I144&lt;=7,J144&gt;=TODAY(),J144&lt;TODAY()+1,MOD(TODAY()+1-J144,I144)=0))),ROW(),""),"")</f>
        <v/>
      </c>
      <c r="Q144" s="27">
        <f>IFERROR(IF(AND(A144&lt;&gt;"",H144&lt;&gt;"No",I144&lt;&gt;"",OR('Hoy'!$B$3='Ajustes'!$D$5,F144='Hoy'!$B$3),OR(J144=TODAY()+2,AND(I144&lt;=7,J144&gt;=TODAY(),J144&lt;TODAY()+2,MOD(TODAY()+2-J144,I144)=0))),ROW(),""),"")</f>
        <v/>
      </c>
      <c r="R144" s="27">
        <f>IFERROR(IF(AND(A144&lt;&gt;"",H144&lt;&gt;"No",I144&lt;&gt;"",OR('Hoy'!$B$3='Ajustes'!$D$5,F144='Hoy'!$B$3),OR(J144=TODAY()+3,AND(I144&lt;=7,J144&gt;=TODAY(),J144&lt;TODAY()+3,MOD(TODAY()+3-J144,I144)=0))),ROW(),""),"")</f>
        <v/>
      </c>
      <c r="S144" s="27">
        <f>IFERROR(IF(AND(A144&lt;&gt;"",H144&lt;&gt;"No",I144&lt;&gt;"",OR('Hoy'!$B$3='Ajustes'!$D$5,F144='Hoy'!$B$3),OR(J144=TODAY()+4,AND(I144&lt;=7,J144&gt;=TODAY(),J144&lt;TODAY()+4,MOD(TODAY()+4-J144,I144)=0))),ROW(),""),"")</f>
        <v/>
      </c>
      <c r="T144" s="27">
        <f>IFERROR(IF(AND(A144&lt;&gt;"",H144&lt;&gt;"No",I144&lt;&gt;"",OR('Hoy'!$B$3='Ajustes'!$D$5,F144='Hoy'!$B$3),OR(J144=TODAY()+5,AND(I144&lt;=7,J144&gt;=TODAY(),J144&lt;TODAY()+5,MOD(TODAY()+5-J144,I144)=0))),ROW(),""),"")</f>
        <v/>
      </c>
      <c r="U144" s="27">
        <f>IFERROR(IF(AND(A144&lt;&gt;"",H144&lt;&gt;"No",I144&lt;&gt;"",OR('Hoy'!$B$3='Ajustes'!$D$5,F144='Hoy'!$B$3),OR(J144=TODAY()+6,AND(I144&lt;=7,J144&gt;=TODAY(),J144&lt;TODAY()+6,MOD(TODAY()+6-J144,I144)=0))),ROW(),""),"")</f>
        <v/>
      </c>
    </row>
    <row r="145">
      <c r="A145" s="6" t="n"/>
      <c r="B145" s="6" t="n"/>
      <c r="C145" s="28" t="n"/>
      <c r="D145" s="6" t="n"/>
      <c r="E145" s="28" t="n"/>
      <c r="F145" s="6" t="n"/>
      <c r="G145" s="6" t="n"/>
      <c r="H145" s="29" t="inlineStr">
        <is>
          <t>Sí</t>
        </is>
      </c>
      <c r="I145" s="30">
        <f>IFERROR(IF(OR(A145="",C145=""),"",C145*INDEX('Ajustes'!$I$5:$I$8,MATCH(D145,'Ajustes'!$H$5:$H$8,0))),"")</f>
        <v/>
      </c>
      <c r="J145" s="31">
        <f>IFERROR(IF(I145="","",IF(G145="",IF('Ajustes'!$B$5="",TODAY(),'Ajustes'!$B$5)+MOD(ROW()*13,I145),IF(D145='Ajustes'!$H$7,EDATE(G145,C145),IF(D145='Ajustes'!$H$8,EDATE(G145,12*C145),G145+I145)))),"")</f>
        <v/>
      </c>
      <c r="K145" s="30">
        <f>IF(J145="","",J145-TODAY())</f>
        <v/>
      </c>
      <c r="L145" s="32">
        <f>IF(A145="","",IF(H145="No","Pausada",IF(K145="","",IF(K145&lt;0,"Atrasada",IF(K145=0,"Hoy",IF(K145&lt;=7,"Esta semana","Más adelante"))))))</f>
        <v/>
      </c>
      <c r="M145" s="27">
        <f>IFERROR(IF(AND(OR(L145="Atrasada",L145="Hoy",L145="Esta semana"),OR('Hoy'!$B$3='Ajustes'!$D$5,F145='Hoy'!$B$3)),K145+ROW()/100000,""),"")</f>
        <v/>
      </c>
      <c r="N145" s="27">
        <f>IF(OR(A145="",H145="No",I145=""),0,E145*7/I145)</f>
        <v/>
      </c>
      <c r="O145" s="27">
        <f>IFERROR(IF(AND(A145&lt;&gt;"",H145&lt;&gt;"No",I145&lt;&gt;"",OR('Hoy'!$B$3='Ajustes'!$D$5,F145='Hoy'!$B$3),J145&lt;=TODAY()),ROW(),""),"")</f>
        <v/>
      </c>
      <c r="P145" s="27">
        <f>IFERROR(IF(AND(A145&lt;&gt;"",H145&lt;&gt;"No",I145&lt;&gt;"",OR('Hoy'!$B$3='Ajustes'!$D$5,F145='Hoy'!$B$3),OR(J145=TODAY()+1,AND(I145&lt;=7,J145&gt;=TODAY(),J145&lt;TODAY()+1,MOD(TODAY()+1-J145,I145)=0))),ROW(),""),"")</f>
        <v/>
      </c>
      <c r="Q145" s="27">
        <f>IFERROR(IF(AND(A145&lt;&gt;"",H145&lt;&gt;"No",I145&lt;&gt;"",OR('Hoy'!$B$3='Ajustes'!$D$5,F145='Hoy'!$B$3),OR(J145=TODAY()+2,AND(I145&lt;=7,J145&gt;=TODAY(),J145&lt;TODAY()+2,MOD(TODAY()+2-J145,I145)=0))),ROW(),""),"")</f>
        <v/>
      </c>
      <c r="R145" s="27">
        <f>IFERROR(IF(AND(A145&lt;&gt;"",H145&lt;&gt;"No",I145&lt;&gt;"",OR('Hoy'!$B$3='Ajustes'!$D$5,F145='Hoy'!$B$3),OR(J145=TODAY()+3,AND(I145&lt;=7,J145&gt;=TODAY(),J145&lt;TODAY()+3,MOD(TODAY()+3-J145,I145)=0))),ROW(),""),"")</f>
        <v/>
      </c>
      <c r="S145" s="27">
        <f>IFERROR(IF(AND(A145&lt;&gt;"",H145&lt;&gt;"No",I145&lt;&gt;"",OR('Hoy'!$B$3='Ajustes'!$D$5,F145='Hoy'!$B$3),OR(J145=TODAY()+4,AND(I145&lt;=7,J145&gt;=TODAY(),J145&lt;TODAY()+4,MOD(TODAY()+4-J145,I145)=0))),ROW(),""),"")</f>
        <v/>
      </c>
      <c r="T145" s="27">
        <f>IFERROR(IF(AND(A145&lt;&gt;"",H145&lt;&gt;"No",I145&lt;&gt;"",OR('Hoy'!$B$3='Ajustes'!$D$5,F145='Hoy'!$B$3),OR(J145=TODAY()+5,AND(I145&lt;=7,J145&gt;=TODAY(),J145&lt;TODAY()+5,MOD(TODAY()+5-J145,I145)=0))),ROW(),""),"")</f>
        <v/>
      </c>
      <c r="U145" s="27">
        <f>IFERROR(IF(AND(A145&lt;&gt;"",H145&lt;&gt;"No",I145&lt;&gt;"",OR('Hoy'!$B$3='Ajustes'!$D$5,F145='Hoy'!$B$3),OR(J145=TODAY()+6,AND(I145&lt;=7,J145&gt;=TODAY(),J145&lt;TODAY()+6,MOD(TODAY()+6-J145,I145)=0))),ROW(),""),"")</f>
        <v/>
      </c>
    </row>
    <row r="146">
      <c r="A146" s="6" t="n"/>
      <c r="B146" s="6" t="n"/>
      <c r="C146" s="28" t="n"/>
      <c r="D146" s="6" t="n"/>
      <c r="E146" s="28" t="n"/>
      <c r="F146" s="6" t="n"/>
      <c r="G146" s="6" t="n"/>
      <c r="H146" s="29" t="inlineStr">
        <is>
          <t>Sí</t>
        </is>
      </c>
      <c r="I146" s="30">
        <f>IFERROR(IF(OR(A146="",C146=""),"",C146*INDEX('Ajustes'!$I$5:$I$8,MATCH(D146,'Ajustes'!$H$5:$H$8,0))),"")</f>
        <v/>
      </c>
      <c r="J146" s="31">
        <f>IFERROR(IF(I146="","",IF(G146="",IF('Ajustes'!$B$5="",TODAY(),'Ajustes'!$B$5)+MOD(ROW()*13,I146),IF(D146='Ajustes'!$H$7,EDATE(G146,C146),IF(D146='Ajustes'!$H$8,EDATE(G146,12*C146),G146+I146)))),"")</f>
        <v/>
      </c>
      <c r="K146" s="30">
        <f>IF(J146="","",J146-TODAY())</f>
        <v/>
      </c>
      <c r="L146" s="32">
        <f>IF(A146="","",IF(H146="No","Pausada",IF(K146="","",IF(K146&lt;0,"Atrasada",IF(K146=0,"Hoy",IF(K146&lt;=7,"Esta semana","Más adelante"))))))</f>
        <v/>
      </c>
      <c r="M146" s="27">
        <f>IFERROR(IF(AND(OR(L146="Atrasada",L146="Hoy",L146="Esta semana"),OR('Hoy'!$B$3='Ajustes'!$D$5,F146='Hoy'!$B$3)),K146+ROW()/100000,""),"")</f>
        <v/>
      </c>
      <c r="N146" s="27">
        <f>IF(OR(A146="",H146="No",I146=""),0,E146*7/I146)</f>
        <v/>
      </c>
      <c r="O146" s="27">
        <f>IFERROR(IF(AND(A146&lt;&gt;"",H146&lt;&gt;"No",I146&lt;&gt;"",OR('Hoy'!$B$3='Ajustes'!$D$5,F146='Hoy'!$B$3),J146&lt;=TODAY()),ROW(),""),"")</f>
        <v/>
      </c>
      <c r="P146" s="27">
        <f>IFERROR(IF(AND(A146&lt;&gt;"",H146&lt;&gt;"No",I146&lt;&gt;"",OR('Hoy'!$B$3='Ajustes'!$D$5,F146='Hoy'!$B$3),OR(J146=TODAY()+1,AND(I146&lt;=7,J146&gt;=TODAY(),J146&lt;TODAY()+1,MOD(TODAY()+1-J146,I146)=0))),ROW(),""),"")</f>
        <v/>
      </c>
      <c r="Q146" s="27">
        <f>IFERROR(IF(AND(A146&lt;&gt;"",H146&lt;&gt;"No",I146&lt;&gt;"",OR('Hoy'!$B$3='Ajustes'!$D$5,F146='Hoy'!$B$3),OR(J146=TODAY()+2,AND(I146&lt;=7,J146&gt;=TODAY(),J146&lt;TODAY()+2,MOD(TODAY()+2-J146,I146)=0))),ROW(),""),"")</f>
        <v/>
      </c>
      <c r="R146" s="27">
        <f>IFERROR(IF(AND(A146&lt;&gt;"",H146&lt;&gt;"No",I146&lt;&gt;"",OR('Hoy'!$B$3='Ajustes'!$D$5,F146='Hoy'!$B$3),OR(J146=TODAY()+3,AND(I146&lt;=7,J146&gt;=TODAY(),J146&lt;TODAY()+3,MOD(TODAY()+3-J146,I146)=0))),ROW(),""),"")</f>
        <v/>
      </c>
      <c r="S146" s="27">
        <f>IFERROR(IF(AND(A146&lt;&gt;"",H146&lt;&gt;"No",I146&lt;&gt;"",OR('Hoy'!$B$3='Ajustes'!$D$5,F146='Hoy'!$B$3),OR(J146=TODAY()+4,AND(I146&lt;=7,J146&gt;=TODAY(),J146&lt;TODAY()+4,MOD(TODAY()+4-J146,I146)=0))),ROW(),""),"")</f>
        <v/>
      </c>
      <c r="T146" s="27">
        <f>IFERROR(IF(AND(A146&lt;&gt;"",H146&lt;&gt;"No",I146&lt;&gt;"",OR('Hoy'!$B$3='Ajustes'!$D$5,F146='Hoy'!$B$3),OR(J146=TODAY()+5,AND(I146&lt;=7,J146&gt;=TODAY(),J146&lt;TODAY()+5,MOD(TODAY()+5-J146,I146)=0))),ROW(),""),"")</f>
        <v/>
      </c>
      <c r="U146" s="27">
        <f>IFERROR(IF(AND(A146&lt;&gt;"",H146&lt;&gt;"No",I146&lt;&gt;"",OR('Hoy'!$B$3='Ajustes'!$D$5,F146='Hoy'!$B$3),OR(J146=TODAY()+6,AND(I146&lt;=7,J146&gt;=TODAY(),J146&lt;TODAY()+6,MOD(TODAY()+6-J146,I146)=0))),ROW(),""),"")</f>
        <v/>
      </c>
    </row>
    <row r="147">
      <c r="A147" s="6" t="n"/>
      <c r="B147" s="6" t="n"/>
      <c r="C147" s="28" t="n"/>
      <c r="D147" s="6" t="n"/>
      <c r="E147" s="28" t="n"/>
      <c r="F147" s="6" t="n"/>
      <c r="G147" s="6" t="n"/>
      <c r="H147" s="29" t="inlineStr">
        <is>
          <t>Sí</t>
        </is>
      </c>
      <c r="I147" s="30">
        <f>IFERROR(IF(OR(A147="",C147=""),"",C147*INDEX('Ajustes'!$I$5:$I$8,MATCH(D147,'Ajustes'!$H$5:$H$8,0))),"")</f>
        <v/>
      </c>
      <c r="J147" s="31">
        <f>IFERROR(IF(I147="","",IF(G147="",IF('Ajustes'!$B$5="",TODAY(),'Ajustes'!$B$5)+MOD(ROW()*13,I147),IF(D147='Ajustes'!$H$7,EDATE(G147,C147),IF(D147='Ajustes'!$H$8,EDATE(G147,12*C147),G147+I147)))),"")</f>
        <v/>
      </c>
      <c r="K147" s="30">
        <f>IF(J147="","",J147-TODAY())</f>
        <v/>
      </c>
      <c r="L147" s="32">
        <f>IF(A147="","",IF(H147="No","Pausada",IF(K147="","",IF(K147&lt;0,"Atrasada",IF(K147=0,"Hoy",IF(K147&lt;=7,"Esta semana","Más adelante"))))))</f>
        <v/>
      </c>
      <c r="M147" s="27">
        <f>IFERROR(IF(AND(OR(L147="Atrasada",L147="Hoy",L147="Esta semana"),OR('Hoy'!$B$3='Ajustes'!$D$5,F147='Hoy'!$B$3)),K147+ROW()/100000,""),"")</f>
        <v/>
      </c>
      <c r="N147" s="27">
        <f>IF(OR(A147="",H147="No",I147=""),0,E147*7/I147)</f>
        <v/>
      </c>
      <c r="O147" s="27">
        <f>IFERROR(IF(AND(A147&lt;&gt;"",H147&lt;&gt;"No",I147&lt;&gt;"",OR('Hoy'!$B$3='Ajustes'!$D$5,F147='Hoy'!$B$3),J147&lt;=TODAY()),ROW(),""),"")</f>
        <v/>
      </c>
      <c r="P147" s="27">
        <f>IFERROR(IF(AND(A147&lt;&gt;"",H147&lt;&gt;"No",I147&lt;&gt;"",OR('Hoy'!$B$3='Ajustes'!$D$5,F147='Hoy'!$B$3),OR(J147=TODAY()+1,AND(I147&lt;=7,J147&gt;=TODAY(),J147&lt;TODAY()+1,MOD(TODAY()+1-J147,I147)=0))),ROW(),""),"")</f>
        <v/>
      </c>
      <c r="Q147" s="27">
        <f>IFERROR(IF(AND(A147&lt;&gt;"",H147&lt;&gt;"No",I147&lt;&gt;"",OR('Hoy'!$B$3='Ajustes'!$D$5,F147='Hoy'!$B$3),OR(J147=TODAY()+2,AND(I147&lt;=7,J147&gt;=TODAY(),J147&lt;TODAY()+2,MOD(TODAY()+2-J147,I147)=0))),ROW(),""),"")</f>
        <v/>
      </c>
      <c r="R147" s="27">
        <f>IFERROR(IF(AND(A147&lt;&gt;"",H147&lt;&gt;"No",I147&lt;&gt;"",OR('Hoy'!$B$3='Ajustes'!$D$5,F147='Hoy'!$B$3),OR(J147=TODAY()+3,AND(I147&lt;=7,J147&gt;=TODAY(),J147&lt;TODAY()+3,MOD(TODAY()+3-J147,I147)=0))),ROW(),""),"")</f>
        <v/>
      </c>
      <c r="S147" s="27">
        <f>IFERROR(IF(AND(A147&lt;&gt;"",H147&lt;&gt;"No",I147&lt;&gt;"",OR('Hoy'!$B$3='Ajustes'!$D$5,F147='Hoy'!$B$3),OR(J147=TODAY()+4,AND(I147&lt;=7,J147&gt;=TODAY(),J147&lt;TODAY()+4,MOD(TODAY()+4-J147,I147)=0))),ROW(),""),"")</f>
        <v/>
      </c>
      <c r="T147" s="27">
        <f>IFERROR(IF(AND(A147&lt;&gt;"",H147&lt;&gt;"No",I147&lt;&gt;"",OR('Hoy'!$B$3='Ajustes'!$D$5,F147='Hoy'!$B$3),OR(J147=TODAY()+5,AND(I147&lt;=7,J147&gt;=TODAY(),J147&lt;TODAY()+5,MOD(TODAY()+5-J147,I147)=0))),ROW(),""),"")</f>
        <v/>
      </c>
      <c r="U147" s="27">
        <f>IFERROR(IF(AND(A147&lt;&gt;"",H147&lt;&gt;"No",I147&lt;&gt;"",OR('Hoy'!$B$3='Ajustes'!$D$5,F147='Hoy'!$B$3),OR(J147=TODAY()+6,AND(I147&lt;=7,J147&gt;=TODAY(),J147&lt;TODAY()+6,MOD(TODAY()+6-J147,I147)=0))),ROW(),""),"")</f>
        <v/>
      </c>
    </row>
    <row r="148">
      <c r="A148" s="6" t="n"/>
      <c r="B148" s="6" t="n"/>
      <c r="C148" s="28" t="n"/>
      <c r="D148" s="6" t="n"/>
      <c r="E148" s="28" t="n"/>
      <c r="F148" s="6" t="n"/>
      <c r="G148" s="6" t="n"/>
      <c r="H148" s="29" t="inlineStr">
        <is>
          <t>Sí</t>
        </is>
      </c>
      <c r="I148" s="30">
        <f>IFERROR(IF(OR(A148="",C148=""),"",C148*INDEX('Ajustes'!$I$5:$I$8,MATCH(D148,'Ajustes'!$H$5:$H$8,0))),"")</f>
        <v/>
      </c>
      <c r="J148" s="31">
        <f>IFERROR(IF(I148="","",IF(G148="",IF('Ajustes'!$B$5="",TODAY(),'Ajustes'!$B$5)+MOD(ROW()*13,I148),IF(D148='Ajustes'!$H$7,EDATE(G148,C148),IF(D148='Ajustes'!$H$8,EDATE(G148,12*C148),G148+I148)))),"")</f>
        <v/>
      </c>
      <c r="K148" s="30">
        <f>IF(J148="","",J148-TODAY())</f>
        <v/>
      </c>
      <c r="L148" s="32">
        <f>IF(A148="","",IF(H148="No","Pausada",IF(K148="","",IF(K148&lt;0,"Atrasada",IF(K148=0,"Hoy",IF(K148&lt;=7,"Esta semana","Más adelante"))))))</f>
        <v/>
      </c>
      <c r="M148" s="27">
        <f>IFERROR(IF(AND(OR(L148="Atrasada",L148="Hoy",L148="Esta semana"),OR('Hoy'!$B$3='Ajustes'!$D$5,F148='Hoy'!$B$3)),K148+ROW()/100000,""),"")</f>
        <v/>
      </c>
      <c r="N148" s="27">
        <f>IF(OR(A148="",H148="No",I148=""),0,E148*7/I148)</f>
        <v/>
      </c>
      <c r="O148" s="27">
        <f>IFERROR(IF(AND(A148&lt;&gt;"",H148&lt;&gt;"No",I148&lt;&gt;"",OR('Hoy'!$B$3='Ajustes'!$D$5,F148='Hoy'!$B$3),J148&lt;=TODAY()),ROW(),""),"")</f>
        <v/>
      </c>
      <c r="P148" s="27">
        <f>IFERROR(IF(AND(A148&lt;&gt;"",H148&lt;&gt;"No",I148&lt;&gt;"",OR('Hoy'!$B$3='Ajustes'!$D$5,F148='Hoy'!$B$3),OR(J148=TODAY()+1,AND(I148&lt;=7,J148&gt;=TODAY(),J148&lt;TODAY()+1,MOD(TODAY()+1-J148,I148)=0))),ROW(),""),"")</f>
        <v/>
      </c>
      <c r="Q148" s="27">
        <f>IFERROR(IF(AND(A148&lt;&gt;"",H148&lt;&gt;"No",I148&lt;&gt;"",OR('Hoy'!$B$3='Ajustes'!$D$5,F148='Hoy'!$B$3),OR(J148=TODAY()+2,AND(I148&lt;=7,J148&gt;=TODAY(),J148&lt;TODAY()+2,MOD(TODAY()+2-J148,I148)=0))),ROW(),""),"")</f>
        <v/>
      </c>
      <c r="R148" s="27">
        <f>IFERROR(IF(AND(A148&lt;&gt;"",H148&lt;&gt;"No",I148&lt;&gt;"",OR('Hoy'!$B$3='Ajustes'!$D$5,F148='Hoy'!$B$3),OR(J148=TODAY()+3,AND(I148&lt;=7,J148&gt;=TODAY(),J148&lt;TODAY()+3,MOD(TODAY()+3-J148,I148)=0))),ROW(),""),"")</f>
        <v/>
      </c>
      <c r="S148" s="27">
        <f>IFERROR(IF(AND(A148&lt;&gt;"",H148&lt;&gt;"No",I148&lt;&gt;"",OR('Hoy'!$B$3='Ajustes'!$D$5,F148='Hoy'!$B$3),OR(J148=TODAY()+4,AND(I148&lt;=7,J148&gt;=TODAY(),J148&lt;TODAY()+4,MOD(TODAY()+4-J148,I148)=0))),ROW(),""),"")</f>
        <v/>
      </c>
      <c r="T148" s="27">
        <f>IFERROR(IF(AND(A148&lt;&gt;"",H148&lt;&gt;"No",I148&lt;&gt;"",OR('Hoy'!$B$3='Ajustes'!$D$5,F148='Hoy'!$B$3),OR(J148=TODAY()+5,AND(I148&lt;=7,J148&gt;=TODAY(),J148&lt;TODAY()+5,MOD(TODAY()+5-J148,I148)=0))),ROW(),""),"")</f>
        <v/>
      </c>
      <c r="U148" s="27">
        <f>IFERROR(IF(AND(A148&lt;&gt;"",H148&lt;&gt;"No",I148&lt;&gt;"",OR('Hoy'!$B$3='Ajustes'!$D$5,F148='Hoy'!$B$3),OR(J148=TODAY()+6,AND(I148&lt;=7,J148&gt;=TODAY(),J148&lt;TODAY()+6,MOD(TODAY()+6-J148,I148)=0))),ROW(),""),"")</f>
        <v/>
      </c>
    </row>
    <row r="149">
      <c r="A149" s="6" t="n"/>
      <c r="B149" s="6" t="n"/>
      <c r="C149" s="28" t="n"/>
      <c r="D149" s="6" t="n"/>
      <c r="E149" s="28" t="n"/>
      <c r="F149" s="6" t="n"/>
      <c r="G149" s="6" t="n"/>
      <c r="H149" s="29" t="inlineStr">
        <is>
          <t>Sí</t>
        </is>
      </c>
      <c r="I149" s="30">
        <f>IFERROR(IF(OR(A149="",C149=""),"",C149*INDEX('Ajustes'!$I$5:$I$8,MATCH(D149,'Ajustes'!$H$5:$H$8,0))),"")</f>
        <v/>
      </c>
      <c r="J149" s="31">
        <f>IFERROR(IF(I149="","",IF(G149="",IF('Ajustes'!$B$5="",TODAY(),'Ajustes'!$B$5)+MOD(ROW()*13,I149),IF(D149='Ajustes'!$H$7,EDATE(G149,C149),IF(D149='Ajustes'!$H$8,EDATE(G149,12*C149),G149+I149)))),"")</f>
        <v/>
      </c>
      <c r="K149" s="30">
        <f>IF(J149="","",J149-TODAY())</f>
        <v/>
      </c>
      <c r="L149" s="32">
        <f>IF(A149="","",IF(H149="No","Pausada",IF(K149="","",IF(K149&lt;0,"Atrasada",IF(K149=0,"Hoy",IF(K149&lt;=7,"Esta semana","Más adelante"))))))</f>
        <v/>
      </c>
      <c r="M149" s="27">
        <f>IFERROR(IF(AND(OR(L149="Atrasada",L149="Hoy",L149="Esta semana"),OR('Hoy'!$B$3='Ajustes'!$D$5,F149='Hoy'!$B$3)),K149+ROW()/100000,""),"")</f>
        <v/>
      </c>
      <c r="N149" s="27">
        <f>IF(OR(A149="",H149="No",I149=""),0,E149*7/I149)</f>
        <v/>
      </c>
      <c r="O149" s="27">
        <f>IFERROR(IF(AND(A149&lt;&gt;"",H149&lt;&gt;"No",I149&lt;&gt;"",OR('Hoy'!$B$3='Ajustes'!$D$5,F149='Hoy'!$B$3),J149&lt;=TODAY()),ROW(),""),"")</f>
        <v/>
      </c>
      <c r="P149" s="27">
        <f>IFERROR(IF(AND(A149&lt;&gt;"",H149&lt;&gt;"No",I149&lt;&gt;"",OR('Hoy'!$B$3='Ajustes'!$D$5,F149='Hoy'!$B$3),OR(J149=TODAY()+1,AND(I149&lt;=7,J149&gt;=TODAY(),J149&lt;TODAY()+1,MOD(TODAY()+1-J149,I149)=0))),ROW(),""),"")</f>
        <v/>
      </c>
      <c r="Q149" s="27">
        <f>IFERROR(IF(AND(A149&lt;&gt;"",H149&lt;&gt;"No",I149&lt;&gt;"",OR('Hoy'!$B$3='Ajustes'!$D$5,F149='Hoy'!$B$3),OR(J149=TODAY()+2,AND(I149&lt;=7,J149&gt;=TODAY(),J149&lt;TODAY()+2,MOD(TODAY()+2-J149,I149)=0))),ROW(),""),"")</f>
        <v/>
      </c>
      <c r="R149" s="27">
        <f>IFERROR(IF(AND(A149&lt;&gt;"",H149&lt;&gt;"No",I149&lt;&gt;"",OR('Hoy'!$B$3='Ajustes'!$D$5,F149='Hoy'!$B$3),OR(J149=TODAY()+3,AND(I149&lt;=7,J149&gt;=TODAY(),J149&lt;TODAY()+3,MOD(TODAY()+3-J149,I149)=0))),ROW(),""),"")</f>
        <v/>
      </c>
      <c r="S149" s="27">
        <f>IFERROR(IF(AND(A149&lt;&gt;"",H149&lt;&gt;"No",I149&lt;&gt;"",OR('Hoy'!$B$3='Ajustes'!$D$5,F149='Hoy'!$B$3),OR(J149=TODAY()+4,AND(I149&lt;=7,J149&gt;=TODAY(),J149&lt;TODAY()+4,MOD(TODAY()+4-J149,I149)=0))),ROW(),""),"")</f>
        <v/>
      </c>
      <c r="T149" s="27">
        <f>IFERROR(IF(AND(A149&lt;&gt;"",H149&lt;&gt;"No",I149&lt;&gt;"",OR('Hoy'!$B$3='Ajustes'!$D$5,F149='Hoy'!$B$3),OR(J149=TODAY()+5,AND(I149&lt;=7,J149&gt;=TODAY(),J149&lt;TODAY()+5,MOD(TODAY()+5-J149,I149)=0))),ROW(),""),"")</f>
        <v/>
      </c>
      <c r="U149" s="27">
        <f>IFERROR(IF(AND(A149&lt;&gt;"",H149&lt;&gt;"No",I149&lt;&gt;"",OR('Hoy'!$B$3='Ajustes'!$D$5,F149='Hoy'!$B$3),OR(J149=TODAY()+6,AND(I149&lt;=7,J149&gt;=TODAY(),J149&lt;TODAY()+6,MOD(TODAY()+6-J149,I149)=0))),ROW(),""),"")</f>
        <v/>
      </c>
    </row>
    <row r="150">
      <c r="A150" s="6" t="n"/>
      <c r="B150" s="6" t="n"/>
      <c r="C150" s="28" t="n"/>
      <c r="D150" s="6" t="n"/>
      <c r="E150" s="28" t="n"/>
      <c r="F150" s="6" t="n"/>
      <c r="G150" s="6" t="n"/>
      <c r="H150" s="29" t="inlineStr">
        <is>
          <t>Sí</t>
        </is>
      </c>
      <c r="I150" s="30">
        <f>IFERROR(IF(OR(A150="",C150=""),"",C150*INDEX('Ajustes'!$I$5:$I$8,MATCH(D150,'Ajustes'!$H$5:$H$8,0))),"")</f>
        <v/>
      </c>
      <c r="J150" s="31">
        <f>IFERROR(IF(I150="","",IF(G150="",IF('Ajustes'!$B$5="",TODAY(),'Ajustes'!$B$5)+MOD(ROW()*13,I150),IF(D150='Ajustes'!$H$7,EDATE(G150,C150),IF(D150='Ajustes'!$H$8,EDATE(G150,12*C150),G150+I150)))),"")</f>
        <v/>
      </c>
      <c r="K150" s="30">
        <f>IF(J150="","",J150-TODAY())</f>
        <v/>
      </c>
      <c r="L150" s="32">
        <f>IF(A150="","",IF(H150="No","Pausada",IF(K150="","",IF(K150&lt;0,"Atrasada",IF(K150=0,"Hoy",IF(K150&lt;=7,"Esta semana","Más adelante"))))))</f>
        <v/>
      </c>
      <c r="M150" s="27">
        <f>IFERROR(IF(AND(OR(L150="Atrasada",L150="Hoy",L150="Esta semana"),OR('Hoy'!$B$3='Ajustes'!$D$5,F150='Hoy'!$B$3)),K150+ROW()/100000,""),"")</f>
        <v/>
      </c>
      <c r="N150" s="27">
        <f>IF(OR(A150="",H150="No",I150=""),0,E150*7/I150)</f>
        <v/>
      </c>
      <c r="O150" s="27">
        <f>IFERROR(IF(AND(A150&lt;&gt;"",H150&lt;&gt;"No",I150&lt;&gt;"",OR('Hoy'!$B$3='Ajustes'!$D$5,F150='Hoy'!$B$3),J150&lt;=TODAY()),ROW(),""),"")</f>
        <v/>
      </c>
      <c r="P150" s="27">
        <f>IFERROR(IF(AND(A150&lt;&gt;"",H150&lt;&gt;"No",I150&lt;&gt;"",OR('Hoy'!$B$3='Ajustes'!$D$5,F150='Hoy'!$B$3),OR(J150=TODAY()+1,AND(I150&lt;=7,J150&gt;=TODAY(),J150&lt;TODAY()+1,MOD(TODAY()+1-J150,I150)=0))),ROW(),""),"")</f>
        <v/>
      </c>
      <c r="Q150" s="27">
        <f>IFERROR(IF(AND(A150&lt;&gt;"",H150&lt;&gt;"No",I150&lt;&gt;"",OR('Hoy'!$B$3='Ajustes'!$D$5,F150='Hoy'!$B$3),OR(J150=TODAY()+2,AND(I150&lt;=7,J150&gt;=TODAY(),J150&lt;TODAY()+2,MOD(TODAY()+2-J150,I150)=0))),ROW(),""),"")</f>
        <v/>
      </c>
      <c r="R150" s="27">
        <f>IFERROR(IF(AND(A150&lt;&gt;"",H150&lt;&gt;"No",I150&lt;&gt;"",OR('Hoy'!$B$3='Ajustes'!$D$5,F150='Hoy'!$B$3),OR(J150=TODAY()+3,AND(I150&lt;=7,J150&gt;=TODAY(),J150&lt;TODAY()+3,MOD(TODAY()+3-J150,I150)=0))),ROW(),""),"")</f>
        <v/>
      </c>
      <c r="S150" s="27">
        <f>IFERROR(IF(AND(A150&lt;&gt;"",H150&lt;&gt;"No",I150&lt;&gt;"",OR('Hoy'!$B$3='Ajustes'!$D$5,F150='Hoy'!$B$3),OR(J150=TODAY()+4,AND(I150&lt;=7,J150&gt;=TODAY(),J150&lt;TODAY()+4,MOD(TODAY()+4-J150,I150)=0))),ROW(),""),"")</f>
        <v/>
      </c>
      <c r="T150" s="27">
        <f>IFERROR(IF(AND(A150&lt;&gt;"",H150&lt;&gt;"No",I150&lt;&gt;"",OR('Hoy'!$B$3='Ajustes'!$D$5,F150='Hoy'!$B$3),OR(J150=TODAY()+5,AND(I150&lt;=7,J150&gt;=TODAY(),J150&lt;TODAY()+5,MOD(TODAY()+5-J150,I150)=0))),ROW(),""),"")</f>
        <v/>
      </c>
      <c r="U150" s="27">
        <f>IFERROR(IF(AND(A150&lt;&gt;"",H150&lt;&gt;"No",I150&lt;&gt;"",OR('Hoy'!$B$3='Ajustes'!$D$5,F150='Hoy'!$B$3),OR(J150=TODAY()+6,AND(I150&lt;=7,J150&gt;=TODAY(),J150&lt;TODAY()+6,MOD(TODAY()+6-J150,I150)=0))),ROW(),""),"")</f>
        <v/>
      </c>
    </row>
    <row r="151">
      <c r="A151" s="6" t="n"/>
      <c r="B151" s="6" t="n"/>
      <c r="C151" s="28" t="n"/>
      <c r="D151" s="6" t="n"/>
      <c r="E151" s="28" t="n"/>
      <c r="F151" s="6" t="n"/>
      <c r="G151" s="6" t="n"/>
      <c r="H151" s="29" t="inlineStr">
        <is>
          <t>Sí</t>
        </is>
      </c>
      <c r="I151" s="30">
        <f>IFERROR(IF(OR(A151="",C151=""),"",C151*INDEX('Ajustes'!$I$5:$I$8,MATCH(D151,'Ajustes'!$H$5:$H$8,0))),"")</f>
        <v/>
      </c>
      <c r="J151" s="31">
        <f>IFERROR(IF(I151="","",IF(G151="",IF('Ajustes'!$B$5="",TODAY(),'Ajustes'!$B$5)+MOD(ROW()*13,I151),IF(D151='Ajustes'!$H$7,EDATE(G151,C151),IF(D151='Ajustes'!$H$8,EDATE(G151,12*C151),G151+I151)))),"")</f>
        <v/>
      </c>
      <c r="K151" s="30">
        <f>IF(J151="","",J151-TODAY())</f>
        <v/>
      </c>
      <c r="L151" s="32">
        <f>IF(A151="","",IF(H151="No","Pausada",IF(K151="","",IF(K151&lt;0,"Atrasada",IF(K151=0,"Hoy",IF(K151&lt;=7,"Esta semana","Más adelante"))))))</f>
        <v/>
      </c>
      <c r="M151" s="27">
        <f>IFERROR(IF(AND(OR(L151="Atrasada",L151="Hoy",L151="Esta semana"),OR('Hoy'!$B$3='Ajustes'!$D$5,F151='Hoy'!$B$3)),K151+ROW()/100000,""),"")</f>
        <v/>
      </c>
      <c r="N151" s="27">
        <f>IF(OR(A151="",H151="No",I151=""),0,E151*7/I151)</f>
        <v/>
      </c>
      <c r="O151" s="27">
        <f>IFERROR(IF(AND(A151&lt;&gt;"",H151&lt;&gt;"No",I151&lt;&gt;"",OR('Hoy'!$B$3='Ajustes'!$D$5,F151='Hoy'!$B$3),J151&lt;=TODAY()),ROW(),""),"")</f>
        <v/>
      </c>
      <c r="P151" s="27">
        <f>IFERROR(IF(AND(A151&lt;&gt;"",H151&lt;&gt;"No",I151&lt;&gt;"",OR('Hoy'!$B$3='Ajustes'!$D$5,F151='Hoy'!$B$3),OR(J151=TODAY()+1,AND(I151&lt;=7,J151&gt;=TODAY(),J151&lt;TODAY()+1,MOD(TODAY()+1-J151,I151)=0))),ROW(),""),"")</f>
        <v/>
      </c>
      <c r="Q151" s="27">
        <f>IFERROR(IF(AND(A151&lt;&gt;"",H151&lt;&gt;"No",I151&lt;&gt;"",OR('Hoy'!$B$3='Ajustes'!$D$5,F151='Hoy'!$B$3),OR(J151=TODAY()+2,AND(I151&lt;=7,J151&gt;=TODAY(),J151&lt;TODAY()+2,MOD(TODAY()+2-J151,I151)=0))),ROW(),""),"")</f>
        <v/>
      </c>
      <c r="R151" s="27">
        <f>IFERROR(IF(AND(A151&lt;&gt;"",H151&lt;&gt;"No",I151&lt;&gt;"",OR('Hoy'!$B$3='Ajustes'!$D$5,F151='Hoy'!$B$3),OR(J151=TODAY()+3,AND(I151&lt;=7,J151&gt;=TODAY(),J151&lt;TODAY()+3,MOD(TODAY()+3-J151,I151)=0))),ROW(),""),"")</f>
        <v/>
      </c>
      <c r="S151" s="27">
        <f>IFERROR(IF(AND(A151&lt;&gt;"",H151&lt;&gt;"No",I151&lt;&gt;"",OR('Hoy'!$B$3='Ajustes'!$D$5,F151='Hoy'!$B$3),OR(J151=TODAY()+4,AND(I151&lt;=7,J151&gt;=TODAY(),J151&lt;TODAY()+4,MOD(TODAY()+4-J151,I151)=0))),ROW(),""),"")</f>
        <v/>
      </c>
      <c r="T151" s="27">
        <f>IFERROR(IF(AND(A151&lt;&gt;"",H151&lt;&gt;"No",I151&lt;&gt;"",OR('Hoy'!$B$3='Ajustes'!$D$5,F151='Hoy'!$B$3),OR(J151=TODAY()+5,AND(I151&lt;=7,J151&gt;=TODAY(),J151&lt;TODAY()+5,MOD(TODAY()+5-J151,I151)=0))),ROW(),""),"")</f>
        <v/>
      </c>
      <c r="U151" s="27">
        <f>IFERROR(IF(AND(A151&lt;&gt;"",H151&lt;&gt;"No",I151&lt;&gt;"",OR('Hoy'!$B$3='Ajustes'!$D$5,F151='Hoy'!$B$3),OR(J151=TODAY()+6,AND(I151&lt;=7,J151&gt;=TODAY(),J151&lt;TODAY()+6,MOD(TODAY()+6-J151,I151)=0))),ROW(),""),"")</f>
        <v/>
      </c>
    </row>
    <row r="152">
      <c r="A152" s="6" t="n"/>
      <c r="B152" s="6" t="n"/>
      <c r="C152" s="28" t="n"/>
      <c r="D152" s="6" t="n"/>
      <c r="E152" s="28" t="n"/>
      <c r="F152" s="6" t="n"/>
      <c r="G152" s="6" t="n"/>
      <c r="H152" s="29" t="inlineStr">
        <is>
          <t>Sí</t>
        </is>
      </c>
      <c r="I152" s="30">
        <f>IFERROR(IF(OR(A152="",C152=""),"",C152*INDEX('Ajustes'!$I$5:$I$8,MATCH(D152,'Ajustes'!$H$5:$H$8,0))),"")</f>
        <v/>
      </c>
      <c r="J152" s="31">
        <f>IFERROR(IF(I152="","",IF(G152="",IF('Ajustes'!$B$5="",TODAY(),'Ajustes'!$B$5)+MOD(ROW()*13,I152),IF(D152='Ajustes'!$H$7,EDATE(G152,C152),IF(D152='Ajustes'!$H$8,EDATE(G152,12*C152),G152+I152)))),"")</f>
        <v/>
      </c>
      <c r="K152" s="30">
        <f>IF(J152="","",J152-TODAY())</f>
        <v/>
      </c>
      <c r="L152" s="32">
        <f>IF(A152="","",IF(H152="No","Pausada",IF(K152="","",IF(K152&lt;0,"Atrasada",IF(K152=0,"Hoy",IF(K152&lt;=7,"Esta semana","Más adelante"))))))</f>
        <v/>
      </c>
      <c r="M152" s="27">
        <f>IFERROR(IF(AND(OR(L152="Atrasada",L152="Hoy",L152="Esta semana"),OR('Hoy'!$B$3='Ajustes'!$D$5,F152='Hoy'!$B$3)),K152+ROW()/100000,""),"")</f>
        <v/>
      </c>
      <c r="N152" s="27">
        <f>IF(OR(A152="",H152="No",I152=""),0,E152*7/I152)</f>
        <v/>
      </c>
      <c r="O152" s="27">
        <f>IFERROR(IF(AND(A152&lt;&gt;"",H152&lt;&gt;"No",I152&lt;&gt;"",OR('Hoy'!$B$3='Ajustes'!$D$5,F152='Hoy'!$B$3),J152&lt;=TODAY()),ROW(),""),"")</f>
        <v/>
      </c>
      <c r="P152" s="27">
        <f>IFERROR(IF(AND(A152&lt;&gt;"",H152&lt;&gt;"No",I152&lt;&gt;"",OR('Hoy'!$B$3='Ajustes'!$D$5,F152='Hoy'!$B$3),OR(J152=TODAY()+1,AND(I152&lt;=7,J152&gt;=TODAY(),J152&lt;TODAY()+1,MOD(TODAY()+1-J152,I152)=0))),ROW(),""),"")</f>
        <v/>
      </c>
      <c r="Q152" s="27">
        <f>IFERROR(IF(AND(A152&lt;&gt;"",H152&lt;&gt;"No",I152&lt;&gt;"",OR('Hoy'!$B$3='Ajustes'!$D$5,F152='Hoy'!$B$3),OR(J152=TODAY()+2,AND(I152&lt;=7,J152&gt;=TODAY(),J152&lt;TODAY()+2,MOD(TODAY()+2-J152,I152)=0))),ROW(),""),"")</f>
        <v/>
      </c>
      <c r="R152" s="27">
        <f>IFERROR(IF(AND(A152&lt;&gt;"",H152&lt;&gt;"No",I152&lt;&gt;"",OR('Hoy'!$B$3='Ajustes'!$D$5,F152='Hoy'!$B$3),OR(J152=TODAY()+3,AND(I152&lt;=7,J152&gt;=TODAY(),J152&lt;TODAY()+3,MOD(TODAY()+3-J152,I152)=0))),ROW(),""),"")</f>
        <v/>
      </c>
      <c r="S152" s="27">
        <f>IFERROR(IF(AND(A152&lt;&gt;"",H152&lt;&gt;"No",I152&lt;&gt;"",OR('Hoy'!$B$3='Ajustes'!$D$5,F152='Hoy'!$B$3),OR(J152=TODAY()+4,AND(I152&lt;=7,J152&gt;=TODAY(),J152&lt;TODAY()+4,MOD(TODAY()+4-J152,I152)=0))),ROW(),""),"")</f>
        <v/>
      </c>
      <c r="T152" s="27">
        <f>IFERROR(IF(AND(A152&lt;&gt;"",H152&lt;&gt;"No",I152&lt;&gt;"",OR('Hoy'!$B$3='Ajustes'!$D$5,F152='Hoy'!$B$3),OR(J152=TODAY()+5,AND(I152&lt;=7,J152&gt;=TODAY(),J152&lt;TODAY()+5,MOD(TODAY()+5-J152,I152)=0))),ROW(),""),"")</f>
        <v/>
      </c>
      <c r="U152" s="27">
        <f>IFERROR(IF(AND(A152&lt;&gt;"",H152&lt;&gt;"No",I152&lt;&gt;"",OR('Hoy'!$B$3='Ajustes'!$D$5,F152='Hoy'!$B$3),OR(J152=TODAY()+6,AND(I152&lt;=7,J152&gt;=TODAY(),J152&lt;TODAY()+6,MOD(TODAY()+6-J152,I152)=0))),ROW(),""),"")</f>
        <v/>
      </c>
    </row>
    <row r="153">
      <c r="A153" s="6" t="n"/>
      <c r="B153" s="6" t="n"/>
      <c r="C153" s="28" t="n"/>
      <c r="D153" s="6" t="n"/>
      <c r="E153" s="28" t="n"/>
      <c r="F153" s="6" t="n"/>
      <c r="G153" s="6" t="n"/>
      <c r="H153" s="29" t="inlineStr">
        <is>
          <t>Sí</t>
        </is>
      </c>
      <c r="I153" s="30">
        <f>IFERROR(IF(OR(A153="",C153=""),"",C153*INDEX('Ajustes'!$I$5:$I$8,MATCH(D153,'Ajustes'!$H$5:$H$8,0))),"")</f>
        <v/>
      </c>
      <c r="J153" s="31">
        <f>IFERROR(IF(I153="","",IF(G153="",IF('Ajustes'!$B$5="",TODAY(),'Ajustes'!$B$5)+MOD(ROW()*13,I153),IF(D153='Ajustes'!$H$7,EDATE(G153,C153),IF(D153='Ajustes'!$H$8,EDATE(G153,12*C153),G153+I153)))),"")</f>
        <v/>
      </c>
      <c r="K153" s="30">
        <f>IF(J153="","",J153-TODAY())</f>
        <v/>
      </c>
      <c r="L153" s="32">
        <f>IF(A153="","",IF(H153="No","Pausada",IF(K153="","",IF(K153&lt;0,"Atrasada",IF(K153=0,"Hoy",IF(K153&lt;=7,"Esta semana","Más adelante"))))))</f>
        <v/>
      </c>
      <c r="M153" s="27">
        <f>IFERROR(IF(AND(OR(L153="Atrasada",L153="Hoy",L153="Esta semana"),OR('Hoy'!$B$3='Ajustes'!$D$5,F153='Hoy'!$B$3)),K153+ROW()/100000,""),"")</f>
        <v/>
      </c>
      <c r="N153" s="27">
        <f>IF(OR(A153="",H153="No",I153=""),0,E153*7/I153)</f>
        <v/>
      </c>
      <c r="O153" s="27">
        <f>IFERROR(IF(AND(A153&lt;&gt;"",H153&lt;&gt;"No",I153&lt;&gt;"",OR('Hoy'!$B$3='Ajustes'!$D$5,F153='Hoy'!$B$3),J153&lt;=TODAY()),ROW(),""),"")</f>
        <v/>
      </c>
      <c r="P153" s="27">
        <f>IFERROR(IF(AND(A153&lt;&gt;"",H153&lt;&gt;"No",I153&lt;&gt;"",OR('Hoy'!$B$3='Ajustes'!$D$5,F153='Hoy'!$B$3),OR(J153=TODAY()+1,AND(I153&lt;=7,J153&gt;=TODAY(),J153&lt;TODAY()+1,MOD(TODAY()+1-J153,I153)=0))),ROW(),""),"")</f>
        <v/>
      </c>
      <c r="Q153" s="27">
        <f>IFERROR(IF(AND(A153&lt;&gt;"",H153&lt;&gt;"No",I153&lt;&gt;"",OR('Hoy'!$B$3='Ajustes'!$D$5,F153='Hoy'!$B$3),OR(J153=TODAY()+2,AND(I153&lt;=7,J153&gt;=TODAY(),J153&lt;TODAY()+2,MOD(TODAY()+2-J153,I153)=0))),ROW(),""),"")</f>
        <v/>
      </c>
      <c r="R153" s="27">
        <f>IFERROR(IF(AND(A153&lt;&gt;"",H153&lt;&gt;"No",I153&lt;&gt;"",OR('Hoy'!$B$3='Ajustes'!$D$5,F153='Hoy'!$B$3),OR(J153=TODAY()+3,AND(I153&lt;=7,J153&gt;=TODAY(),J153&lt;TODAY()+3,MOD(TODAY()+3-J153,I153)=0))),ROW(),""),"")</f>
        <v/>
      </c>
      <c r="S153" s="27">
        <f>IFERROR(IF(AND(A153&lt;&gt;"",H153&lt;&gt;"No",I153&lt;&gt;"",OR('Hoy'!$B$3='Ajustes'!$D$5,F153='Hoy'!$B$3),OR(J153=TODAY()+4,AND(I153&lt;=7,J153&gt;=TODAY(),J153&lt;TODAY()+4,MOD(TODAY()+4-J153,I153)=0))),ROW(),""),"")</f>
        <v/>
      </c>
      <c r="T153" s="27">
        <f>IFERROR(IF(AND(A153&lt;&gt;"",H153&lt;&gt;"No",I153&lt;&gt;"",OR('Hoy'!$B$3='Ajustes'!$D$5,F153='Hoy'!$B$3),OR(J153=TODAY()+5,AND(I153&lt;=7,J153&gt;=TODAY(),J153&lt;TODAY()+5,MOD(TODAY()+5-J153,I153)=0))),ROW(),""),"")</f>
        <v/>
      </c>
      <c r="U153" s="27">
        <f>IFERROR(IF(AND(A153&lt;&gt;"",H153&lt;&gt;"No",I153&lt;&gt;"",OR('Hoy'!$B$3='Ajustes'!$D$5,F153='Hoy'!$B$3),OR(J153=TODAY()+6,AND(I153&lt;=7,J153&gt;=TODAY(),J153&lt;TODAY()+6,MOD(TODAY()+6-J153,I153)=0))),ROW(),""),"")</f>
        <v/>
      </c>
    </row>
    <row r="154">
      <c r="A154" s="6" t="n"/>
      <c r="B154" s="6" t="n"/>
      <c r="C154" s="28" t="n"/>
      <c r="D154" s="6" t="n"/>
      <c r="E154" s="28" t="n"/>
      <c r="F154" s="6" t="n"/>
      <c r="G154" s="6" t="n"/>
      <c r="H154" s="29" t="inlineStr">
        <is>
          <t>Sí</t>
        </is>
      </c>
      <c r="I154" s="30">
        <f>IFERROR(IF(OR(A154="",C154=""),"",C154*INDEX('Ajustes'!$I$5:$I$8,MATCH(D154,'Ajustes'!$H$5:$H$8,0))),"")</f>
        <v/>
      </c>
      <c r="J154" s="31">
        <f>IFERROR(IF(I154="","",IF(G154="",IF('Ajustes'!$B$5="",TODAY(),'Ajustes'!$B$5)+MOD(ROW()*13,I154),IF(D154='Ajustes'!$H$7,EDATE(G154,C154),IF(D154='Ajustes'!$H$8,EDATE(G154,12*C154),G154+I154)))),"")</f>
        <v/>
      </c>
      <c r="K154" s="30">
        <f>IF(J154="","",J154-TODAY())</f>
        <v/>
      </c>
      <c r="L154" s="32">
        <f>IF(A154="","",IF(H154="No","Pausada",IF(K154="","",IF(K154&lt;0,"Atrasada",IF(K154=0,"Hoy",IF(K154&lt;=7,"Esta semana","Más adelante"))))))</f>
        <v/>
      </c>
      <c r="M154" s="27">
        <f>IFERROR(IF(AND(OR(L154="Atrasada",L154="Hoy",L154="Esta semana"),OR('Hoy'!$B$3='Ajustes'!$D$5,F154='Hoy'!$B$3)),K154+ROW()/100000,""),"")</f>
        <v/>
      </c>
      <c r="N154" s="27">
        <f>IF(OR(A154="",H154="No",I154=""),0,E154*7/I154)</f>
        <v/>
      </c>
      <c r="O154" s="27">
        <f>IFERROR(IF(AND(A154&lt;&gt;"",H154&lt;&gt;"No",I154&lt;&gt;"",OR('Hoy'!$B$3='Ajustes'!$D$5,F154='Hoy'!$B$3),J154&lt;=TODAY()),ROW(),""),"")</f>
        <v/>
      </c>
      <c r="P154" s="27">
        <f>IFERROR(IF(AND(A154&lt;&gt;"",H154&lt;&gt;"No",I154&lt;&gt;"",OR('Hoy'!$B$3='Ajustes'!$D$5,F154='Hoy'!$B$3),OR(J154=TODAY()+1,AND(I154&lt;=7,J154&gt;=TODAY(),J154&lt;TODAY()+1,MOD(TODAY()+1-J154,I154)=0))),ROW(),""),"")</f>
        <v/>
      </c>
      <c r="Q154" s="27">
        <f>IFERROR(IF(AND(A154&lt;&gt;"",H154&lt;&gt;"No",I154&lt;&gt;"",OR('Hoy'!$B$3='Ajustes'!$D$5,F154='Hoy'!$B$3),OR(J154=TODAY()+2,AND(I154&lt;=7,J154&gt;=TODAY(),J154&lt;TODAY()+2,MOD(TODAY()+2-J154,I154)=0))),ROW(),""),"")</f>
        <v/>
      </c>
      <c r="R154" s="27">
        <f>IFERROR(IF(AND(A154&lt;&gt;"",H154&lt;&gt;"No",I154&lt;&gt;"",OR('Hoy'!$B$3='Ajustes'!$D$5,F154='Hoy'!$B$3),OR(J154=TODAY()+3,AND(I154&lt;=7,J154&gt;=TODAY(),J154&lt;TODAY()+3,MOD(TODAY()+3-J154,I154)=0))),ROW(),""),"")</f>
        <v/>
      </c>
      <c r="S154" s="27">
        <f>IFERROR(IF(AND(A154&lt;&gt;"",H154&lt;&gt;"No",I154&lt;&gt;"",OR('Hoy'!$B$3='Ajustes'!$D$5,F154='Hoy'!$B$3),OR(J154=TODAY()+4,AND(I154&lt;=7,J154&gt;=TODAY(),J154&lt;TODAY()+4,MOD(TODAY()+4-J154,I154)=0))),ROW(),""),"")</f>
        <v/>
      </c>
      <c r="T154" s="27">
        <f>IFERROR(IF(AND(A154&lt;&gt;"",H154&lt;&gt;"No",I154&lt;&gt;"",OR('Hoy'!$B$3='Ajustes'!$D$5,F154='Hoy'!$B$3),OR(J154=TODAY()+5,AND(I154&lt;=7,J154&gt;=TODAY(),J154&lt;TODAY()+5,MOD(TODAY()+5-J154,I154)=0))),ROW(),""),"")</f>
        <v/>
      </c>
      <c r="U154" s="27">
        <f>IFERROR(IF(AND(A154&lt;&gt;"",H154&lt;&gt;"No",I154&lt;&gt;"",OR('Hoy'!$B$3='Ajustes'!$D$5,F154='Hoy'!$B$3),OR(J154=TODAY()+6,AND(I154&lt;=7,J154&gt;=TODAY(),J154&lt;TODAY()+6,MOD(TODAY()+6-J154,I154)=0))),ROW(),""),"")</f>
        <v/>
      </c>
    </row>
    <row r="155">
      <c r="A155" s="6" t="n"/>
      <c r="B155" s="6" t="n"/>
      <c r="C155" s="28" t="n"/>
      <c r="D155" s="6" t="n"/>
      <c r="E155" s="28" t="n"/>
      <c r="F155" s="6" t="n"/>
      <c r="G155" s="6" t="n"/>
      <c r="H155" s="29" t="inlineStr">
        <is>
          <t>Sí</t>
        </is>
      </c>
      <c r="I155" s="30">
        <f>IFERROR(IF(OR(A155="",C155=""),"",C155*INDEX('Ajustes'!$I$5:$I$8,MATCH(D155,'Ajustes'!$H$5:$H$8,0))),"")</f>
        <v/>
      </c>
      <c r="J155" s="31">
        <f>IFERROR(IF(I155="","",IF(G155="",IF('Ajustes'!$B$5="",TODAY(),'Ajustes'!$B$5)+MOD(ROW()*13,I155),IF(D155='Ajustes'!$H$7,EDATE(G155,C155),IF(D155='Ajustes'!$H$8,EDATE(G155,12*C155),G155+I155)))),"")</f>
        <v/>
      </c>
      <c r="K155" s="30">
        <f>IF(J155="","",J155-TODAY())</f>
        <v/>
      </c>
      <c r="L155" s="32">
        <f>IF(A155="","",IF(H155="No","Pausada",IF(K155="","",IF(K155&lt;0,"Atrasada",IF(K155=0,"Hoy",IF(K155&lt;=7,"Esta semana","Más adelante"))))))</f>
        <v/>
      </c>
      <c r="M155" s="27">
        <f>IFERROR(IF(AND(OR(L155="Atrasada",L155="Hoy",L155="Esta semana"),OR('Hoy'!$B$3='Ajustes'!$D$5,F155='Hoy'!$B$3)),K155+ROW()/100000,""),"")</f>
        <v/>
      </c>
      <c r="N155" s="27">
        <f>IF(OR(A155="",H155="No",I155=""),0,E155*7/I155)</f>
        <v/>
      </c>
      <c r="O155" s="27">
        <f>IFERROR(IF(AND(A155&lt;&gt;"",H155&lt;&gt;"No",I155&lt;&gt;"",OR('Hoy'!$B$3='Ajustes'!$D$5,F155='Hoy'!$B$3),J155&lt;=TODAY()),ROW(),""),"")</f>
        <v/>
      </c>
      <c r="P155" s="27">
        <f>IFERROR(IF(AND(A155&lt;&gt;"",H155&lt;&gt;"No",I155&lt;&gt;"",OR('Hoy'!$B$3='Ajustes'!$D$5,F155='Hoy'!$B$3),OR(J155=TODAY()+1,AND(I155&lt;=7,J155&gt;=TODAY(),J155&lt;TODAY()+1,MOD(TODAY()+1-J155,I155)=0))),ROW(),""),"")</f>
        <v/>
      </c>
      <c r="Q155" s="27">
        <f>IFERROR(IF(AND(A155&lt;&gt;"",H155&lt;&gt;"No",I155&lt;&gt;"",OR('Hoy'!$B$3='Ajustes'!$D$5,F155='Hoy'!$B$3),OR(J155=TODAY()+2,AND(I155&lt;=7,J155&gt;=TODAY(),J155&lt;TODAY()+2,MOD(TODAY()+2-J155,I155)=0))),ROW(),""),"")</f>
        <v/>
      </c>
      <c r="R155" s="27">
        <f>IFERROR(IF(AND(A155&lt;&gt;"",H155&lt;&gt;"No",I155&lt;&gt;"",OR('Hoy'!$B$3='Ajustes'!$D$5,F155='Hoy'!$B$3),OR(J155=TODAY()+3,AND(I155&lt;=7,J155&gt;=TODAY(),J155&lt;TODAY()+3,MOD(TODAY()+3-J155,I155)=0))),ROW(),""),"")</f>
        <v/>
      </c>
      <c r="S155" s="27">
        <f>IFERROR(IF(AND(A155&lt;&gt;"",H155&lt;&gt;"No",I155&lt;&gt;"",OR('Hoy'!$B$3='Ajustes'!$D$5,F155='Hoy'!$B$3),OR(J155=TODAY()+4,AND(I155&lt;=7,J155&gt;=TODAY(),J155&lt;TODAY()+4,MOD(TODAY()+4-J155,I155)=0))),ROW(),""),"")</f>
        <v/>
      </c>
      <c r="T155" s="27">
        <f>IFERROR(IF(AND(A155&lt;&gt;"",H155&lt;&gt;"No",I155&lt;&gt;"",OR('Hoy'!$B$3='Ajustes'!$D$5,F155='Hoy'!$B$3),OR(J155=TODAY()+5,AND(I155&lt;=7,J155&gt;=TODAY(),J155&lt;TODAY()+5,MOD(TODAY()+5-J155,I155)=0))),ROW(),""),"")</f>
        <v/>
      </c>
      <c r="U155" s="27">
        <f>IFERROR(IF(AND(A155&lt;&gt;"",H155&lt;&gt;"No",I155&lt;&gt;"",OR('Hoy'!$B$3='Ajustes'!$D$5,F155='Hoy'!$B$3),OR(J155=TODAY()+6,AND(I155&lt;=7,J155&gt;=TODAY(),J155&lt;TODAY()+6,MOD(TODAY()+6-J155,I155)=0))),ROW(),""),"")</f>
        <v/>
      </c>
    </row>
  </sheetData>
  <autoFilter ref="A5:L155"/>
  <conditionalFormatting sqref="L6:L155">
    <cfRule type="expression" priority="1" dxfId="3">
      <formula>$L6="Atrasada"</formula>
    </cfRule>
    <cfRule type="expression" priority="2" dxfId="4">
      <formula>$L6="Hoy"</formula>
    </cfRule>
    <cfRule type="expression" priority="3" dxfId="5">
      <formula>$L6="Pausada"</formula>
    </cfRule>
  </conditionalFormatting>
  <conditionalFormatting sqref="A6:H155">
    <cfRule type="expression" priority="4" dxfId="6">
      <formula>$H6="No"</formula>
    </cfRule>
  </conditionalFormatting>
  <dataValidations count="6">
    <dataValidation sqref="B6:B155" showDropDown="0" showInputMessage="0" showErrorMessage="0" allowBlank="1" type="list">
      <formula1>='Ajustes'!$F$5:$F$16</formula1>
    </dataValidation>
    <dataValidation sqref="D6:D155" showDropDown="0" showInputMessage="0" showErrorMessage="0" allowBlank="1" type="list">
      <formula1>='Ajustes'!$H$5:$H$8</formula1>
    </dataValidation>
    <dataValidation sqref="F6:F155" showDropDown="0" showInputMessage="0" showErrorMessage="0" allowBlank="1" type="list">
      <formula1>='Ajustes'!$D$6:$D$11</formula1>
    </dataValidation>
    <dataValidation sqref="H6:H155" showDropDown="0" showInputMessage="0" showErrorMessage="0" allowBlank="1" type="list">
      <formula1>='Ajustes'!$K$5:$K$6</formula1>
    </dataValidation>
    <dataValidation sqref="C6:C155" showDropDown="0" showInputMessage="0" showErrorMessage="1" allowBlank="1" errorTitle="Revisá este valor" error="Usá un número entero de 1 o más." type="whole" operator="greaterThanOrEqual">
      <formula1>1</formula1>
    </dataValidation>
    <dataValidation sqref="G6:G155" showDropDown="0" showInputMessage="0" showErrorMessage="1" allowBlank="1" errorTitle="Revisá este valor" error="Escribí una fecha válida." type="date" operator="greaterThan">
      <formula1>36526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26A00"/>
    <outlinePr summaryBelow="1" summaryRight="1"/>
    <pageSetUpPr/>
  </sheetPr>
  <dimension ref="A1:G2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  <col width="3" customWidth="1" min="8" max="8"/>
    <col width="3" customWidth="1" min="9" max="9"/>
    <col width="3" customWidth="1" min="10" max="10"/>
  </cols>
  <sheetData>
    <row r="1" ht="28" customHeight="1">
      <c r="A1" s="1" t="inlineStr">
        <is>
          <t>Hogar</t>
        </is>
      </c>
    </row>
    <row r="2">
      <c r="A2" s="2" t="inlineStr">
        <is>
          <t>Quién carga con cuánto. Los minutos por semana salen del tiempo y la frecuencia de cada tarea.</t>
        </is>
      </c>
    </row>
    <row r="4" ht="32" customHeight="1">
      <c r="A4" s="10" t="inlineStr">
        <is>
          <t>Persona</t>
        </is>
      </c>
      <c r="B4" s="10" t="inlineStr">
        <is>
          <t>Tareas</t>
        </is>
      </c>
      <c r="C4" s="10" t="inlineStr">
        <is>
          <t>Min / semana</t>
        </is>
      </c>
      <c r="D4" s="10" t="inlineStr">
        <is>
          <t>Horas / semana</t>
        </is>
      </c>
      <c r="E4" s="10" t="inlineStr">
        <is>
          <t>% del total</t>
        </is>
      </c>
      <c r="F4" s="10" t="inlineStr">
        <is>
          <t>Atrasadas hoy</t>
        </is>
      </c>
      <c r="G4" s="10" t="inlineStr">
        <is>
          <t>Min / semana vs. reparto parejo</t>
        </is>
      </c>
    </row>
    <row r="5">
      <c r="A5" s="33">
        <f>IF('Ajustes'!D6="","",'Ajustes'!D6)</f>
        <v/>
      </c>
      <c r="B5" s="30">
        <f>IF($A5="","",SUMPRODUCT(('Tareas'!$F$6:$F$155=$A5)*('Tareas'!$A$6:$A$155&lt;&gt;"")*('Tareas'!$H$6:$H$155&lt;&gt;"No")))</f>
        <v/>
      </c>
      <c r="C5" s="30">
        <f>IF($A5="","",SUMPRODUCT(('Tareas'!$F$6:$F$155=$A5)*'Tareas'!$N$6:$N$155))</f>
        <v/>
      </c>
      <c r="D5" s="34">
        <f>IF($A5="","",C5/60)</f>
        <v/>
      </c>
      <c r="E5" s="35">
        <f>IF(OR($A5="",$C$12=0),"",C5/$C$12)</f>
        <v/>
      </c>
      <c r="F5" s="30">
        <f>IF($A5="","",SUMPRODUCT(('Tareas'!$F$6:$F$155=$A5)*('Tareas'!$L$6:$L$155="Atrasada")))</f>
        <v/>
      </c>
      <c r="G5" s="36">
        <f>IF(OR($A5="",COUNTIF($A$5:$A$10,"?*")=0),"",C5-($C$12-$C$11)/COUNTIF($A$5:$A$10,"?*"))</f>
        <v/>
      </c>
    </row>
    <row r="6">
      <c r="A6" s="33">
        <f>IF('Ajustes'!D7="","",'Ajustes'!D7)</f>
        <v/>
      </c>
      <c r="B6" s="30">
        <f>IF($A6="","",SUMPRODUCT(('Tareas'!$F$6:$F$155=$A6)*('Tareas'!$A$6:$A$155&lt;&gt;"")*('Tareas'!$H$6:$H$155&lt;&gt;"No")))</f>
        <v/>
      </c>
      <c r="C6" s="30">
        <f>IF($A6="","",SUMPRODUCT(('Tareas'!$F$6:$F$155=$A6)*'Tareas'!$N$6:$N$155))</f>
        <v/>
      </c>
      <c r="D6" s="34">
        <f>IF($A6="","",C6/60)</f>
        <v/>
      </c>
      <c r="E6" s="35">
        <f>IF(OR($A6="",$C$12=0),"",C6/$C$12)</f>
        <v/>
      </c>
      <c r="F6" s="30">
        <f>IF($A6="","",SUMPRODUCT(('Tareas'!$F$6:$F$155=$A6)*('Tareas'!$L$6:$L$155="Atrasada")))</f>
        <v/>
      </c>
      <c r="G6" s="36">
        <f>IF(OR($A6="",COUNTIF($A$5:$A$10,"?*")=0),"",C6-($C$12-$C$11)/COUNTIF($A$5:$A$10,"?*"))</f>
        <v/>
      </c>
    </row>
    <row r="7">
      <c r="A7" s="33">
        <f>IF('Ajustes'!D8="","",'Ajustes'!D8)</f>
        <v/>
      </c>
      <c r="B7" s="30">
        <f>IF($A7="","",SUMPRODUCT(('Tareas'!$F$6:$F$155=$A7)*('Tareas'!$A$6:$A$155&lt;&gt;"")*('Tareas'!$H$6:$H$155&lt;&gt;"No")))</f>
        <v/>
      </c>
      <c r="C7" s="30">
        <f>IF($A7="","",SUMPRODUCT(('Tareas'!$F$6:$F$155=$A7)*'Tareas'!$N$6:$N$155))</f>
        <v/>
      </c>
      <c r="D7" s="34">
        <f>IF($A7="","",C7/60)</f>
        <v/>
      </c>
      <c r="E7" s="35">
        <f>IF(OR($A7="",$C$12=0),"",C7/$C$12)</f>
        <v/>
      </c>
      <c r="F7" s="30">
        <f>IF($A7="","",SUMPRODUCT(('Tareas'!$F$6:$F$155=$A7)*('Tareas'!$L$6:$L$155="Atrasada")))</f>
        <v/>
      </c>
      <c r="G7" s="36">
        <f>IF(OR($A7="",COUNTIF($A$5:$A$10,"?*")=0),"",C7-($C$12-$C$11)/COUNTIF($A$5:$A$10,"?*"))</f>
        <v/>
      </c>
    </row>
    <row r="8">
      <c r="A8" s="33">
        <f>IF('Ajustes'!D9="","",'Ajustes'!D9)</f>
        <v/>
      </c>
      <c r="B8" s="30">
        <f>IF($A8="","",SUMPRODUCT(('Tareas'!$F$6:$F$155=$A8)*('Tareas'!$A$6:$A$155&lt;&gt;"")*('Tareas'!$H$6:$H$155&lt;&gt;"No")))</f>
        <v/>
      </c>
      <c r="C8" s="30">
        <f>IF($A8="","",SUMPRODUCT(('Tareas'!$F$6:$F$155=$A8)*'Tareas'!$N$6:$N$155))</f>
        <v/>
      </c>
      <c r="D8" s="34">
        <f>IF($A8="","",C8/60)</f>
        <v/>
      </c>
      <c r="E8" s="35">
        <f>IF(OR($A8="",$C$12=0),"",C8/$C$12)</f>
        <v/>
      </c>
      <c r="F8" s="30">
        <f>IF($A8="","",SUMPRODUCT(('Tareas'!$F$6:$F$155=$A8)*('Tareas'!$L$6:$L$155="Atrasada")))</f>
        <v/>
      </c>
      <c r="G8" s="36">
        <f>IF(OR($A8="",COUNTIF($A$5:$A$10,"?*")=0),"",C8-($C$12-$C$11)/COUNTIF($A$5:$A$10,"?*"))</f>
        <v/>
      </c>
    </row>
    <row r="9">
      <c r="A9" s="33">
        <f>IF('Ajustes'!D10="","",'Ajustes'!D10)</f>
        <v/>
      </c>
      <c r="B9" s="30">
        <f>IF($A9="","",SUMPRODUCT(('Tareas'!$F$6:$F$155=$A9)*('Tareas'!$A$6:$A$155&lt;&gt;"")*('Tareas'!$H$6:$H$155&lt;&gt;"No")))</f>
        <v/>
      </c>
      <c r="C9" s="30">
        <f>IF($A9="","",SUMPRODUCT(('Tareas'!$F$6:$F$155=$A9)*'Tareas'!$N$6:$N$155))</f>
        <v/>
      </c>
      <c r="D9" s="34">
        <f>IF($A9="","",C9/60)</f>
        <v/>
      </c>
      <c r="E9" s="35">
        <f>IF(OR($A9="",$C$12=0),"",C9/$C$12)</f>
        <v/>
      </c>
      <c r="F9" s="30">
        <f>IF($A9="","",SUMPRODUCT(('Tareas'!$F$6:$F$155=$A9)*('Tareas'!$L$6:$L$155="Atrasada")))</f>
        <v/>
      </c>
      <c r="G9" s="36">
        <f>IF(OR($A9="",COUNTIF($A$5:$A$10,"?*")=0),"",C9-($C$12-$C$11)/COUNTIF($A$5:$A$10,"?*"))</f>
        <v/>
      </c>
    </row>
    <row r="10">
      <c r="A10" s="33">
        <f>IF('Ajustes'!D11="","",'Ajustes'!D11)</f>
        <v/>
      </c>
      <c r="B10" s="30">
        <f>IF($A10="","",SUMPRODUCT(('Tareas'!$F$6:$F$155=$A10)*('Tareas'!$A$6:$A$155&lt;&gt;"")*('Tareas'!$H$6:$H$155&lt;&gt;"No")))</f>
        <v/>
      </c>
      <c r="C10" s="30">
        <f>IF($A10="","",SUMPRODUCT(('Tareas'!$F$6:$F$155=$A10)*'Tareas'!$N$6:$N$155))</f>
        <v/>
      </c>
      <c r="D10" s="34">
        <f>IF($A10="","",C10/60)</f>
        <v/>
      </c>
      <c r="E10" s="35">
        <f>IF(OR($A10="",$C$12=0),"",C10/$C$12)</f>
        <v/>
      </c>
      <c r="F10" s="30">
        <f>IF($A10="","",SUMPRODUCT(('Tareas'!$F$6:$F$155=$A10)*('Tareas'!$L$6:$L$155="Atrasada")))</f>
        <v/>
      </c>
      <c r="G10" s="36">
        <f>IF(OR($A10="",COUNTIF($A$5:$A$10,"?*")=0),"",C10-($C$12-$C$11)/COUNTIF($A$5:$A$10,"?*"))</f>
        <v/>
      </c>
    </row>
    <row r="11">
      <c r="A11" s="33" t="inlineStr">
        <is>
          <t>Sin asignar</t>
        </is>
      </c>
      <c r="B11" s="30">
        <f>IF($A11="","",SUMPRODUCT(('Tareas'!$F$6:$F$155="")*('Tareas'!$A$6:$A$155&lt;&gt;"")*('Tareas'!$H$6:$H$155&lt;&gt;"No")))</f>
        <v/>
      </c>
      <c r="C11" s="30">
        <f>IF($A11="","",SUMPRODUCT(('Tareas'!$F$6:$F$155="")*'Tareas'!$N$6:$N$155))</f>
        <v/>
      </c>
      <c r="D11" s="34">
        <f>IF($A11="","",C11/60)</f>
        <v/>
      </c>
      <c r="E11" s="35">
        <f>IF(OR($A11="",$C$12=0),"",C11/$C$12)</f>
        <v/>
      </c>
      <c r="F11" s="30">
        <f>IF($A11="","",SUMPRODUCT(('Tareas'!$F$6:$F$155="")*('Tareas'!$L$6:$L$155="Atrasada")))</f>
        <v/>
      </c>
      <c r="G11" s="36" t="inlineStr"/>
    </row>
    <row r="12">
      <c r="A12" s="5" t="inlineStr">
        <is>
          <t>Total</t>
        </is>
      </c>
      <c r="B12" s="8">
        <f>SUM(B5:B11)</f>
        <v/>
      </c>
      <c r="C12" s="8">
        <f>SUM(C5:C11)</f>
        <v/>
      </c>
      <c r="D12" s="37">
        <f>SUM(D5:D11)</f>
        <v/>
      </c>
      <c r="F12" s="8">
        <f>SUM(F5:F11)</f>
        <v/>
      </c>
    </row>
    <row r="14">
      <c r="A14" s="5" t="inlineStr">
        <is>
          <t>Carga más liviana hoy:</t>
        </is>
      </c>
      <c r="C14" s="33">
        <f>IFERROR(INDEX($A$5:$A$10,MATCH(MIN($C$5:$C$10),$C$5:$C$10,0)),"")</f>
        <v/>
      </c>
    </row>
    <row r="15">
      <c r="A15" s="38" t="inlineStr">
        <is>
          <t>Dale la próxima tarea sin asignar a esta persona, o a quien esté por debajo del reparto parejo en la última columna.</t>
        </is>
      </c>
    </row>
    <row r="17" ht="32" customHeight="1">
      <c r="A17" s="10" t="inlineStr">
        <is>
          <t>Ambiente / área</t>
        </is>
      </c>
      <c r="B17" s="10" t="inlineStr">
        <is>
          <t>Tareas</t>
        </is>
      </c>
      <c r="C17" s="10" t="inlineStr">
        <is>
          <t>Min / semana</t>
        </is>
      </c>
      <c r="D17" s="10" t="inlineStr">
        <is>
          <t>Atrasadas hoy</t>
        </is>
      </c>
    </row>
    <row r="18">
      <c r="A18" s="33">
        <f>'Ajustes'!F5</f>
        <v/>
      </c>
      <c r="B18" s="30">
        <f>IF($A18="","",SUMPRODUCT(('Tareas'!$B$6:$B$155=$A18)*('Tareas'!$A$6:$A$155&lt;&gt;"")*('Tareas'!$H$6:$H$155&lt;&gt;"No")))</f>
        <v/>
      </c>
      <c r="C18" s="30">
        <f>IF($A18="","",SUMIF('Tareas'!$B$6:$B$155,$A18,'Tareas'!$N$6:$N$155))</f>
        <v/>
      </c>
      <c r="D18" s="30">
        <f>IF($A18="","",COUNTIFS('Tareas'!$B$6:$B$155,$A18,'Tareas'!$L$6:$L$155,"Atrasada"))</f>
        <v/>
      </c>
    </row>
    <row r="19">
      <c r="A19" s="33">
        <f>'Ajustes'!F6</f>
        <v/>
      </c>
      <c r="B19" s="30">
        <f>IF($A19="","",SUMPRODUCT(('Tareas'!$B$6:$B$155=$A19)*('Tareas'!$A$6:$A$155&lt;&gt;"")*('Tareas'!$H$6:$H$155&lt;&gt;"No")))</f>
        <v/>
      </c>
      <c r="C19" s="30">
        <f>IF($A19="","",SUMIF('Tareas'!$B$6:$B$155,$A19,'Tareas'!$N$6:$N$155))</f>
        <v/>
      </c>
      <c r="D19" s="30">
        <f>IF($A19="","",COUNTIFS('Tareas'!$B$6:$B$155,$A19,'Tareas'!$L$6:$L$155,"Atrasada"))</f>
        <v/>
      </c>
    </row>
    <row r="20">
      <c r="A20" s="33">
        <f>'Ajustes'!F7</f>
        <v/>
      </c>
      <c r="B20" s="30">
        <f>IF($A20="","",SUMPRODUCT(('Tareas'!$B$6:$B$155=$A20)*('Tareas'!$A$6:$A$155&lt;&gt;"")*('Tareas'!$H$6:$H$155&lt;&gt;"No")))</f>
        <v/>
      </c>
      <c r="C20" s="30">
        <f>IF($A20="","",SUMIF('Tareas'!$B$6:$B$155,$A20,'Tareas'!$N$6:$N$155))</f>
        <v/>
      </c>
      <c r="D20" s="30">
        <f>IF($A20="","",COUNTIFS('Tareas'!$B$6:$B$155,$A20,'Tareas'!$L$6:$L$155,"Atrasada"))</f>
        <v/>
      </c>
    </row>
    <row r="21">
      <c r="A21" s="33">
        <f>'Ajustes'!F8</f>
        <v/>
      </c>
      <c r="B21" s="30">
        <f>IF($A21="","",SUMPRODUCT(('Tareas'!$B$6:$B$155=$A21)*('Tareas'!$A$6:$A$155&lt;&gt;"")*('Tareas'!$H$6:$H$155&lt;&gt;"No")))</f>
        <v/>
      </c>
      <c r="C21" s="30">
        <f>IF($A21="","",SUMIF('Tareas'!$B$6:$B$155,$A21,'Tareas'!$N$6:$N$155))</f>
        <v/>
      </c>
      <c r="D21" s="30">
        <f>IF($A21="","",COUNTIFS('Tareas'!$B$6:$B$155,$A21,'Tareas'!$L$6:$L$155,"Atrasada"))</f>
        <v/>
      </c>
    </row>
    <row r="22">
      <c r="A22" s="33">
        <f>'Ajustes'!F9</f>
        <v/>
      </c>
      <c r="B22" s="30">
        <f>IF($A22="","",SUMPRODUCT(('Tareas'!$B$6:$B$155=$A22)*('Tareas'!$A$6:$A$155&lt;&gt;"")*('Tareas'!$H$6:$H$155&lt;&gt;"No")))</f>
        <v/>
      </c>
      <c r="C22" s="30">
        <f>IF($A22="","",SUMIF('Tareas'!$B$6:$B$155,$A22,'Tareas'!$N$6:$N$155))</f>
        <v/>
      </c>
      <c r="D22" s="30">
        <f>IF($A22="","",COUNTIFS('Tareas'!$B$6:$B$155,$A22,'Tareas'!$L$6:$L$155,"Atrasada"))</f>
        <v/>
      </c>
    </row>
    <row r="23">
      <c r="A23" s="33">
        <f>'Ajustes'!F10</f>
        <v/>
      </c>
      <c r="B23" s="30">
        <f>IF($A23="","",SUMPRODUCT(('Tareas'!$B$6:$B$155=$A23)*('Tareas'!$A$6:$A$155&lt;&gt;"")*('Tareas'!$H$6:$H$155&lt;&gt;"No")))</f>
        <v/>
      </c>
      <c r="C23" s="30">
        <f>IF($A23="","",SUMIF('Tareas'!$B$6:$B$155,$A23,'Tareas'!$N$6:$N$155))</f>
        <v/>
      </c>
      <c r="D23" s="30">
        <f>IF($A23="","",COUNTIFS('Tareas'!$B$6:$B$155,$A23,'Tareas'!$L$6:$L$155,"Atrasada"))</f>
        <v/>
      </c>
    </row>
    <row r="24">
      <c r="A24" s="33">
        <f>'Ajustes'!F11</f>
        <v/>
      </c>
      <c r="B24" s="30">
        <f>IF($A24="","",SUMPRODUCT(('Tareas'!$B$6:$B$155=$A24)*('Tareas'!$A$6:$A$155&lt;&gt;"")*('Tareas'!$H$6:$H$155&lt;&gt;"No")))</f>
        <v/>
      </c>
      <c r="C24" s="30">
        <f>IF($A24="","",SUMIF('Tareas'!$B$6:$B$155,$A24,'Tareas'!$N$6:$N$155))</f>
        <v/>
      </c>
      <c r="D24" s="30">
        <f>IF($A24="","",COUNTIFS('Tareas'!$B$6:$B$155,$A24,'Tareas'!$L$6:$L$155,"Atrasada"))</f>
        <v/>
      </c>
    </row>
    <row r="25">
      <c r="A25" s="33">
        <f>'Ajustes'!F12</f>
        <v/>
      </c>
      <c r="B25" s="30">
        <f>IF($A25="","",SUMPRODUCT(('Tareas'!$B$6:$B$155=$A25)*('Tareas'!$A$6:$A$155&lt;&gt;"")*('Tareas'!$H$6:$H$155&lt;&gt;"No")))</f>
        <v/>
      </c>
      <c r="C25" s="30">
        <f>IF($A25="","",SUMIF('Tareas'!$B$6:$B$155,$A25,'Tareas'!$N$6:$N$155))</f>
        <v/>
      </c>
      <c r="D25" s="30">
        <f>IF($A25="","",COUNTIFS('Tareas'!$B$6:$B$155,$A25,'Tareas'!$L$6:$L$155,"Atrasada"))</f>
        <v/>
      </c>
    </row>
    <row r="26">
      <c r="A26" s="33">
        <f>'Ajustes'!F13</f>
        <v/>
      </c>
      <c r="B26" s="30">
        <f>IF($A26="","",SUMPRODUCT(('Tareas'!$B$6:$B$155=$A26)*('Tareas'!$A$6:$A$155&lt;&gt;"")*('Tareas'!$H$6:$H$155&lt;&gt;"No")))</f>
        <v/>
      </c>
      <c r="C26" s="30">
        <f>IF($A26="","",SUMIF('Tareas'!$B$6:$B$155,$A26,'Tareas'!$N$6:$N$155))</f>
        <v/>
      </c>
      <c r="D26" s="30">
        <f>IF($A26="","",COUNTIFS('Tareas'!$B$6:$B$155,$A26,'Tareas'!$L$6:$L$155,"Atrasada"))</f>
        <v/>
      </c>
    </row>
    <row r="27">
      <c r="A27" s="33">
        <f>'Ajustes'!F14</f>
        <v/>
      </c>
      <c r="B27" s="30">
        <f>IF($A27="","",SUMPRODUCT(('Tareas'!$B$6:$B$155=$A27)*('Tareas'!$A$6:$A$155&lt;&gt;"")*('Tareas'!$H$6:$H$155&lt;&gt;"No")))</f>
        <v/>
      </c>
      <c r="C27" s="30">
        <f>IF($A27="","",SUMIF('Tareas'!$B$6:$B$155,$A27,'Tareas'!$N$6:$N$155))</f>
        <v/>
      </c>
      <c r="D27" s="30">
        <f>IF($A27="","",COUNTIFS('Tareas'!$B$6:$B$155,$A27,'Tareas'!$L$6:$L$155,"Atrasada"))</f>
        <v/>
      </c>
    </row>
    <row r="28">
      <c r="A28" s="33">
        <f>'Ajustes'!F15</f>
        <v/>
      </c>
      <c r="B28" s="30">
        <f>IF($A28="","",SUMPRODUCT(('Tareas'!$B$6:$B$155=$A28)*('Tareas'!$A$6:$A$155&lt;&gt;"")*('Tareas'!$H$6:$H$155&lt;&gt;"No")))</f>
        <v/>
      </c>
      <c r="C28" s="30">
        <f>IF($A28="","",SUMIF('Tareas'!$B$6:$B$155,$A28,'Tareas'!$N$6:$N$155))</f>
        <v/>
      </c>
      <c r="D28" s="30">
        <f>IF($A28="","",COUNTIFS('Tareas'!$B$6:$B$155,$A28,'Tareas'!$L$6:$L$155,"Atrasada"))</f>
        <v/>
      </c>
    </row>
    <row r="29">
      <c r="A29" s="33">
        <f>'Ajustes'!F16</f>
        <v/>
      </c>
      <c r="B29" s="30">
        <f>IF($A29="","",SUMPRODUCT(('Tareas'!$B$6:$B$155=$A29)*('Tareas'!$A$6:$A$155&lt;&gt;"")*('Tareas'!$H$6:$H$155&lt;&gt;"No")))</f>
        <v/>
      </c>
      <c r="C29" s="30">
        <f>IF($A29="","",SUMIF('Tareas'!$B$6:$B$155,$A29,'Tareas'!$N$6:$N$155))</f>
        <v/>
      </c>
      <c r="D29" s="30">
        <f>IF($A29="","",COUNTIFS('Tareas'!$B$6:$B$155,$A29,'Tareas'!$L$6:$L$155,"Atrasada"))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7A8794"/>
    <outlinePr summaryBelow="1" summaryRight="1"/>
    <pageSetUpPr/>
  </sheetPr>
  <dimension ref="A1:F49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" customWidth="1" min="3" max="3"/>
    <col width="11" customWidth="1" min="4" max="4"/>
    <col width="9" customWidth="1" min="5" max="5"/>
    <col width="26" customWidth="1" min="6" max="6"/>
  </cols>
  <sheetData>
    <row r="1" ht="28" customHeight="1">
      <c r="A1" s="1" t="inlineStr">
        <is>
          <t>Biblioteca de plantillas</t>
        </is>
      </c>
    </row>
    <row r="2">
      <c r="A2" s="2" t="inlineStr">
        <is>
          <t>Copiá las columnas A a E de cualquier fila en la primera fila libre de Tareas. El ambiente tiene que coincidir con tu lista de Ajustes.</t>
        </is>
      </c>
    </row>
    <row r="4" ht="32" customHeight="1">
      <c r="A4" s="10" t="inlineStr">
        <is>
          <t>Tarea</t>
        </is>
      </c>
      <c r="B4" s="10" t="inlineStr">
        <is>
          <t>Ambiente / área</t>
        </is>
      </c>
      <c r="C4" s="10" t="inlineStr">
        <is>
          <t>Cada</t>
        </is>
      </c>
      <c r="D4" s="10" t="inlineStr">
        <is>
          <t>Unidad</t>
        </is>
      </c>
      <c r="E4" s="10" t="inlineStr">
        <is>
          <t>Minutos</t>
        </is>
      </c>
      <c r="F4" s="10" t="inlineStr">
        <is>
          <t>Pack</t>
        </is>
      </c>
    </row>
    <row r="5">
      <c r="A5" s="13" t="inlineStr">
        <is>
          <t>Lavar los guardapolvos / uniformes</t>
        </is>
      </c>
      <c r="B5" s="13" t="inlineStr">
        <is>
          <t>Chicos y familia</t>
        </is>
      </c>
      <c r="C5" s="11" t="n">
        <v>1</v>
      </c>
      <c r="D5" s="13" t="inlineStr">
        <is>
          <t>Semanas</t>
        </is>
      </c>
      <c r="E5" s="11" t="n">
        <v>15</v>
      </c>
      <c r="F5" s="13" t="inlineStr">
        <is>
          <t>Familia con chicos</t>
        </is>
      </c>
    </row>
    <row r="6">
      <c r="A6" s="13" t="inlineStr">
        <is>
          <t>Preparar mochilas y viandas</t>
        </is>
      </c>
      <c r="B6" s="13" t="inlineStr">
        <is>
          <t>Chicos y familia</t>
        </is>
      </c>
      <c r="C6" s="11" t="n">
        <v>1</v>
      </c>
      <c r="D6" s="13" t="inlineStr">
        <is>
          <t>Días</t>
        </is>
      </c>
      <c r="E6" s="11" t="n">
        <v>10</v>
      </c>
      <c r="F6" s="13" t="inlineStr">
        <is>
          <t>Familia con chicos</t>
        </is>
      </c>
    </row>
    <row r="7">
      <c r="A7" s="13" t="inlineStr">
        <is>
          <t>Guardar los juguetes</t>
        </is>
      </c>
      <c r="B7" s="13" t="inlineStr">
        <is>
          <t>Chicos y familia</t>
        </is>
      </c>
      <c r="C7" s="11" t="n">
        <v>1</v>
      </c>
      <c r="D7" s="13" t="inlineStr">
        <is>
          <t>Días</t>
        </is>
      </c>
      <c r="E7" s="11" t="n">
        <v>10</v>
      </c>
      <c r="F7" s="13" t="inlineStr">
        <is>
          <t>Familia con chicos</t>
        </is>
      </c>
    </row>
    <row r="8">
      <c r="A8" s="13" t="inlineStr">
        <is>
          <t>Higienizar juguetes</t>
        </is>
      </c>
      <c r="B8" s="13" t="inlineStr">
        <is>
          <t>Chicos y familia</t>
        </is>
      </c>
      <c r="C8" s="11" t="n">
        <v>1</v>
      </c>
      <c r="D8" s="13" t="inlineStr">
        <is>
          <t>Meses</t>
        </is>
      </c>
      <c r="E8" s="11" t="n">
        <v>20</v>
      </c>
      <c r="F8" s="13" t="inlineStr">
        <is>
          <t>Familia con chicos</t>
        </is>
      </c>
    </row>
    <row r="9">
      <c r="A9" s="13" t="inlineStr">
        <is>
          <t>Revisar talles de ropa de los chicos</t>
        </is>
      </c>
      <c r="B9" s="13" t="inlineStr">
        <is>
          <t>Chicos y familia</t>
        </is>
      </c>
      <c r="C9" s="11" t="n">
        <v>3</v>
      </c>
      <c r="D9" s="13" t="inlineStr">
        <is>
          <t>Meses</t>
        </is>
      </c>
      <c r="E9" s="11" t="n">
        <v>20</v>
      </c>
      <c r="F9" s="13" t="inlineStr">
        <is>
          <t>Familia con chicos</t>
        </is>
      </c>
    </row>
    <row r="10">
      <c r="A10" s="13" t="inlineStr">
        <is>
          <t>Limpiar la silla de comer</t>
        </is>
      </c>
      <c r="B10" s="13" t="inlineStr">
        <is>
          <t>Chicos y familia</t>
        </is>
      </c>
      <c r="C10" s="11" t="n">
        <v>1</v>
      </c>
      <c r="D10" s="13" t="inlineStr">
        <is>
          <t>Días</t>
        </is>
      </c>
      <c r="E10" s="11" t="n">
        <v>5</v>
      </c>
      <c r="F10" s="13" t="inlineStr">
        <is>
          <t>Familia con chicos</t>
        </is>
      </c>
    </row>
    <row r="11">
      <c r="A11" s="13" t="inlineStr">
        <is>
          <t>Lavar y esterilizar mamaderas</t>
        </is>
      </c>
      <c r="B11" s="13" t="inlineStr">
        <is>
          <t>Chicos y familia</t>
        </is>
      </c>
      <c r="C11" s="11" t="n">
        <v>1</v>
      </c>
      <c r="D11" s="13" t="inlineStr">
        <is>
          <t>Días</t>
        </is>
      </c>
      <c r="E11" s="11" t="n">
        <v>10</v>
      </c>
      <c r="F11" s="13" t="inlineStr">
        <is>
          <t>Familia con chicos</t>
        </is>
      </c>
    </row>
    <row r="12">
      <c r="A12" s="13" t="inlineStr">
        <is>
          <t>Reponer pañales y toallitas</t>
        </is>
      </c>
      <c r="B12" s="13" t="inlineStr">
        <is>
          <t>Chicos y familia</t>
        </is>
      </c>
      <c r="C12" s="11" t="n">
        <v>1</v>
      </c>
      <c r="D12" s="13" t="inlineStr">
        <is>
          <t>Semanas</t>
        </is>
      </c>
      <c r="E12" s="11" t="n">
        <v>5</v>
      </c>
      <c r="F12" s="13" t="inlineStr">
        <is>
          <t>Familia con chicos</t>
        </is>
      </c>
    </row>
    <row r="13">
      <c r="A13" s="13" t="inlineStr">
        <is>
          <t>Cambiar toda la arena del gato</t>
        </is>
      </c>
      <c r="B13" s="13" t="inlineStr">
        <is>
          <t>Mascotas</t>
        </is>
      </c>
      <c r="C13" s="11" t="n">
        <v>1</v>
      </c>
      <c r="D13" s="13" t="inlineStr">
        <is>
          <t>Semanas</t>
        </is>
      </c>
      <c r="E13" s="11" t="n">
        <v>15</v>
      </c>
      <c r="F13" s="13" t="inlineStr">
        <is>
          <t>Con mascotas</t>
        </is>
      </c>
    </row>
    <row r="14">
      <c r="A14" s="13" t="inlineStr">
        <is>
          <t>Aspirar pelos de mascota del sillón</t>
        </is>
      </c>
      <c r="B14" s="13" t="inlineStr">
        <is>
          <t>Mascotas</t>
        </is>
      </c>
      <c r="C14" s="11" t="n">
        <v>1</v>
      </c>
      <c r="D14" s="13" t="inlineStr">
        <is>
          <t>Semanas</t>
        </is>
      </c>
      <c r="E14" s="11" t="n">
        <v>10</v>
      </c>
      <c r="F14" s="13" t="inlineStr">
        <is>
          <t>Con mascotas</t>
        </is>
      </c>
    </row>
    <row r="15">
      <c r="A15" s="13" t="inlineStr">
        <is>
          <t>Pasear al perro</t>
        </is>
      </c>
      <c r="B15" s="13" t="inlineStr">
        <is>
          <t>Mascotas</t>
        </is>
      </c>
      <c r="C15" s="11" t="n">
        <v>1</v>
      </c>
      <c r="D15" s="13" t="inlineStr">
        <is>
          <t>Días</t>
        </is>
      </c>
      <c r="E15" s="11" t="n">
        <v>30</v>
      </c>
      <c r="F15" s="13" t="inlineStr">
        <is>
          <t>Con mascotas</t>
        </is>
      </c>
    </row>
    <row r="16">
      <c r="A16" s="13" t="inlineStr">
        <is>
          <t>Cortar las uñas de la mascota</t>
        </is>
      </c>
      <c r="B16" s="13" t="inlineStr">
        <is>
          <t>Mascotas</t>
        </is>
      </c>
      <c r="C16" s="11" t="n">
        <v>1</v>
      </c>
      <c r="D16" s="13" t="inlineStr">
        <is>
          <t>Meses</t>
        </is>
      </c>
      <c r="E16" s="11" t="n">
        <v>10</v>
      </c>
      <c r="F16" s="13" t="inlineStr">
        <is>
          <t>Con mascotas</t>
        </is>
      </c>
    </row>
    <row r="17">
      <c r="A17" s="13" t="inlineStr">
        <is>
          <t>Limpiar la pecera</t>
        </is>
      </c>
      <c r="B17" s="13" t="inlineStr">
        <is>
          <t>Mascotas</t>
        </is>
      </c>
      <c r="C17" s="11" t="n">
        <v>2</v>
      </c>
      <c r="D17" s="13" t="inlineStr">
        <is>
          <t>Semanas</t>
        </is>
      </c>
      <c r="E17" s="11" t="n">
        <v>20</v>
      </c>
      <c r="F17" s="13" t="inlineStr">
        <is>
          <t>Con mascotas</t>
        </is>
      </c>
    </row>
    <row r="18">
      <c r="A18" s="13" t="inlineStr">
        <is>
          <t>Cortar el pasto</t>
        </is>
      </c>
      <c r="B18" s="13" t="inlineStr">
        <is>
          <t>Auto y exterior</t>
        </is>
      </c>
      <c r="C18" s="11" t="n">
        <v>1</v>
      </c>
      <c r="D18" s="13" t="inlineStr">
        <is>
          <t>Semanas</t>
        </is>
      </c>
      <c r="E18" s="11" t="n">
        <v>45</v>
      </c>
      <c r="F18" s="13" t="inlineStr">
        <is>
          <t>Jardín y exterior</t>
        </is>
      </c>
    </row>
    <row r="19">
      <c r="A19" s="13" t="inlineStr">
        <is>
          <t>Limpiar canaletas</t>
        </is>
      </c>
      <c r="B19" s="13" t="inlineStr">
        <is>
          <t>Auto y exterior</t>
        </is>
      </c>
      <c r="C19" s="11" t="n">
        <v>6</v>
      </c>
      <c r="D19" s="13" t="inlineStr">
        <is>
          <t>Meses</t>
        </is>
      </c>
      <c r="E19" s="11" t="n">
        <v>45</v>
      </c>
      <c r="F19" s="13" t="inlineStr">
        <is>
          <t>Jardín y exterior</t>
        </is>
      </c>
    </row>
    <row r="20">
      <c r="A20" s="13" t="inlineStr">
        <is>
          <t>Limpiar la parrilla</t>
        </is>
      </c>
      <c r="B20" s="13" t="inlineStr">
        <is>
          <t>Auto y exterior</t>
        </is>
      </c>
      <c r="C20" s="11" t="n">
        <v>1</v>
      </c>
      <c r="D20" s="13" t="inlineStr">
        <is>
          <t>Meses</t>
        </is>
      </c>
      <c r="E20" s="11" t="n">
        <v>20</v>
      </c>
      <c r="F20" s="13" t="inlineStr">
        <is>
          <t>Jardín y exterior</t>
        </is>
      </c>
    </row>
    <row r="21">
      <c r="A21" s="13" t="inlineStr">
        <is>
          <t>Lavar los muebles de exterior</t>
        </is>
      </c>
      <c r="B21" s="13" t="inlineStr">
        <is>
          <t>Auto y exterior</t>
        </is>
      </c>
      <c r="C21" s="11" t="n">
        <v>3</v>
      </c>
      <c r="D21" s="13" t="inlineStr">
        <is>
          <t>Meses</t>
        </is>
      </c>
      <c r="E21" s="11" t="n">
        <v>30</v>
      </c>
      <c r="F21" s="13" t="inlineStr">
        <is>
          <t>Jardín y exterior</t>
        </is>
      </c>
    </row>
    <row r="22">
      <c r="A22" s="13" t="inlineStr">
        <is>
          <t>Sacar yuyos de los canteros</t>
        </is>
      </c>
      <c r="B22" s="13" t="inlineStr">
        <is>
          <t>Plantas y jardín</t>
        </is>
      </c>
      <c r="C22" s="11" t="n">
        <v>2</v>
      </c>
      <c r="D22" s="13" t="inlineStr">
        <is>
          <t>Semanas</t>
        </is>
      </c>
      <c r="E22" s="11" t="n">
        <v>30</v>
      </c>
      <c r="F22" s="13" t="inlineStr">
        <is>
          <t>Jardín y exterior</t>
        </is>
      </c>
    </row>
    <row r="23">
      <c r="A23" s="13" t="inlineStr">
        <is>
          <t>Limpiar la pileta de natación</t>
        </is>
      </c>
      <c r="B23" s="13" t="inlineStr">
        <is>
          <t>Auto y exterior</t>
        </is>
      </c>
      <c r="C23" s="11" t="n">
        <v>1</v>
      </c>
      <c r="D23" s="13" t="inlineStr">
        <is>
          <t>Semanas</t>
        </is>
      </c>
      <c r="E23" s="11" t="n">
        <v>30</v>
      </c>
      <c r="F23" s="13" t="inlineStr">
        <is>
          <t>Jardín y exterior</t>
        </is>
      </c>
    </row>
    <row r="24">
      <c r="A24" s="13" t="inlineStr">
        <is>
          <t>Regar el césped</t>
        </is>
      </c>
      <c r="B24" s="13" t="inlineStr">
        <is>
          <t>Plantas y jardín</t>
        </is>
      </c>
      <c r="C24" s="11" t="n">
        <v>2</v>
      </c>
      <c r="D24" s="13" t="inlineStr">
        <is>
          <t>Días</t>
        </is>
      </c>
      <c r="E24" s="11" t="n">
        <v>15</v>
      </c>
      <c r="F24" s="13" t="inlineStr">
        <is>
          <t>Jardín y exterior</t>
        </is>
      </c>
    </row>
    <row r="25">
      <c r="A25" s="13" t="inlineStr">
        <is>
          <t>Cambio de ropa de temporada</t>
        </is>
      </c>
      <c r="B25" s="13" t="inlineStr">
        <is>
          <t>Dormitorio</t>
        </is>
      </c>
      <c r="C25" s="11" t="n">
        <v>6</v>
      </c>
      <c r="D25" s="13" t="inlineStr">
        <is>
          <t>Meses</t>
        </is>
      </c>
      <c r="E25" s="11" t="n">
        <v>90</v>
      </c>
      <c r="F25" s="13" t="inlineStr">
        <is>
          <t>De temporada</t>
        </is>
      </c>
    </row>
    <row r="26">
      <c r="A26" s="13" t="inlineStr">
        <is>
          <t>Lavar camperas y frazadas</t>
        </is>
      </c>
      <c r="B26" s="13" t="inlineStr">
        <is>
          <t>Ropa</t>
        </is>
      </c>
      <c r="C26" s="11" t="n">
        <v>1</v>
      </c>
      <c r="D26" s="13" t="inlineStr">
        <is>
          <t>Años</t>
        </is>
      </c>
      <c r="E26" s="11" t="n">
        <v>60</v>
      </c>
      <c r="F26" s="13" t="inlineStr">
        <is>
          <t>De temporada</t>
        </is>
      </c>
    </row>
    <row r="27">
      <c r="A27" s="13" t="inlineStr">
        <is>
          <t>Limpieza profunda de alfombras</t>
        </is>
      </c>
      <c r="B27" s="13" t="inlineStr">
        <is>
          <t>Living</t>
        </is>
      </c>
      <c r="C27" s="11" t="n">
        <v>6</v>
      </c>
      <c r="D27" s="13" t="inlineStr">
        <is>
          <t>Meses</t>
        </is>
      </c>
      <c r="E27" s="11" t="n">
        <v>60</v>
      </c>
      <c r="F27" s="13" t="inlineStr">
        <is>
          <t>De temporada</t>
        </is>
      </c>
    </row>
    <row r="28">
      <c r="A28" s="13" t="inlineStr">
        <is>
          <t>Service de calefactor / calefón</t>
        </is>
      </c>
      <c r="B28" s="13" t="inlineStr">
        <is>
          <t>Toda la casa</t>
        </is>
      </c>
      <c r="C28" s="11" t="n">
        <v>1</v>
      </c>
      <c r="D28" s="13" t="inlineStr">
        <is>
          <t>Años</t>
        </is>
      </c>
      <c r="E28" s="11" t="n">
        <v>10</v>
      </c>
      <c r="F28" s="13" t="inlineStr">
        <is>
          <t>De temporada</t>
        </is>
      </c>
    </row>
    <row r="29">
      <c r="A29" s="13" t="inlineStr">
        <is>
          <t>Service del aire acondicionado</t>
        </is>
      </c>
      <c r="B29" s="13" t="inlineStr">
        <is>
          <t>Toda la casa</t>
        </is>
      </c>
      <c r="C29" s="11" t="n">
        <v>1</v>
      </c>
      <c r="D29" s="13" t="inlineStr">
        <is>
          <t>Años</t>
        </is>
      </c>
      <c r="E29" s="11" t="n">
        <v>10</v>
      </c>
      <c r="F29" s="13" t="inlineStr">
        <is>
          <t>De temporada</t>
        </is>
      </c>
    </row>
    <row r="30">
      <c r="A30" s="13" t="inlineStr">
        <is>
          <t>Limpiar detrás de la heladera y la cocina</t>
        </is>
      </c>
      <c r="B30" s="13" t="inlineStr">
        <is>
          <t>Cocina</t>
        </is>
      </c>
      <c r="C30" s="11" t="n">
        <v>6</v>
      </c>
      <c r="D30" s="13" t="inlineStr">
        <is>
          <t>Meses</t>
        </is>
      </c>
      <c r="E30" s="11" t="n">
        <v>30</v>
      </c>
      <c r="F30" s="13" t="inlineStr">
        <is>
          <t>De temporada</t>
        </is>
      </c>
    </row>
    <row r="31">
      <c r="A31" s="13" t="inlineStr">
        <is>
          <t>Lavar el cubrecolchón</t>
        </is>
      </c>
      <c r="B31" s="13" t="inlineStr">
        <is>
          <t>Dormitorio</t>
        </is>
      </c>
      <c r="C31" s="11" t="n">
        <v>3</v>
      </c>
      <c r="D31" s="13" t="inlineStr">
        <is>
          <t>Meses</t>
        </is>
      </c>
      <c r="E31" s="11" t="n">
        <v>10</v>
      </c>
      <c r="F31" s="13" t="inlineStr">
        <is>
          <t>De temporada</t>
        </is>
      </c>
    </row>
    <row r="32">
      <c r="A32" s="13" t="inlineStr">
        <is>
          <t>Limpiar zócalos</t>
        </is>
      </c>
      <c r="B32" s="13" t="inlineStr">
        <is>
          <t>Toda la casa</t>
        </is>
      </c>
      <c r="C32" s="11" t="n">
        <v>3</v>
      </c>
      <c r="D32" s="13" t="inlineStr">
        <is>
          <t>Meses</t>
        </is>
      </c>
      <c r="E32" s="11" t="n">
        <v>30</v>
      </c>
      <c r="F32" s="13" t="inlineStr">
        <is>
          <t>De temporada</t>
        </is>
      </c>
    </row>
    <row r="33">
      <c r="A33" s="13" t="inlineStr">
        <is>
          <t>Limpiar la campana y su filtro</t>
        </is>
      </c>
      <c r="B33" s="13" t="inlineStr">
        <is>
          <t>Cocina</t>
        </is>
      </c>
      <c r="C33" s="11" t="n">
        <v>2</v>
      </c>
      <c r="D33" s="13" t="inlineStr">
        <is>
          <t>Meses</t>
        </is>
      </c>
      <c r="E33" s="11" t="n">
        <v>20</v>
      </c>
      <c r="F33" s="13" t="inlineStr">
        <is>
          <t>De temporada</t>
        </is>
      </c>
    </row>
    <row r="34">
      <c r="A34" s="13" t="inlineStr">
        <is>
          <t>Lavar tachos de basura y reciclado</t>
        </is>
      </c>
      <c r="B34" s="13" t="inlineStr">
        <is>
          <t>Cocina</t>
        </is>
      </c>
      <c r="C34" s="11" t="n">
        <v>1</v>
      </c>
      <c r="D34" s="13" t="inlineStr">
        <is>
          <t>Meses</t>
        </is>
      </c>
      <c r="E34" s="11" t="n">
        <v>10</v>
      </c>
      <c r="F34" s="13" t="inlineStr">
        <is>
          <t>De temporada</t>
        </is>
      </c>
    </row>
    <row r="35">
      <c r="A35" s="13" t="inlineStr">
        <is>
          <t>Humedecer helechos y plantas tropicales</t>
        </is>
      </c>
      <c r="B35" s="13" t="inlineStr">
        <is>
          <t>Plantas y jardín</t>
        </is>
      </c>
      <c r="C35" s="11" t="n">
        <v>2</v>
      </c>
      <c r="D35" s="13" t="inlineStr">
        <is>
          <t>Días</t>
        </is>
      </c>
      <c r="E35" s="11" t="n">
        <v>5</v>
      </c>
      <c r="F35" s="13" t="inlineStr">
        <is>
          <t>Amante de las plantas</t>
        </is>
      </c>
    </row>
    <row r="36">
      <c r="A36" s="13" t="inlineStr">
        <is>
          <t>Girar las plantas hacia la luz</t>
        </is>
      </c>
      <c r="B36" s="13" t="inlineStr">
        <is>
          <t>Plantas y jardín</t>
        </is>
      </c>
      <c r="C36" s="11" t="n">
        <v>1</v>
      </c>
      <c r="D36" s="13" t="inlineStr">
        <is>
          <t>Semanas</t>
        </is>
      </c>
      <c r="E36" s="11" t="n">
        <v>5</v>
      </c>
      <c r="F36" s="13" t="inlineStr">
        <is>
          <t>Amante de las plantas</t>
        </is>
      </c>
    </row>
    <row r="37">
      <c r="A37" s="13" t="inlineStr">
        <is>
          <t>Cambiar el agua de los gajos</t>
        </is>
      </c>
      <c r="B37" s="13" t="inlineStr">
        <is>
          <t>Plantas y jardín</t>
        </is>
      </c>
      <c r="C37" s="11" t="n">
        <v>1</v>
      </c>
      <c r="D37" s="13" t="inlineStr">
        <is>
          <t>Semanas</t>
        </is>
      </c>
      <c r="E37" s="11" t="n">
        <v>5</v>
      </c>
      <c r="F37" s="13" t="inlineStr">
        <is>
          <t>Amante de las plantas</t>
        </is>
      </c>
    </row>
    <row r="38">
      <c r="A38" s="13" t="inlineStr">
        <is>
          <t>Lavar el sustrato</t>
        </is>
      </c>
      <c r="B38" s="13" t="inlineStr">
        <is>
          <t>Plantas y jardín</t>
        </is>
      </c>
      <c r="C38" s="11" t="n">
        <v>3</v>
      </c>
      <c r="D38" s="13" t="inlineStr">
        <is>
          <t>Meses</t>
        </is>
      </c>
      <c r="E38" s="11" t="n">
        <v>15</v>
      </c>
      <c r="F38" s="13" t="inlineStr">
        <is>
          <t>Amante de las plantas</t>
        </is>
      </c>
    </row>
    <row r="39">
      <c r="A39" s="13" t="inlineStr">
        <is>
          <t>Limpiar macetas y platos</t>
        </is>
      </c>
      <c r="B39" s="13" t="inlineStr">
        <is>
          <t>Plantas y jardín</t>
        </is>
      </c>
      <c r="C39" s="11" t="n">
        <v>3</v>
      </c>
      <c r="D39" s="13" t="inlineStr">
        <is>
          <t>Meses</t>
        </is>
      </c>
      <c r="E39" s="11" t="n">
        <v>15</v>
      </c>
      <c r="F39" s="13" t="inlineStr">
        <is>
          <t>Amante de las plantas</t>
        </is>
      </c>
    </row>
    <row r="40">
      <c r="A40" s="13" t="inlineStr">
        <is>
          <t>Desarmar una caja por día</t>
        </is>
      </c>
      <c r="B40" s="13" t="inlineStr">
        <is>
          <t>Toda la casa</t>
        </is>
      </c>
      <c r="C40" s="11" t="n">
        <v>1</v>
      </c>
      <c r="D40" s="13" t="inlineStr">
        <is>
          <t>Días</t>
        </is>
      </c>
      <c r="E40" s="11" t="n">
        <v>20</v>
      </c>
      <c r="F40" s="13" t="inlineStr">
        <is>
          <t>Mudanza</t>
        </is>
      </c>
    </row>
    <row r="41">
      <c r="A41" s="13" t="inlineStr">
        <is>
          <t>Duplicar llaves</t>
        </is>
      </c>
      <c r="B41" s="13" t="inlineStr">
        <is>
          <t>Trámites y compras</t>
        </is>
      </c>
      <c r="C41" s="11" t="n">
        <v>1</v>
      </c>
      <c r="D41" s="13" t="inlineStr">
        <is>
          <t>Años</t>
        </is>
      </c>
      <c r="E41" s="11" t="n">
        <v>10</v>
      </c>
      <c r="F41" s="13" t="inlineStr">
        <is>
          <t>Mudanza</t>
        </is>
      </c>
    </row>
    <row r="42">
      <c r="A42" s="13" t="inlineStr">
        <is>
          <t>Actualizar domicilio en banco y servicios</t>
        </is>
      </c>
      <c r="B42" s="13" t="inlineStr">
        <is>
          <t>Trámites y compras</t>
        </is>
      </c>
      <c r="C42" s="11" t="n">
        <v>1</v>
      </c>
      <c r="D42" s="13" t="inlineStr">
        <is>
          <t>Años</t>
        </is>
      </c>
      <c r="E42" s="11" t="n">
        <v>30</v>
      </c>
      <c r="F42" s="13" t="inlineStr">
        <is>
          <t>Mudanza</t>
        </is>
      </c>
    </row>
    <row r="43">
      <c r="A43" s="13" t="inlineStr">
        <is>
          <t>Limpieza a fondo antes de mudarse</t>
        </is>
      </c>
      <c r="B43" s="13" t="inlineStr">
        <is>
          <t>Toda la casa</t>
        </is>
      </c>
      <c r="C43" s="11" t="n">
        <v>1</v>
      </c>
      <c r="D43" s="13" t="inlineStr">
        <is>
          <t>Años</t>
        </is>
      </c>
      <c r="E43" s="11" t="n">
        <v>180</v>
      </c>
      <c r="F43" s="13" t="inlineStr">
        <is>
          <t>Mudanza</t>
        </is>
      </c>
    </row>
    <row r="44">
      <c r="A44" s="13" t="inlineStr">
        <is>
          <t>Limpiar escritorio y teclado</t>
        </is>
      </c>
      <c r="B44" s="13" t="inlineStr">
        <is>
          <t>Otros</t>
        </is>
      </c>
      <c r="C44" s="11" t="n">
        <v>1</v>
      </c>
      <c r="D44" s="13" t="inlineStr">
        <is>
          <t>Semanas</t>
        </is>
      </c>
      <c r="E44" s="11" t="n">
        <v>5</v>
      </c>
      <c r="F44" s="13" t="inlineStr">
        <is>
          <t>Estudiante / monoambiente</t>
        </is>
      </c>
    </row>
    <row r="45">
      <c r="A45" s="13" t="inlineStr">
        <is>
          <t>Lavar lo de la cocina compartida</t>
        </is>
      </c>
      <c r="B45" s="13" t="inlineStr">
        <is>
          <t>Cocina</t>
        </is>
      </c>
      <c r="C45" s="11" t="n">
        <v>1</v>
      </c>
      <c r="D45" s="13" t="inlineStr">
        <is>
          <t>Días</t>
        </is>
      </c>
      <c r="E45" s="11" t="n">
        <v>10</v>
      </c>
      <c r="F45" s="13" t="inlineStr">
        <is>
          <t>Estudiante / monoambiente</t>
        </is>
      </c>
    </row>
    <row r="46">
      <c r="A46" s="13" t="inlineStr">
        <is>
          <t>Día de lavado (todo junto)</t>
        </is>
      </c>
      <c r="B46" s="13" t="inlineStr">
        <is>
          <t>Ropa</t>
        </is>
      </c>
      <c r="C46" s="11" t="n">
        <v>1</v>
      </c>
      <c r="D46" s="13" t="inlineStr">
        <is>
          <t>Semanas</t>
        </is>
      </c>
      <c r="E46" s="11" t="n">
        <v>45</v>
      </c>
      <c r="F46" s="13" t="inlineStr">
        <is>
          <t>Estudiante / monoambiente</t>
        </is>
      </c>
    </row>
    <row r="47">
      <c r="A47" s="13" t="inlineStr">
        <is>
          <t>Ordenar escritorio y descargas de la compu</t>
        </is>
      </c>
      <c r="B47" s="13" t="inlineStr">
        <is>
          <t>Otros</t>
        </is>
      </c>
      <c r="C47" s="11" t="n">
        <v>1</v>
      </c>
      <c r="D47" s="13" t="inlineStr">
        <is>
          <t>Meses</t>
        </is>
      </c>
      <c r="E47" s="11" t="n">
        <v>15</v>
      </c>
      <c r="F47" s="13" t="inlineStr">
        <is>
          <t>Estudiante / monoambiente</t>
        </is>
      </c>
    </row>
    <row r="48">
      <c r="A48" s="13" t="inlineStr">
        <is>
          <t>Limpiar teclado, celular y pantallas</t>
        </is>
      </c>
      <c r="B48" s="13" t="inlineStr">
        <is>
          <t>Otros</t>
        </is>
      </c>
      <c r="C48" s="11" t="n">
        <v>2</v>
      </c>
      <c r="D48" s="13" t="inlineStr">
        <is>
          <t>Semanas</t>
        </is>
      </c>
      <c r="E48" s="11" t="n">
        <v>5</v>
      </c>
      <c r="F48" s="13" t="inlineStr">
        <is>
          <t>Estudiante / monoambiente</t>
        </is>
      </c>
    </row>
    <row r="49">
      <c r="A49" s="13" t="inlineStr">
        <is>
          <t>Cocinar para toda la semana</t>
        </is>
      </c>
      <c r="B49" s="13" t="inlineStr">
        <is>
          <t>Cocina</t>
        </is>
      </c>
      <c r="C49" s="11" t="n">
        <v>1</v>
      </c>
      <c r="D49" s="13" t="inlineStr">
        <is>
          <t>Semanas</t>
        </is>
      </c>
      <c r="E49" s="11" t="n">
        <v>90</v>
      </c>
      <c r="F49" s="13" t="inlineStr">
        <is>
          <t>Estudiante / monoambiente</t>
        </is>
      </c>
    </row>
  </sheetData>
  <autoFilter ref="A4:F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tabSelected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" customWidth="1" min="3" max="3"/>
    <col width="22" customWidth="1" min="4" max="4"/>
    <col width="3" customWidth="1" min="5" max="5"/>
    <col width="24" customWidth="1" min="6" max="6"/>
    <col width="3" customWidth="1" min="7" max="7"/>
    <col width="12" customWidth="1" min="8" max="8"/>
    <col width="10" customWidth="1" min="9" max="9"/>
    <col width="3" customWidth="1" min="10" max="10"/>
    <col width="10" customWidth="1" min="11" max="11"/>
    <col width="3" customWidth="1" min="12" max="12"/>
  </cols>
  <sheetData>
    <row r="1" ht="28" customHeight="1">
      <c r="A1" s="1" t="inlineStr">
        <is>
          <t>Ajustes</t>
        </is>
      </c>
    </row>
    <row r="2">
      <c r="A2" s="2" t="inlineStr">
        <is>
          <t>Amarillo = para editar. Las tablas grises las usan las fórmulas, dejalas como están.</t>
        </is>
      </c>
    </row>
    <row r="4" ht="32" customHeight="1">
      <c r="A4" s="10" t="inlineStr">
        <is>
          <t>Ajuste</t>
        </is>
      </c>
      <c r="B4" s="10" t="inlineStr">
        <is>
          <t>Valor</t>
        </is>
      </c>
      <c r="D4" s="10" t="inlineStr">
        <is>
          <t>Personas en la casa</t>
        </is>
      </c>
      <c r="F4" s="10" t="inlineStr">
        <is>
          <t>Ambientes / áreas</t>
        </is>
      </c>
      <c r="H4" s="10" t="inlineStr">
        <is>
          <t>Unidad</t>
        </is>
      </c>
      <c r="I4" s="10" t="inlineStr">
        <is>
          <t>Días</t>
        </is>
      </c>
      <c r="K4" s="10" t="inlineStr">
        <is>
          <t>Activa</t>
        </is>
      </c>
    </row>
    <row r="5">
      <c r="A5" s="7" t="inlineStr">
        <is>
          <t>Fecha de inicio (el día que empezás)</t>
        </is>
      </c>
      <c r="B5" s="39" t="n"/>
      <c r="D5" s="40" t="inlineStr">
        <is>
          <t>Todos</t>
        </is>
      </c>
      <c r="F5" s="6" t="inlineStr">
        <is>
          <t>Cocina</t>
        </is>
      </c>
      <c r="H5" s="40" t="inlineStr">
        <is>
          <t>Días</t>
        </is>
      </c>
      <c r="I5" s="41" t="n">
        <v>1</v>
      </c>
      <c r="K5" s="40" t="inlineStr">
        <is>
          <t>Sí</t>
        </is>
      </c>
    </row>
    <row r="6">
      <c r="A6" s="7" t="inlineStr">
        <is>
          <t>Hoy</t>
        </is>
      </c>
      <c r="B6" s="42">
        <f>TODAY()</f>
        <v/>
      </c>
      <c r="D6" s="6" t="inlineStr">
        <is>
          <t>Persona 1</t>
        </is>
      </c>
      <c r="F6" s="6" t="inlineStr">
        <is>
          <t>Baño</t>
        </is>
      </c>
      <c r="H6" s="40" t="inlineStr">
        <is>
          <t>Semanas</t>
        </is>
      </c>
      <c r="I6" s="41" t="n">
        <v>7</v>
      </c>
      <c r="K6" s="40" t="inlineStr">
        <is>
          <t>No</t>
        </is>
      </c>
    </row>
    <row r="7" ht="40" customHeight="1">
      <c r="A7" s="43" t="inlineStr">
        <is>
          <t>Si dejás vacía la fecha de inicio se usa hoy. Escribí una fecha fija para que las tareas nuevas no se muevan.</t>
        </is>
      </c>
      <c r="D7" s="6" t="inlineStr">
        <is>
          <t>Persona 2</t>
        </is>
      </c>
      <c r="F7" s="6" t="inlineStr">
        <is>
          <t>Dormitorio</t>
        </is>
      </c>
      <c r="H7" s="40" t="inlineStr">
        <is>
          <t>Meses</t>
        </is>
      </c>
      <c r="I7" s="41" t="n">
        <v>30</v>
      </c>
    </row>
    <row r="8">
      <c r="D8" s="6" t="inlineStr">
        <is>
          <t>Persona 3</t>
        </is>
      </c>
      <c r="F8" s="6" t="inlineStr">
        <is>
          <t>Living</t>
        </is>
      </c>
      <c r="H8" s="40" t="inlineStr">
        <is>
          <t>Años</t>
        </is>
      </c>
      <c r="I8" s="41" t="n">
        <v>365</v>
      </c>
    </row>
    <row r="9">
      <c r="D9" s="6" t="inlineStr">
        <is>
          <t>Persona 4</t>
        </is>
      </c>
      <c r="F9" s="6" t="inlineStr">
        <is>
          <t>Ropa</t>
        </is>
      </c>
    </row>
    <row r="10">
      <c r="D10" s="6" t="n"/>
      <c r="F10" s="6" t="inlineStr">
        <is>
          <t>Plantas y jardín</t>
        </is>
      </c>
    </row>
    <row r="11">
      <c r="D11" s="6" t="n"/>
      <c r="F11" s="6" t="inlineStr">
        <is>
          <t>Mascotas</t>
        </is>
      </c>
    </row>
    <row r="12">
      <c r="F12" s="6" t="inlineStr">
        <is>
          <t>Toda la casa</t>
        </is>
      </c>
    </row>
    <row r="13">
      <c r="F13" s="6" t="inlineStr">
        <is>
          <t>Trámites y compras</t>
        </is>
      </c>
    </row>
    <row r="14">
      <c r="F14" s="6" t="inlineStr">
        <is>
          <t>Chicos y familia</t>
        </is>
      </c>
    </row>
    <row r="15">
      <c r="F15" s="6" t="inlineStr">
        <is>
          <t>Auto y exterior</t>
        </is>
      </c>
    </row>
    <row r="16">
      <c r="F16" s="6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2026-10-26T17:53:42Z</dcterms:created>
  <dcterms:modified xmlns:dcterms="http://purl.org/dc/terms/" xmlns:xsi="http://www.w3.org/2001/XMLSchema-instance" xsi:type="dcterms:W3CDTF">2026-10-26T17:53:43Z</dcterms:modified>
</cp:coreProperties>
</file>