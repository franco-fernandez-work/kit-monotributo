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icio" sheetId="1" state="visible" r:id="rId1"/>
    <sheet xmlns:r="http://schemas.openxmlformats.org/officeDocument/2006/relationships" name="Perfil" sheetId="2" state="visible" r:id="rId2"/>
    <sheet xmlns:r="http://schemas.openxmlformats.org/officeDocument/2006/relationships" name="Registro" sheetId="3" state="visible" r:id="rId3"/>
    <sheet xmlns:r="http://schemas.openxmlformats.org/officeDocument/2006/relationships" name="Equipo" sheetId="4" state="visible" r:id="rId4"/>
    <sheet xmlns:r="http://schemas.openxmlformats.org/officeDocument/2006/relationships" name="Resumen" sheetId="5" state="visible" r:id="rId5"/>
    <sheet xmlns:r="http://schemas.openxmlformats.org/officeDocument/2006/relationships" name="Ajustes"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yyyy-mm-dd"/>
    <numFmt numFmtId="166" formatCode="+0.0#;-0.0#;0"/>
    <numFmt numFmtId="167" formatCode="0.0#;-0.0#;–"/>
    <numFmt numFmtId="168" formatCode="#,##0.00;-#,##0.00;&quot;–&quot;"/>
    <numFmt numFmtId="169" formatCode="0.0#;-0.0#;0"/>
  </numFmts>
  <fonts count="14">
    <font>
      <name val="Calibri"/>
      <family val="2"/>
      <color theme="1"/>
      <sz val="11"/>
      <scheme val="minor"/>
    </font>
    <font>
      <name val="Calibri"/>
      <b val="1"/>
      <color rgb="0017324D"/>
      <sz val="18"/>
    </font>
    <font>
      <name val="Calibri"/>
      <i val="1"/>
      <color rgb="005B6570"/>
    </font>
    <font>
      <name val="Calibri"/>
      <b val="1"/>
      <color rgb="000F7B6C"/>
      <sz val="12"/>
    </font>
    <font>
      <name val="Calibri"/>
      <sz val="11"/>
    </font>
    <font>
      <name val="Calibri"/>
      <b val="1"/>
      <color rgb="00FFFFFF"/>
    </font>
    <font>
      <name val="Calibri"/>
    </font>
    <font>
      <name val="Calibri"/>
      <b val="1"/>
      <color rgb="0017324D"/>
    </font>
    <font>
      <name val="Calibri"/>
      <i val="1"/>
      <color rgb="00888888"/>
    </font>
    <font>
      <name val="Calibri"/>
      <color rgb="00AAAAAA"/>
      <sz val="8"/>
    </font>
    <font>
      <name val="Calibri"/>
      <b val="1"/>
    </font>
    <font>
      <name val="Calibri"/>
      <b val="1"/>
      <color rgb="0017324D"/>
      <sz val="13"/>
    </font>
    <font>
      <name val="Calibri"/>
      <color rgb="0017324D"/>
    </font>
    <font>
      <name val="Calibri"/>
      <b val="1"/>
      <color rgb="000F7B6C"/>
      <sz val="13"/>
    </font>
  </fonts>
  <fills count="5">
    <fill>
      <patternFill/>
    </fill>
    <fill>
      <patternFill patternType="gray125"/>
    </fill>
    <fill>
      <patternFill patternType="solid">
        <fgColor rgb="0017324D"/>
      </patternFill>
    </fill>
    <fill>
      <patternFill patternType="solid">
        <fgColor rgb="00FFF4CC"/>
      </patternFill>
    </fill>
    <fill>
      <patternFill patternType="solid">
        <fgColor rgb="00E3F2EE"/>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7" fillId="0" borderId="0" pivotButton="0" quotePrefix="0" xfId="0"/>
    <xf numFmtId="0" fontId="11" fillId="3" borderId="1" pivotButton="0" quotePrefix="0" xfId="0"/>
    <xf numFmtId="0" fontId="12" fillId="0" borderId="0" pivotButton="0" quotePrefix="0" xfId="0"/>
    <xf numFmtId="168" fontId="6" fillId="4" borderId="1" applyAlignment="1" pivotButton="0" quotePrefix="0" xfId="0">
      <alignment horizontal="right"/>
    </xf>
    <xf numFmtId="169" fontId="6" fillId="4" borderId="1" pivotButton="0" quotePrefix="0" xfId="0"/>
    <xf numFmtId="169" fontId="10" fillId="4" borderId="1" pivotButton="0" quotePrefix="0" xfId="0"/>
    <xf numFmtId="166" fontId="10" fillId="4" borderId="1" applyAlignment="1" pivotButton="0" quotePrefix="0" xfId="0">
      <alignment horizontal="right"/>
    </xf>
    <xf numFmtId="1" fontId="6" fillId="4" borderId="1" pivotButton="0" quotePrefix="0" xfId="0"/>
    <xf numFmtId="164" fontId="6" fillId="4" borderId="1" applyAlignment="1" pivotButton="0" quotePrefix="0" xfId="0">
      <alignment horizontal="right"/>
    </xf>
    <xf numFmtId="0" fontId="13" fillId="0" borderId="0" pivotButton="0" quotePrefix="0" xfId="0"/>
    <xf numFmtId="0" fontId="5" fillId="2" borderId="1" applyAlignment="1" pivotButton="0" quotePrefix="0" xfId="0">
      <alignment horizontal="center" vertical="center" wrapText="1"/>
    </xf>
    <xf numFmtId="165" fontId="6" fillId="4" borderId="1" pivotButton="0" quotePrefix="0" xfId="0"/>
    <xf numFmtId="0" fontId="6" fillId="4" borderId="1" pivotButton="0" quotePrefix="0" xfId="0"/>
    <xf numFmtId="164" fontId="6" fillId="4" borderId="1" pivotButton="0" quotePrefix="0" xfId="0"/>
    <xf numFmtId="166" fontId="6" fillId="4" borderId="1" pivotButton="0" quotePrefix="0" xfId="0"/>
    <xf numFmtId="166" fontId="10" fillId="4" borderId="1" pivotButton="0" quotePrefix="0" xfId="0"/>
    <xf numFmtId="0" fontId="8" fillId="0" borderId="0" pivotButton="0" quotePrefix="0" xfId="0"/>
    <xf numFmtId="165" fontId="6" fillId="3" borderId="1" pivotButton="0" quotePrefix="0" xfId="0"/>
    <xf numFmtId="0" fontId="6" fillId="3" borderId="1" pivotButton="0" quotePrefix="0" xfId="0"/>
    <xf numFmtId="164" fontId="6" fillId="3" borderId="1" pivotButton="0" quotePrefix="0" xfId="0"/>
    <xf numFmtId="167" fontId="6" fillId="4" borderId="1" pivotButton="0" quotePrefix="0" xfId="0"/>
    <xf numFmtId="0" fontId="9" fillId="0" borderId="0" pivotButton="0" quotePrefix="0" xfId="0"/>
    <xf numFmtId="1" fontId="6" fillId="3" borderId="1" pivotButton="0" quotePrefix="0" xfId="0"/>
    <xf numFmtId="0" fontId="10" fillId="4" borderId="1" pivotButton="0" quotePrefix="0" xfId="0"/>
    <xf numFmtId="168" fontId="6" fillId="4" borderId="1" pivotButton="0" quotePrefix="0" xfId="0"/>
    <xf numFmtId="0" fontId="6" fillId="4" borderId="1" applyAlignment="1" pivotButton="0" quotePrefix="0" xfId="0">
      <alignment horizontal="center"/>
    </xf>
  </cellXfs>
  <cellStyles count="1">
    <cellStyle name="Normal" xfId="0" builtinId="0" hidden="0"/>
  </cellStyles>
  <dxfs count="3">
    <dxf>
      <font>
        <b val="1"/>
        <color rgb="00C0392B"/>
      </font>
    </dxf>
    <dxf>
      <font>
        <color rgb="00C0392B"/>
      </font>
    </dxf>
    <dxf>
      <font>
        <b val="1"/>
        <color rgb="000F7B6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Saldo a tomar (horas)</a:t>
            </a:r>
          </a:p>
        </rich>
      </tx>
    </title>
    <plotArea>
      <barChart>
        <barDir val="bar"/>
        <grouping val="clustered"/>
        <ser>
          <idx val="0"/>
          <order val="0"/>
          <tx>
            <strRef>
              <f>'Resumen'!E4</f>
            </strRef>
          </tx>
          <spPr>
            <a:solidFill xmlns:a="http://schemas.openxmlformats.org/drawingml/2006/main">
              <a:srgbClr val="0F7B6C"/>
            </a:solidFill>
            <a:ln xmlns:a="http://schemas.openxmlformats.org/drawingml/2006/main">
              <a:prstDash val="solid"/>
            </a:ln>
          </spPr>
          <cat>
            <numRef>
              <f>'Resumen'!$A$5:$A$16</f>
            </numRef>
          </cat>
          <val>
            <numRef>
              <f>'Resumen'!$E$5:$E$16</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31</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F7B6C"/>
    <outlinePr summaryBelow="1" summaryRight="1"/>
    <pageSetUpPr fitToPage="1"/>
  </sheetPr>
  <dimension ref="A1:A19"/>
  <sheetViews>
    <sheetView showGridLines="0" workbookViewId="0">
      <selection activeCell="A1" sqref="A1"/>
    </sheetView>
  </sheetViews>
  <sheetFormatPr baseColWidth="8" defaultRowHeight="15"/>
  <cols>
    <col width="112" customWidth="1" min="1" max="1"/>
  </cols>
  <sheetData>
    <row r="1" ht="28" customHeight="1">
      <c r="A1" s="1" t="inlineStr">
        <is>
          <t>Control de Horas Extra y Francos</t>
        </is>
      </c>
    </row>
    <row r="2">
      <c r="A2" s="2" t="inlineStr">
        <is>
          <t>Registrá las horas extra, mirá el saldo de francos a tomar de cada persona y mantenelo separado de las vacaciones oficiales. Funciona en Excel y Google Sheets.</t>
        </is>
      </c>
    </row>
    <row r="4">
      <c r="A4" s="3" t="inlineStr">
        <is>
          <t>CÓMO USARLA</t>
        </is>
      </c>
    </row>
    <row r="5" ht="32" customHeight="1">
      <c r="A5" s="4" t="inlineStr">
        <is>
          <t>1. Equipo: cargá a tu gente (hasta 25). Para cada persona definí cuántas horas dura su jornada, un saldo inicial si ya tiene horas acumuladas y sus días de vacaciones por año.</t>
        </is>
      </c>
    </row>
    <row r="6" ht="48" customHeight="1">
      <c r="A6" s="4" t="inlineStr">
        <is>
          <t>2. Registro: una fila por cada hecho. Elegí la fecha, la persona y el tipo, y escribí las horas (por ejemplo 3 horas extra). Los francos se pueden cargar en horas, en días o ambos. Dejá vacía la celda que no uses.</t>
        </is>
      </c>
    </row>
    <row r="7" ht="32" customHeight="1">
      <c r="A7" s="4" t="inlineStr">
        <is>
          <t>3. Perfil: elegí una persona y mirá su saldo en horas y en días, cuántas vacaciones le quedan y cada movimiento con el saldo acumulado.</t>
        </is>
      </c>
    </row>
    <row r="8" ht="16" customHeight="1">
      <c r="A8" s="4" t="inlineStr">
        <is>
          <t>4. Resumen: todo el equipo de un vistazo, con un gráfico. No hay nada que escribir.</t>
        </is>
      </c>
    </row>
    <row r="9" ht="32" customHeight="1">
      <c r="A9" s="4" t="inlineStr">
        <is>
          <t>5. Ajustes: podés renombrar los tipos y definir un coeficiente por tipo (1 = una hora por hora; 1,5 = cada hora trabajada cuenta como 1,5 horas de franco).</t>
        </is>
      </c>
    </row>
    <row r="11">
      <c r="A11" s="3" t="inlineStr">
        <is>
          <t>CÓMO SE CALCULA EL SALDO</t>
        </is>
      </c>
    </row>
    <row r="12" ht="32" customHeight="1">
      <c r="A12" s="4" t="inlineStr">
        <is>
          <t>Saldo = saldo inicial + horas extra acreditadas - francos tomados. Las 'Vacaciones / licencia oficial' nunca tocan ese saldo: se cuentan aparte contra los días anuales de vacaciones.</t>
        </is>
      </c>
    </row>
    <row r="13" ht="32" customHeight="1">
      <c r="A13" s="4" t="inlineStr">
        <is>
          <t>Los 'días' son el saldo dividido por la jornada de la persona: 8 horas extra con jornada de 8 horas = 1 franco para tomar.</t>
        </is>
      </c>
    </row>
    <row r="15">
      <c r="A15" s="3" t="inlineStr">
        <is>
          <t>COLORES</t>
        </is>
      </c>
    </row>
    <row r="16" ht="16" customHeight="1">
      <c r="A16" s="4" t="inlineStr">
        <is>
          <t>Las celdas amarillas las completás vos. Las verdes se calculan solas, no las pises.</t>
        </is>
      </c>
    </row>
    <row r="18">
      <c r="A18" s="3" t="inlineStr">
        <is>
          <t>AVISO</t>
        </is>
      </c>
    </row>
    <row r="19" ht="48" customHeight="1">
      <c r="A19" s="4" t="inlineStr">
        <is>
          <t>Herramienta de registro. No aplica ninguna ley, convenio ni política de la empresa y no es asesoramiento legal ni de recursos humanos: verificá tus propias reglas sobre cómo se pagan o compensan las horas extra. Para uso personal o interno del equipo; no se permite su reventa ni redistribución.</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56"/>
  <sheetViews>
    <sheetView showGridLines="0" workbookViewId="0">
      <pane ySplit="15" topLeftCell="A16" activePane="bottomLeft" state="frozen"/>
      <selection pane="bottomLeft" activeCell="A1" sqref="A1"/>
    </sheetView>
  </sheetViews>
  <sheetFormatPr baseColWidth="8" defaultRowHeight="15"/>
  <cols>
    <col width="26" customWidth="1" min="1" max="1"/>
    <col width="30" customWidth="1" min="2" max="2"/>
    <col width="12" customWidth="1" min="3" max="3"/>
    <col width="12" customWidth="1" min="4" max="4"/>
    <col width="14" customWidth="1" min="5" max="5"/>
    <col width="16" customWidth="1" min="6" max="6"/>
    <col width="34" customWidth="1" min="7" max="7"/>
  </cols>
  <sheetData>
    <row r="1" ht="28" customHeight="1">
      <c r="A1" s="1" t="inlineStr">
        <is>
          <t>Perfil</t>
        </is>
      </c>
    </row>
    <row r="2">
      <c r="A2" s="2" t="inlineStr">
        <is>
          <t>Elegí una persona para ver su saldo e historial.</t>
        </is>
      </c>
    </row>
    <row r="3">
      <c r="A3" s="5" t="inlineStr">
        <is>
          <t>Persona</t>
        </is>
      </c>
      <c r="B3" s="6" t="inlineStr">
        <is>
          <t>Lucía Fernández</t>
        </is>
      </c>
    </row>
    <row r="5">
      <c r="A5" s="3" t="inlineStr">
        <is>
          <t>FRANCOS COMPENSATORIOS</t>
        </is>
      </c>
      <c r="D5" s="3" t="inlineStr">
        <is>
          <t>VACACIONES OFICIALES (APARTE)</t>
        </is>
      </c>
    </row>
    <row r="6">
      <c r="A6" s="7" t="inlineStr">
        <is>
          <t>Horas extra acreditadas</t>
        </is>
      </c>
      <c r="B6" s="8">
        <f>IFERROR(INDEX('Resumen'!$B$5:$B$29,MATCH($B$3,'Resumen'!$A$5:$A$29,0)),"")</f>
        <v/>
      </c>
      <c r="D6" s="5" t="inlineStr">
        <is>
          <t>Corresponden (días)</t>
        </is>
      </c>
      <c r="F6" s="9">
        <f>IFERROR(INDEX('Equipo'!$D$5:$D$29,MATCH($B$3,'Equipo'!$A$5:$A$29,0)),"")</f>
        <v/>
      </c>
    </row>
    <row r="7">
      <c r="A7" s="7" t="inlineStr">
        <is>
          <t>Francos tomados (h)</t>
        </is>
      </c>
      <c r="B7" s="8">
        <f>IFERROR(INDEX('Resumen'!$C$5:$C$29,MATCH($B$3,'Resumen'!$A$5:$A$29,0)),"")</f>
        <v/>
      </c>
      <c r="D7" s="5" t="inlineStr">
        <is>
          <t>Usados este año (días)</t>
        </is>
      </c>
      <c r="F7" s="9">
        <f>IFERROR(INDEX('Resumen'!$G$5:$G$29,MATCH($B$3,'Resumen'!$A$5:$A$29,0)),"")</f>
        <v/>
      </c>
    </row>
    <row r="8">
      <c r="A8" s="7" t="inlineStr">
        <is>
          <t>Saldo inicial (h)</t>
        </is>
      </c>
      <c r="B8" s="8">
        <f>IFERROR(INDEX('Resumen'!$D$5:$D$29,MATCH($B$3,'Resumen'!$A$5:$A$29,0)),"")</f>
        <v/>
      </c>
      <c r="D8" s="5" t="inlineStr">
        <is>
          <t>Quedan (días)</t>
        </is>
      </c>
      <c r="F8" s="10">
        <f>IFERROR(INDEX('Resumen'!$H$5:$H$29,MATCH($B$3,'Resumen'!$A$5:$A$29,0)),"")</f>
        <v/>
      </c>
    </row>
    <row r="9">
      <c r="A9" s="5" t="inlineStr">
        <is>
          <t>SALDO (horas)</t>
        </is>
      </c>
      <c r="B9" s="11">
        <f>IFERROR(INDEX('Resumen'!$E$5:$E$29,MATCH($B$3,'Resumen'!$A$5:$A$29,0)),"")</f>
        <v/>
      </c>
      <c r="D9" s="5" t="inlineStr">
        <is>
          <t>Año</t>
        </is>
      </c>
      <c r="F9" s="12">
        <f>'Ajustes'!$A$12</f>
        <v/>
      </c>
    </row>
    <row r="10">
      <c r="A10" s="5" t="inlineStr">
        <is>
          <t>SALDO (días)</t>
        </is>
      </c>
      <c r="B10" s="11">
        <f>IFERROR(INDEX('Resumen'!$F$5:$F$29,MATCH($B$3,'Resumen'!$A$5:$A$29,0)),"")</f>
        <v/>
      </c>
    </row>
    <row r="11">
      <c r="A11" s="7" t="inlineStr">
        <is>
          <t>Jornada (h)</t>
        </is>
      </c>
      <c r="B11" s="13">
        <f>IFERROR(INDEX('Equipo'!$B$5:$B$29,MATCH($B$3,'Equipo'!$A$5:$A$29,0)),"")</f>
        <v/>
      </c>
    </row>
    <row r="13">
      <c r="A13" s="14">
        <f>IF($B$9="","",IF($B$9&gt;0.0001,"A tomar: "&amp;INT($B$9/$B$11)&amp;" día(s) y "&amp;ROUND($B$9-INT($B$9/$B$11)*$B$11,2)&amp;" h",IF($B$9&lt;-0.0001,"Tomó de más: "&amp;ROUND(-$B$9,2)&amp;" h","Al día, sin saldo")))</f>
        <v/>
      </c>
    </row>
    <row r="15" ht="32" customHeight="1">
      <c r="A15" s="15" t="inlineStr">
        <is>
          <t>Fecha</t>
        </is>
      </c>
      <c r="B15" s="15" t="inlineStr">
        <is>
          <t>Tipo</t>
        </is>
      </c>
      <c r="C15" s="15" t="inlineStr">
        <is>
          <t>Horas</t>
        </is>
      </c>
      <c r="D15" s="15" t="inlineStr">
        <is>
          <t>Días</t>
        </is>
      </c>
      <c r="E15" s="15" t="inlineStr">
        <is>
          <t>Acreditadas (h)</t>
        </is>
      </c>
      <c r="F15" s="15" t="inlineStr">
        <is>
          <t>Saldo después (h)</t>
        </is>
      </c>
      <c r="G15" s="15" t="inlineStr">
        <is>
          <t>Nota</t>
        </is>
      </c>
    </row>
    <row r="16">
      <c r="A16" s="16">
        <f>IFERROR(IF(INDEX('Registro'!$A$4:$A$1503,MATCH(1,'Registro'!$I$4:$I$1503,0))="","",INDEX('Registro'!$A$4:$A$1503,MATCH(1,'Registro'!$I$4:$I$1503,0))),"")</f>
        <v/>
      </c>
      <c r="B16" s="17">
        <f>IFERROR(IF(INDEX('Registro'!$C$4:$C$1503,MATCH(1,'Registro'!$I$4:$I$1503,0))="","",INDEX('Registro'!$C$4:$C$1503,MATCH(1,'Registro'!$I$4:$I$1503,0))),"")</f>
        <v/>
      </c>
      <c r="C16" s="18">
        <f>IFERROR(IF(INDEX('Registro'!$D$4:$D$1503,MATCH(1,'Registro'!$I$4:$I$1503,0))="","",INDEX('Registro'!$D$4:$D$1503,MATCH(1,'Registro'!$I$4:$I$1503,0))),"")</f>
        <v/>
      </c>
      <c r="D16" s="18">
        <f>IFERROR(IF(INDEX('Registro'!$E$4:$E$1503,MATCH(1,'Registro'!$I$4:$I$1503,0))="","",INDEX('Registro'!$E$4:$E$1503,MATCH(1,'Registro'!$I$4:$I$1503,0))),"")</f>
        <v/>
      </c>
      <c r="E16" s="19">
        <f>IFERROR(IF(INDEX('Registro'!$G$4:$G$1503,MATCH(1,'Registro'!$I$4:$I$1503,0))="","",INDEX('Registro'!$G$4:$G$1503,MATCH(1,'Registro'!$I$4:$I$1503,0))),"")</f>
        <v/>
      </c>
      <c r="F16" s="20">
        <f>IF($A16="","",$B$8+SUMIFS('Registro'!$G$4:$G$1503,'Registro'!$B$4:$B$1503,$B$3,'Registro'!$A$4:$A$1503,"&lt;="&amp;$A16))</f>
        <v/>
      </c>
      <c r="G16" s="17">
        <f>IFERROR(IF(INDEX('Registro'!$F$4:$F$1503,MATCH(1,'Registro'!$I$4:$I$1503,0))="","",INDEX('Registro'!$F$4:$F$1503,MATCH(1,'Registro'!$I$4:$I$1503,0))),"")</f>
        <v/>
      </c>
    </row>
    <row r="17">
      <c r="A17" s="16">
        <f>IFERROR(IF(INDEX('Registro'!$A$4:$A$1503,MATCH(2,'Registro'!$I$4:$I$1503,0))="","",INDEX('Registro'!$A$4:$A$1503,MATCH(2,'Registro'!$I$4:$I$1503,0))),"")</f>
        <v/>
      </c>
      <c r="B17" s="17">
        <f>IFERROR(IF(INDEX('Registro'!$C$4:$C$1503,MATCH(2,'Registro'!$I$4:$I$1503,0))="","",INDEX('Registro'!$C$4:$C$1503,MATCH(2,'Registro'!$I$4:$I$1503,0))),"")</f>
        <v/>
      </c>
      <c r="C17" s="18">
        <f>IFERROR(IF(INDEX('Registro'!$D$4:$D$1503,MATCH(2,'Registro'!$I$4:$I$1503,0))="","",INDEX('Registro'!$D$4:$D$1503,MATCH(2,'Registro'!$I$4:$I$1503,0))),"")</f>
        <v/>
      </c>
      <c r="D17" s="18">
        <f>IFERROR(IF(INDEX('Registro'!$E$4:$E$1503,MATCH(2,'Registro'!$I$4:$I$1503,0))="","",INDEX('Registro'!$E$4:$E$1503,MATCH(2,'Registro'!$I$4:$I$1503,0))),"")</f>
        <v/>
      </c>
      <c r="E17" s="19">
        <f>IFERROR(IF(INDEX('Registro'!$G$4:$G$1503,MATCH(2,'Registro'!$I$4:$I$1503,0))="","",INDEX('Registro'!$G$4:$G$1503,MATCH(2,'Registro'!$I$4:$I$1503,0))),"")</f>
        <v/>
      </c>
      <c r="F17" s="20">
        <f>IF($A17="","",$B$8+SUMIFS('Registro'!$G$4:$G$1503,'Registro'!$B$4:$B$1503,$B$3,'Registro'!$A$4:$A$1503,"&lt;="&amp;$A17))</f>
        <v/>
      </c>
      <c r="G17" s="17">
        <f>IFERROR(IF(INDEX('Registro'!$F$4:$F$1503,MATCH(2,'Registro'!$I$4:$I$1503,0))="","",INDEX('Registro'!$F$4:$F$1503,MATCH(2,'Registro'!$I$4:$I$1503,0))),"")</f>
        <v/>
      </c>
    </row>
    <row r="18">
      <c r="A18" s="16">
        <f>IFERROR(IF(INDEX('Registro'!$A$4:$A$1503,MATCH(3,'Registro'!$I$4:$I$1503,0))="","",INDEX('Registro'!$A$4:$A$1503,MATCH(3,'Registro'!$I$4:$I$1503,0))),"")</f>
        <v/>
      </c>
      <c r="B18" s="17">
        <f>IFERROR(IF(INDEX('Registro'!$C$4:$C$1503,MATCH(3,'Registro'!$I$4:$I$1503,0))="","",INDEX('Registro'!$C$4:$C$1503,MATCH(3,'Registro'!$I$4:$I$1503,0))),"")</f>
        <v/>
      </c>
      <c r="C18" s="18">
        <f>IFERROR(IF(INDEX('Registro'!$D$4:$D$1503,MATCH(3,'Registro'!$I$4:$I$1503,0))="","",INDEX('Registro'!$D$4:$D$1503,MATCH(3,'Registro'!$I$4:$I$1503,0))),"")</f>
        <v/>
      </c>
      <c r="D18" s="18">
        <f>IFERROR(IF(INDEX('Registro'!$E$4:$E$1503,MATCH(3,'Registro'!$I$4:$I$1503,0))="","",INDEX('Registro'!$E$4:$E$1503,MATCH(3,'Registro'!$I$4:$I$1503,0))),"")</f>
        <v/>
      </c>
      <c r="E18" s="19">
        <f>IFERROR(IF(INDEX('Registro'!$G$4:$G$1503,MATCH(3,'Registro'!$I$4:$I$1503,0))="","",INDEX('Registro'!$G$4:$G$1503,MATCH(3,'Registro'!$I$4:$I$1503,0))),"")</f>
        <v/>
      </c>
      <c r="F18" s="20">
        <f>IF($A18="","",$B$8+SUMIFS('Registro'!$G$4:$G$1503,'Registro'!$B$4:$B$1503,$B$3,'Registro'!$A$4:$A$1503,"&lt;="&amp;$A18))</f>
        <v/>
      </c>
      <c r="G18" s="17">
        <f>IFERROR(IF(INDEX('Registro'!$F$4:$F$1503,MATCH(3,'Registro'!$I$4:$I$1503,0))="","",INDEX('Registro'!$F$4:$F$1503,MATCH(3,'Registro'!$I$4:$I$1503,0))),"")</f>
        <v/>
      </c>
    </row>
    <row r="19">
      <c r="A19" s="16">
        <f>IFERROR(IF(INDEX('Registro'!$A$4:$A$1503,MATCH(4,'Registro'!$I$4:$I$1503,0))="","",INDEX('Registro'!$A$4:$A$1503,MATCH(4,'Registro'!$I$4:$I$1503,0))),"")</f>
        <v/>
      </c>
      <c r="B19" s="17">
        <f>IFERROR(IF(INDEX('Registro'!$C$4:$C$1503,MATCH(4,'Registro'!$I$4:$I$1503,0))="","",INDEX('Registro'!$C$4:$C$1503,MATCH(4,'Registro'!$I$4:$I$1503,0))),"")</f>
        <v/>
      </c>
      <c r="C19" s="18">
        <f>IFERROR(IF(INDEX('Registro'!$D$4:$D$1503,MATCH(4,'Registro'!$I$4:$I$1503,0))="","",INDEX('Registro'!$D$4:$D$1503,MATCH(4,'Registro'!$I$4:$I$1503,0))),"")</f>
        <v/>
      </c>
      <c r="D19" s="18">
        <f>IFERROR(IF(INDEX('Registro'!$E$4:$E$1503,MATCH(4,'Registro'!$I$4:$I$1503,0))="","",INDEX('Registro'!$E$4:$E$1503,MATCH(4,'Registro'!$I$4:$I$1503,0))),"")</f>
        <v/>
      </c>
      <c r="E19" s="19">
        <f>IFERROR(IF(INDEX('Registro'!$G$4:$G$1503,MATCH(4,'Registro'!$I$4:$I$1503,0))="","",INDEX('Registro'!$G$4:$G$1503,MATCH(4,'Registro'!$I$4:$I$1503,0))),"")</f>
        <v/>
      </c>
      <c r="F19" s="20">
        <f>IF($A19="","",$B$8+SUMIFS('Registro'!$G$4:$G$1503,'Registro'!$B$4:$B$1503,$B$3,'Registro'!$A$4:$A$1503,"&lt;="&amp;$A19))</f>
        <v/>
      </c>
      <c r="G19" s="17">
        <f>IFERROR(IF(INDEX('Registro'!$F$4:$F$1503,MATCH(4,'Registro'!$I$4:$I$1503,0))="","",INDEX('Registro'!$F$4:$F$1503,MATCH(4,'Registro'!$I$4:$I$1503,0))),"")</f>
        <v/>
      </c>
    </row>
    <row r="20">
      <c r="A20" s="16">
        <f>IFERROR(IF(INDEX('Registro'!$A$4:$A$1503,MATCH(5,'Registro'!$I$4:$I$1503,0))="","",INDEX('Registro'!$A$4:$A$1503,MATCH(5,'Registro'!$I$4:$I$1503,0))),"")</f>
        <v/>
      </c>
      <c r="B20" s="17">
        <f>IFERROR(IF(INDEX('Registro'!$C$4:$C$1503,MATCH(5,'Registro'!$I$4:$I$1503,0))="","",INDEX('Registro'!$C$4:$C$1503,MATCH(5,'Registro'!$I$4:$I$1503,0))),"")</f>
        <v/>
      </c>
      <c r="C20" s="18">
        <f>IFERROR(IF(INDEX('Registro'!$D$4:$D$1503,MATCH(5,'Registro'!$I$4:$I$1503,0))="","",INDEX('Registro'!$D$4:$D$1503,MATCH(5,'Registro'!$I$4:$I$1503,0))),"")</f>
        <v/>
      </c>
      <c r="D20" s="18">
        <f>IFERROR(IF(INDEX('Registro'!$E$4:$E$1503,MATCH(5,'Registro'!$I$4:$I$1503,0))="","",INDEX('Registro'!$E$4:$E$1503,MATCH(5,'Registro'!$I$4:$I$1503,0))),"")</f>
        <v/>
      </c>
      <c r="E20" s="19">
        <f>IFERROR(IF(INDEX('Registro'!$G$4:$G$1503,MATCH(5,'Registro'!$I$4:$I$1503,0))="","",INDEX('Registro'!$G$4:$G$1503,MATCH(5,'Registro'!$I$4:$I$1503,0))),"")</f>
        <v/>
      </c>
      <c r="F20" s="20">
        <f>IF($A20="","",$B$8+SUMIFS('Registro'!$G$4:$G$1503,'Registro'!$B$4:$B$1503,$B$3,'Registro'!$A$4:$A$1503,"&lt;="&amp;$A20))</f>
        <v/>
      </c>
      <c r="G20" s="17">
        <f>IFERROR(IF(INDEX('Registro'!$F$4:$F$1503,MATCH(5,'Registro'!$I$4:$I$1503,0))="","",INDEX('Registro'!$F$4:$F$1503,MATCH(5,'Registro'!$I$4:$I$1503,0))),"")</f>
        <v/>
      </c>
    </row>
    <row r="21">
      <c r="A21" s="16">
        <f>IFERROR(IF(INDEX('Registro'!$A$4:$A$1503,MATCH(6,'Registro'!$I$4:$I$1503,0))="","",INDEX('Registro'!$A$4:$A$1503,MATCH(6,'Registro'!$I$4:$I$1503,0))),"")</f>
        <v/>
      </c>
      <c r="B21" s="17">
        <f>IFERROR(IF(INDEX('Registro'!$C$4:$C$1503,MATCH(6,'Registro'!$I$4:$I$1503,0))="","",INDEX('Registro'!$C$4:$C$1503,MATCH(6,'Registro'!$I$4:$I$1503,0))),"")</f>
        <v/>
      </c>
      <c r="C21" s="18">
        <f>IFERROR(IF(INDEX('Registro'!$D$4:$D$1503,MATCH(6,'Registro'!$I$4:$I$1503,0))="","",INDEX('Registro'!$D$4:$D$1503,MATCH(6,'Registro'!$I$4:$I$1503,0))),"")</f>
        <v/>
      </c>
      <c r="D21" s="18">
        <f>IFERROR(IF(INDEX('Registro'!$E$4:$E$1503,MATCH(6,'Registro'!$I$4:$I$1503,0))="","",INDEX('Registro'!$E$4:$E$1503,MATCH(6,'Registro'!$I$4:$I$1503,0))),"")</f>
        <v/>
      </c>
      <c r="E21" s="19">
        <f>IFERROR(IF(INDEX('Registro'!$G$4:$G$1503,MATCH(6,'Registro'!$I$4:$I$1503,0))="","",INDEX('Registro'!$G$4:$G$1503,MATCH(6,'Registro'!$I$4:$I$1503,0))),"")</f>
        <v/>
      </c>
      <c r="F21" s="20">
        <f>IF($A21="","",$B$8+SUMIFS('Registro'!$G$4:$G$1503,'Registro'!$B$4:$B$1503,$B$3,'Registro'!$A$4:$A$1503,"&lt;="&amp;$A21))</f>
        <v/>
      </c>
      <c r="G21" s="17">
        <f>IFERROR(IF(INDEX('Registro'!$F$4:$F$1503,MATCH(6,'Registro'!$I$4:$I$1503,0))="","",INDEX('Registro'!$F$4:$F$1503,MATCH(6,'Registro'!$I$4:$I$1503,0))),"")</f>
        <v/>
      </c>
    </row>
    <row r="22">
      <c r="A22" s="16">
        <f>IFERROR(IF(INDEX('Registro'!$A$4:$A$1503,MATCH(7,'Registro'!$I$4:$I$1503,0))="","",INDEX('Registro'!$A$4:$A$1503,MATCH(7,'Registro'!$I$4:$I$1503,0))),"")</f>
        <v/>
      </c>
      <c r="B22" s="17">
        <f>IFERROR(IF(INDEX('Registro'!$C$4:$C$1503,MATCH(7,'Registro'!$I$4:$I$1503,0))="","",INDEX('Registro'!$C$4:$C$1503,MATCH(7,'Registro'!$I$4:$I$1503,0))),"")</f>
        <v/>
      </c>
      <c r="C22" s="18">
        <f>IFERROR(IF(INDEX('Registro'!$D$4:$D$1503,MATCH(7,'Registro'!$I$4:$I$1503,0))="","",INDEX('Registro'!$D$4:$D$1503,MATCH(7,'Registro'!$I$4:$I$1503,0))),"")</f>
        <v/>
      </c>
      <c r="D22" s="18">
        <f>IFERROR(IF(INDEX('Registro'!$E$4:$E$1503,MATCH(7,'Registro'!$I$4:$I$1503,0))="","",INDEX('Registro'!$E$4:$E$1503,MATCH(7,'Registro'!$I$4:$I$1503,0))),"")</f>
        <v/>
      </c>
      <c r="E22" s="19">
        <f>IFERROR(IF(INDEX('Registro'!$G$4:$G$1503,MATCH(7,'Registro'!$I$4:$I$1503,0))="","",INDEX('Registro'!$G$4:$G$1503,MATCH(7,'Registro'!$I$4:$I$1503,0))),"")</f>
        <v/>
      </c>
      <c r="F22" s="20">
        <f>IF($A22="","",$B$8+SUMIFS('Registro'!$G$4:$G$1503,'Registro'!$B$4:$B$1503,$B$3,'Registro'!$A$4:$A$1503,"&lt;="&amp;$A22))</f>
        <v/>
      </c>
      <c r="G22" s="17">
        <f>IFERROR(IF(INDEX('Registro'!$F$4:$F$1503,MATCH(7,'Registro'!$I$4:$I$1503,0))="","",INDEX('Registro'!$F$4:$F$1503,MATCH(7,'Registro'!$I$4:$I$1503,0))),"")</f>
        <v/>
      </c>
    </row>
    <row r="23">
      <c r="A23" s="16">
        <f>IFERROR(IF(INDEX('Registro'!$A$4:$A$1503,MATCH(8,'Registro'!$I$4:$I$1503,0))="","",INDEX('Registro'!$A$4:$A$1503,MATCH(8,'Registro'!$I$4:$I$1503,0))),"")</f>
        <v/>
      </c>
      <c r="B23" s="17">
        <f>IFERROR(IF(INDEX('Registro'!$C$4:$C$1503,MATCH(8,'Registro'!$I$4:$I$1503,0))="","",INDEX('Registro'!$C$4:$C$1503,MATCH(8,'Registro'!$I$4:$I$1503,0))),"")</f>
        <v/>
      </c>
      <c r="C23" s="18">
        <f>IFERROR(IF(INDEX('Registro'!$D$4:$D$1503,MATCH(8,'Registro'!$I$4:$I$1503,0))="","",INDEX('Registro'!$D$4:$D$1503,MATCH(8,'Registro'!$I$4:$I$1503,0))),"")</f>
        <v/>
      </c>
      <c r="D23" s="18">
        <f>IFERROR(IF(INDEX('Registro'!$E$4:$E$1503,MATCH(8,'Registro'!$I$4:$I$1503,0))="","",INDEX('Registro'!$E$4:$E$1503,MATCH(8,'Registro'!$I$4:$I$1503,0))),"")</f>
        <v/>
      </c>
      <c r="E23" s="19">
        <f>IFERROR(IF(INDEX('Registro'!$G$4:$G$1503,MATCH(8,'Registro'!$I$4:$I$1503,0))="","",INDEX('Registro'!$G$4:$G$1503,MATCH(8,'Registro'!$I$4:$I$1503,0))),"")</f>
        <v/>
      </c>
      <c r="F23" s="20">
        <f>IF($A23="","",$B$8+SUMIFS('Registro'!$G$4:$G$1503,'Registro'!$B$4:$B$1503,$B$3,'Registro'!$A$4:$A$1503,"&lt;="&amp;$A23))</f>
        <v/>
      </c>
      <c r="G23" s="17">
        <f>IFERROR(IF(INDEX('Registro'!$F$4:$F$1503,MATCH(8,'Registro'!$I$4:$I$1503,0))="","",INDEX('Registro'!$F$4:$F$1503,MATCH(8,'Registro'!$I$4:$I$1503,0))),"")</f>
        <v/>
      </c>
    </row>
    <row r="24">
      <c r="A24" s="16">
        <f>IFERROR(IF(INDEX('Registro'!$A$4:$A$1503,MATCH(9,'Registro'!$I$4:$I$1503,0))="","",INDEX('Registro'!$A$4:$A$1503,MATCH(9,'Registro'!$I$4:$I$1503,0))),"")</f>
        <v/>
      </c>
      <c r="B24" s="17">
        <f>IFERROR(IF(INDEX('Registro'!$C$4:$C$1503,MATCH(9,'Registro'!$I$4:$I$1503,0))="","",INDEX('Registro'!$C$4:$C$1503,MATCH(9,'Registro'!$I$4:$I$1503,0))),"")</f>
        <v/>
      </c>
      <c r="C24" s="18">
        <f>IFERROR(IF(INDEX('Registro'!$D$4:$D$1503,MATCH(9,'Registro'!$I$4:$I$1503,0))="","",INDEX('Registro'!$D$4:$D$1503,MATCH(9,'Registro'!$I$4:$I$1503,0))),"")</f>
        <v/>
      </c>
      <c r="D24" s="18">
        <f>IFERROR(IF(INDEX('Registro'!$E$4:$E$1503,MATCH(9,'Registro'!$I$4:$I$1503,0))="","",INDEX('Registro'!$E$4:$E$1503,MATCH(9,'Registro'!$I$4:$I$1503,0))),"")</f>
        <v/>
      </c>
      <c r="E24" s="19">
        <f>IFERROR(IF(INDEX('Registro'!$G$4:$G$1503,MATCH(9,'Registro'!$I$4:$I$1503,0))="","",INDEX('Registro'!$G$4:$G$1503,MATCH(9,'Registro'!$I$4:$I$1503,0))),"")</f>
        <v/>
      </c>
      <c r="F24" s="20">
        <f>IF($A24="","",$B$8+SUMIFS('Registro'!$G$4:$G$1503,'Registro'!$B$4:$B$1503,$B$3,'Registro'!$A$4:$A$1503,"&lt;="&amp;$A24))</f>
        <v/>
      </c>
      <c r="G24" s="17">
        <f>IFERROR(IF(INDEX('Registro'!$F$4:$F$1503,MATCH(9,'Registro'!$I$4:$I$1503,0))="","",INDEX('Registro'!$F$4:$F$1503,MATCH(9,'Registro'!$I$4:$I$1503,0))),"")</f>
        <v/>
      </c>
    </row>
    <row r="25">
      <c r="A25" s="16">
        <f>IFERROR(IF(INDEX('Registro'!$A$4:$A$1503,MATCH(10,'Registro'!$I$4:$I$1503,0))="","",INDEX('Registro'!$A$4:$A$1503,MATCH(10,'Registro'!$I$4:$I$1503,0))),"")</f>
        <v/>
      </c>
      <c r="B25" s="17">
        <f>IFERROR(IF(INDEX('Registro'!$C$4:$C$1503,MATCH(10,'Registro'!$I$4:$I$1503,0))="","",INDEX('Registro'!$C$4:$C$1503,MATCH(10,'Registro'!$I$4:$I$1503,0))),"")</f>
        <v/>
      </c>
      <c r="C25" s="18">
        <f>IFERROR(IF(INDEX('Registro'!$D$4:$D$1503,MATCH(10,'Registro'!$I$4:$I$1503,0))="","",INDEX('Registro'!$D$4:$D$1503,MATCH(10,'Registro'!$I$4:$I$1503,0))),"")</f>
        <v/>
      </c>
      <c r="D25" s="18">
        <f>IFERROR(IF(INDEX('Registro'!$E$4:$E$1503,MATCH(10,'Registro'!$I$4:$I$1503,0))="","",INDEX('Registro'!$E$4:$E$1503,MATCH(10,'Registro'!$I$4:$I$1503,0))),"")</f>
        <v/>
      </c>
      <c r="E25" s="19">
        <f>IFERROR(IF(INDEX('Registro'!$G$4:$G$1503,MATCH(10,'Registro'!$I$4:$I$1503,0))="","",INDEX('Registro'!$G$4:$G$1503,MATCH(10,'Registro'!$I$4:$I$1503,0))),"")</f>
        <v/>
      </c>
      <c r="F25" s="20">
        <f>IF($A25="","",$B$8+SUMIFS('Registro'!$G$4:$G$1503,'Registro'!$B$4:$B$1503,$B$3,'Registro'!$A$4:$A$1503,"&lt;="&amp;$A25))</f>
        <v/>
      </c>
      <c r="G25" s="17">
        <f>IFERROR(IF(INDEX('Registro'!$F$4:$F$1503,MATCH(10,'Registro'!$I$4:$I$1503,0))="","",INDEX('Registro'!$F$4:$F$1503,MATCH(10,'Registro'!$I$4:$I$1503,0))),"")</f>
        <v/>
      </c>
    </row>
    <row r="26">
      <c r="A26" s="16">
        <f>IFERROR(IF(INDEX('Registro'!$A$4:$A$1503,MATCH(11,'Registro'!$I$4:$I$1503,0))="","",INDEX('Registro'!$A$4:$A$1503,MATCH(11,'Registro'!$I$4:$I$1503,0))),"")</f>
        <v/>
      </c>
      <c r="B26" s="17">
        <f>IFERROR(IF(INDEX('Registro'!$C$4:$C$1503,MATCH(11,'Registro'!$I$4:$I$1503,0))="","",INDEX('Registro'!$C$4:$C$1503,MATCH(11,'Registro'!$I$4:$I$1503,0))),"")</f>
        <v/>
      </c>
      <c r="C26" s="18">
        <f>IFERROR(IF(INDEX('Registro'!$D$4:$D$1503,MATCH(11,'Registro'!$I$4:$I$1503,0))="","",INDEX('Registro'!$D$4:$D$1503,MATCH(11,'Registro'!$I$4:$I$1503,0))),"")</f>
        <v/>
      </c>
      <c r="D26" s="18">
        <f>IFERROR(IF(INDEX('Registro'!$E$4:$E$1503,MATCH(11,'Registro'!$I$4:$I$1503,0))="","",INDEX('Registro'!$E$4:$E$1503,MATCH(11,'Registro'!$I$4:$I$1503,0))),"")</f>
        <v/>
      </c>
      <c r="E26" s="19">
        <f>IFERROR(IF(INDEX('Registro'!$G$4:$G$1503,MATCH(11,'Registro'!$I$4:$I$1503,0))="","",INDEX('Registro'!$G$4:$G$1503,MATCH(11,'Registro'!$I$4:$I$1503,0))),"")</f>
        <v/>
      </c>
      <c r="F26" s="20">
        <f>IF($A26="","",$B$8+SUMIFS('Registro'!$G$4:$G$1503,'Registro'!$B$4:$B$1503,$B$3,'Registro'!$A$4:$A$1503,"&lt;="&amp;$A26))</f>
        <v/>
      </c>
      <c r="G26" s="17">
        <f>IFERROR(IF(INDEX('Registro'!$F$4:$F$1503,MATCH(11,'Registro'!$I$4:$I$1503,0))="","",INDEX('Registro'!$F$4:$F$1503,MATCH(11,'Registro'!$I$4:$I$1503,0))),"")</f>
        <v/>
      </c>
    </row>
    <row r="27">
      <c r="A27" s="16">
        <f>IFERROR(IF(INDEX('Registro'!$A$4:$A$1503,MATCH(12,'Registro'!$I$4:$I$1503,0))="","",INDEX('Registro'!$A$4:$A$1503,MATCH(12,'Registro'!$I$4:$I$1503,0))),"")</f>
        <v/>
      </c>
      <c r="B27" s="17">
        <f>IFERROR(IF(INDEX('Registro'!$C$4:$C$1503,MATCH(12,'Registro'!$I$4:$I$1503,0))="","",INDEX('Registro'!$C$4:$C$1503,MATCH(12,'Registro'!$I$4:$I$1503,0))),"")</f>
        <v/>
      </c>
      <c r="C27" s="18">
        <f>IFERROR(IF(INDEX('Registro'!$D$4:$D$1503,MATCH(12,'Registro'!$I$4:$I$1503,0))="","",INDEX('Registro'!$D$4:$D$1503,MATCH(12,'Registro'!$I$4:$I$1503,0))),"")</f>
        <v/>
      </c>
      <c r="D27" s="18">
        <f>IFERROR(IF(INDEX('Registro'!$E$4:$E$1503,MATCH(12,'Registro'!$I$4:$I$1503,0))="","",INDEX('Registro'!$E$4:$E$1503,MATCH(12,'Registro'!$I$4:$I$1503,0))),"")</f>
        <v/>
      </c>
      <c r="E27" s="19">
        <f>IFERROR(IF(INDEX('Registro'!$G$4:$G$1503,MATCH(12,'Registro'!$I$4:$I$1503,0))="","",INDEX('Registro'!$G$4:$G$1503,MATCH(12,'Registro'!$I$4:$I$1503,0))),"")</f>
        <v/>
      </c>
      <c r="F27" s="20">
        <f>IF($A27="","",$B$8+SUMIFS('Registro'!$G$4:$G$1503,'Registro'!$B$4:$B$1503,$B$3,'Registro'!$A$4:$A$1503,"&lt;="&amp;$A27))</f>
        <v/>
      </c>
      <c r="G27" s="17">
        <f>IFERROR(IF(INDEX('Registro'!$F$4:$F$1503,MATCH(12,'Registro'!$I$4:$I$1503,0))="","",INDEX('Registro'!$F$4:$F$1503,MATCH(12,'Registro'!$I$4:$I$1503,0))),"")</f>
        <v/>
      </c>
    </row>
    <row r="28">
      <c r="A28" s="16">
        <f>IFERROR(IF(INDEX('Registro'!$A$4:$A$1503,MATCH(13,'Registro'!$I$4:$I$1503,0))="","",INDEX('Registro'!$A$4:$A$1503,MATCH(13,'Registro'!$I$4:$I$1503,0))),"")</f>
        <v/>
      </c>
      <c r="B28" s="17">
        <f>IFERROR(IF(INDEX('Registro'!$C$4:$C$1503,MATCH(13,'Registro'!$I$4:$I$1503,0))="","",INDEX('Registro'!$C$4:$C$1503,MATCH(13,'Registro'!$I$4:$I$1503,0))),"")</f>
        <v/>
      </c>
      <c r="C28" s="18">
        <f>IFERROR(IF(INDEX('Registro'!$D$4:$D$1503,MATCH(13,'Registro'!$I$4:$I$1503,0))="","",INDEX('Registro'!$D$4:$D$1503,MATCH(13,'Registro'!$I$4:$I$1503,0))),"")</f>
        <v/>
      </c>
      <c r="D28" s="18">
        <f>IFERROR(IF(INDEX('Registro'!$E$4:$E$1503,MATCH(13,'Registro'!$I$4:$I$1503,0))="","",INDEX('Registro'!$E$4:$E$1503,MATCH(13,'Registro'!$I$4:$I$1503,0))),"")</f>
        <v/>
      </c>
      <c r="E28" s="19">
        <f>IFERROR(IF(INDEX('Registro'!$G$4:$G$1503,MATCH(13,'Registro'!$I$4:$I$1503,0))="","",INDEX('Registro'!$G$4:$G$1503,MATCH(13,'Registro'!$I$4:$I$1503,0))),"")</f>
        <v/>
      </c>
      <c r="F28" s="20">
        <f>IF($A28="","",$B$8+SUMIFS('Registro'!$G$4:$G$1503,'Registro'!$B$4:$B$1503,$B$3,'Registro'!$A$4:$A$1503,"&lt;="&amp;$A28))</f>
        <v/>
      </c>
      <c r="G28" s="17">
        <f>IFERROR(IF(INDEX('Registro'!$F$4:$F$1503,MATCH(13,'Registro'!$I$4:$I$1503,0))="","",INDEX('Registro'!$F$4:$F$1503,MATCH(13,'Registro'!$I$4:$I$1503,0))),"")</f>
        <v/>
      </c>
    </row>
    <row r="29">
      <c r="A29" s="16">
        <f>IFERROR(IF(INDEX('Registro'!$A$4:$A$1503,MATCH(14,'Registro'!$I$4:$I$1503,0))="","",INDEX('Registro'!$A$4:$A$1503,MATCH(14,'Registro'!$I$4:$I$1503,0))),"")</f>
        <v/>
      </c>
      <c r="B29" s="17">
        <f>IFERROR(IF(INDEX('Registro'!$C$4:$C$1503,MATCH(14,'Registro'!$I$4:$I$1503,0))="","",INDEX('Registro'!$C$4:$C$1503,MATCH(14,'Registro'!$I$4:$I$1503,0))),"")</f>
        <v/>
      </c>
      <c r="C29" s="18">
        <f>IFERROR(IF(INDEX('Registro'!$D$4:$D$1503,MATCH(14,'Registro'!$I$4:$I$1503,0))="","",INDEX('Registro'!$D$4:$D$1503,MATCH(14,'Registro'!$I$4:$I$1503,0))),"")</f>
        <v/>
      </c>
      <c r="D29" s="18">
        <f>IFERROR(IF(INDEX('Registro'!$E$4:$E$1503,MATCH(14,'Registro'!$I$4:$I$1503,0))="","",INDEX('Registro'!$E$4:$E$1503,MATCH(14,'Registro'!$I$4:$I$1503,0))),"")</f>
        <v/>
      </c>
      <c r="E29" s="19">
        <f>IFERROR(IF(INDEX('Registro'!$G$4:$G$1503,MATCH(14,'Registro'!$I$4:$I$1503,0))="","",INDEX('Registro'!$G$4:$G$1503,MATCH(14,'Registro'!$I$4:$I$1503,0))),"")</f>
        <v/>
      </c>
      <c r="F29" s="20">
        <f>IF($A29="","",$B$8+SUMIFS('Registro'!$G$4:$G$1503,'Registro'!$B$4:$B$1503,$B$3,'Registro'!$A$4:$A$1503,"&lt;="&amp;$A29))</f>
        <v/>
      </c>
      <c r="G29" s="17">
        <f>IFERROR(IF(INDEX('Registro'!$F$4:$F$1503,MATCH(14,'Registro'!$I$4:$I$1503,0))="","",INDEX('Registro'!$F$4:$F$1503,MATCH(14,'Registro'!$I$4:$I$1503,0))),"")</f>
        <v/>
      </c>
    </row>
    <row r="30">
      <c r="A30" s="16">
        <f>IFERROR(IF(INDEX('Registro'!$A$4:$A$1503,MATCH(15,'Registro'!$I$4:$I$1503,0))="","",INDEX('Registro'!$A$4:$A$1503,MATCH(15,'Registro'!$I$4:$I$1503,0))),"")</f>
        <v/>
      </c>
      <c r="B30" s="17">
        <f>IFERROR(IF(INDEX('Registro'!$C$4:$C$1503,MATCH(15,'Registro'!$I$4:$I$1503,0))="","",INDEX('Registro'!$C$4:$C$1503,MATCH(15,'Registro'!$I$4:$I$1503,0))),"")</f>
        <v/>
      </c>
      <c r="C30" s="18">
        <f>IFERROR(IF(INDEX('Registro'!$D$4:$D$1503,MATCH(15,'Registro'!$I$4:$I$1503,0))="","",INDEX('Registro'!$D$4:$D$1503,MATCH(15,'Registro'!$I$4:$I$1503,0))),"")</f>
        <v/>
      </c>
      <c r="D30" s="18">
        <f>IFERROR(IF(INDEX('Registro'!$E$4:$E$1503,MATCH(15,'Registro'!$I$4:$I$1503,0))="","",INDEX('Registro'!$E$4:$E$1503,MATCH(15,'Registro'!$I$4:$I$1503,0))),"")</f>
        <v/>
      </c>
      <c r="E30" s="19">
        <f>IFERROR(IF(INDEX('Registro'!$G$4:$G$1503,MATCH(15,'Registro'!$I$4:$I$1503,0))="","",INDEX('Registro'!$G$4:$G$1503,MATCH(15,'Registro'!$I$4:$I$1503,0))),"")</f>
        <v/>
      </c>
      <c r="F30" s="20">
        <f>IF($A30="","",$B$8+SUMIFS('Registro'!$G$4:$G$1503,'Registro'!$B$4:$B$1503,$B$3,'Registro'!$A$4:$A$1503,"&lt;="&amp;$A30))</f>
        <v/>
      </c>
      <c r="G30" s="17">
        <f>IFERROR(IF(INDEX('Registro'!$F$4:$F$1503,MATCH(15,'Registro'!$I$4:$I$1503,0))="","",INDEX('Registro'!$F$4:$F$1503,MATCH(15,'Registro'!$I$4:$I$1503,0))),"")</f>
        <v/>
      </c>
    </row>
    <row r="31">
      <c r="A31" s="16">
        <f>IFERROR(IF(INDEX('Registro'!$A$4:$A$1503,MATCH(16,'Registro'!$I$4:$I$1503,0))="","",INDEX('Registro'!$A$4:$A$1503,MATCH(16,'Registro'!$I$4:$I$1503,0))),"")</f>
        <v/>
      </c>
      <c r="B31" s="17">
        <f>IFERROR(IF(INDEX('Registro'!$C$4:$C$1503,MATCH(16,'Registro'!$I$4:$I$1503,0))="","",INDEX('Registro'!$C$4:$C$1503,MATCH(16,'Registro'!$I$4:$I$1503,0))),"")</f>
        <v/>
      </c>
      <c r="C31" s="18">
        <f>IFERROR(IF(INDEX('Registro'!$D$4:$D$1503,MATCH(16,'Registro'!$I$4:$I$1503,0))="","",INDEX('Registro'!$D$4:$D$1503,MATCH(16,'Registro'!$I$4:$I$1503,0))),"")</f>
        <v/>
      </c>
      <c r="D31" s="18">
        <f>IFERROR(IF(INDEX('Registro'!$E$4:$E$1503,MATCH(16,'Registro'!$I$4:$I$1503,0))="","",INDEX('Registro'!$E$4:$E$1503,MATCH(16,'Registro'!$I$4:$I$1503,0))),"")</f>
        <v/>
      </c>
      <c r="E31" s="19">
        <f>IFERROR(IF(INDEX('Registro'!$G$4:$G$1503,MATCH(16,'Registro'!$I$4:$I$1503,0))="","",INDEX('Registro'!$G$4:$G$1503,MATCH(16,'Registro'!$I$4:$I$1503,0))),"")</f>
        <v/>
      </c>
      <c r="F31" s="20">
        <f>IF($A31="","",$B$8+SUMIFS('Registro'!$G$4:$G$1503,'Registro'!$B$4:$B$1503,$B$3,'Registro'!$A$4:$A$1503,"&lt;="&amp;$A31))</f>
        <v/>
      </c>
      <c r="G31" s="17">
        <f>IFERROR(IF(INDEX('Registro'!$F$4:$F$1503,MATCH(16,'Registro'!$I$4:$I$1503,0))="","",INDEX('Registro'!$F$4:$F$1503,MATCH(16,'Registro'!$I$4:$I$1503,0))),"")</f>
        <v/>
      </c>
    </row>
    <row r="32">
      <c r="A32" s="16">
        <f>IFERROR(IF(INDEX('Registro'!$A$4:$A$1503,MATCH(17,'Registro'!$I$4:$I$1503,0))="","",INDEX('Registro'!$A$4:$A$1503,MATCH(17,'Registro'!$I$4:$I$1503,0))),"")</f>
        <v/>
      </c>
      <c r="B32" s="17">
        <f>IFERROR(IF(INDEX('Registro'!$C$4:$C$1503,MATCH(17,'Registro'!$I$4:$I$1503,0))="","",INDEX('Registro'!$C$4:$C$1503,MATCH(17,'Registro'!$I$4:$I$1503,0))),"")</f>
        <v/>
      </c>
      <c r="C32" s="18">
        <f>IFERROR(IF(INDEX('Registro'!$D$4:$D$1503,MATCH(17,'Registro'!$I$4:$I$1503,0))="","",INDEX('Registro'!$D$4:$D$1503,MATCH(17,'Registro'!$I$4:$I$1503,0))),"")</f>
        <v/>
      </c>
      <c r="D32" s="18">
        <f>IFERROR(IF(INDEX('Registro'!$E$4:$E$1503,MATCH(17,'Registro'!$I$4:$I$1503,0))="","",INDEX('Registro'!$E$4:$E$1503,MATCH(17,'Registro'!$I$4:$I$1503,0))),"")</f>
        <v/>
      </c>
      <c r="E32" s="19">
        <f>IFERROR(IF(INDEX('Registro'!$G$4:$G$1503,MATCH(17,'Registro'!$I$4:$I$1503,0))="","",INDEX('Registro'!$G$4:$G$1503,MATCH(17,'Registro'!$I$4:$I$1503,0))),"")</f>
        <v/>
      </c>
      <c r="F32" s="20">
        <f>IF($A32="","",$B$8+SUMIFS('Registro'!$G$4:$G$1503,'Registro'!$B$4:$B$1503,$B$3,'Registro'!$A$4:$A$1503,"&lt;="&amp;$A32))</f>
        <v/>
      </c>
      <c r="G32" s="17">
        <f>IFERROR(IF(INDEX('Registro'!$F$4:$F$1503,MATCH(17,'Registro'!$I$4:$I$1503,0))="","",INDEX('Registro'!$F$4:$F$1503,MATCH(17,'Registro'!$I$4:$I$1503,0))),"")</f>
        <v/>
      </c>
    </row>
    <row r="33">
      <c r="A33" s="16">
        <f>IFERROR(IF(INDEX('Registro'!$A$4:$A$1503,MATCH(18,'Registro'!$I$4:$I$1503,0))="","",INDEX('Registro'!$A$4:$A$1503,MATCH(18,'Registro'!$I$4:$I$1503,0))),"")</f>
        <v/>
      </c>
      <c r="B33" s="17">
        <f>IFERROR(IF(INDEX('Registro'!$C$4:$C$1503,MATCH(18,'Registro'!$I$4:$I$1503,0))="","",INDEX('Registro'!$C$4:$C$1503,MATCH(18,'Registro'!$I$4:$I$1503,0))),"")</f>
        <v/>
      </c>
      <c r="C33" s="18">
        <f>IFERROR(IF(INDEX('Registro'!$D$4:$D$1503,MATCH(18,'Registro'!$I$4:$I$1503,0))="","",INDEX('Registro'!$D$4:$D$1503,MATCH(18,'Registro'!$I$4:$I$1503,0))),"")</f>
        <v/>
      </c>
      <c r="D33" s="18">
        <f>IFERROR(IF(INDEX('Registro'!$E$4:$E$1503,MATCH(18,'Registro'!$I$4:$I$1503,0))="","",INDEX('Registro'!$E$4:$E$1503,MATCH(18,'Registro'!$I$4:$I$1503,0))),"")</f>
        <v/>
      </c>
      <c r="E33" s="19">
        <f>IFERROR(IF(INDEX('Registro'!$G$4:$G$1503,MATCH(18,'Registro'!$I$4:$I$1503,0))="","",INDEX('Registro'!$G$4:$G$1503,MATCH(18,'Registro'!$I$4:$I$1503,0))),"")</f>
        <v/>
      </c>
      <c r="F33" s="20">
        <f>IF($A33="","",$B$8+SUMIFS('Registro'!$G$4:$G$1503,'Registro'!$B$4:$B$1503,$B$3,'Registro'!$A$4:$A$1503,"&lt;="&amp;$A33))</f>
        <v/>
      </c>
      <c r="G33" s="17">
        <f>IFERROR(IF(INDEX('Registro'!$F$4:$F$1503,MATCH(18,'Registro'!$I$4:$I$1503,0))="","",INDEX('Registro'!$F$4:$F$1503,MATCH(18,'Registro'!$I$4:$I$1503,0))),"")</f>
        <v/>
      </c>
    </row>
    <row r="34">
      <c r="A34" s="16">
        <f>IFERROR(IF(INDEX('Registro'!$A$4:$A$1503,MATCH(19,'Registro'!$I$4:$I$1503,0))="","",INDEX('Registro'!$A$4:$A$1503,MATCH(19,'Registro'!$I$4:$I$1503,0))),"")</f>
        <v/>
      </c>
      <c r="B34" s="17">
        <f>IFERROR(IF(INDEX('Registro'!$C$4:$C$1503,MATCH(19,'Registro'!$I$4:$I$1503,0))="","",INDEX('Registro'!$C$4:$C$1503,MATCH(19,'Registro'!$I$4:$I$1503,0))),"")</f>
        <v/>
      </c>
      <c r="C34" s="18">
        <f>IFERROR(IF(INDEX('Registro'!$D$4:$D$1503,MATCH(19,'Registro'!$I$4:$I$1503,0))="","",INDEX('Registro'!$D$4:$D$1503,MATCH(19,'Registro'!$I$4:$I$1503,0))),"")</f>
        <v/>
      </c>
      <c r="D34" s="18">
        <f>IFERROR(IF(INDEX('Registro'!$E$4:$E$1503,MATCH(19,'Registro'!$I$4:$I$1503,0))="","",INDEX('Registro'!$E$4:$E$1503,MATCH(19,'Registro'!$I$4:$I$1503,0))),"")</f>
        <v/>
      </c>
      <c r="E34" s="19">
        <f>IFERROR(IF(INDEX('Registro'!$G$4:$G$1503,MATCH(19,'Registro'!$I$4:$I$1503,0))="","",INDEX('Registro'!$G$4:$G$1503,MATCH(19,'Registro'!$I$4:$I$1503,0))),"")</f>
        <v/>
      </c>
      <c r="F34" s="20">
        <f>IF($A34="","",$B$8+SUMIFS('Registro'!$G$4:$G$1503,'Registro'!$B$4:$B$1503,$B$3,'Registro'!$A$4:$A$1503,"&lt;="&amp;$A34))</f>
        <v/>
      </c>
      <c r="G34" s="17">
        <f>IFERROR(IF(INDEX('Registro'!$F$4:$F$1503,MATCH(19,'Registro'!$I$4:$I$1503,0))="","",INDEX('Registro'!$F$4:$F$1503,MATCH(19,'Registro'!$I$4:$I$1503,0))),"")</f>
        <v/>
      </c>
    </row>
    <row r="35">
      <c r="A35" s="16">
        <f>IFERROR(IF(INDEX('Registro'!$A$4:$A$1503,MATCH(20,'Registro'!$I$4:$I$1503,0))="","",INDEX('Registro'!$A$4:$A$1503,MATCH(20,'Registro'!$I$4:$I$1503,0))),"")</f>
        <v/>
      </c>
      <c r="B35" s="17">
        <f>IFERROR(IF(INDEX('Registro'!$C$4:$C$1503,MATCH(20,'Registro'!$I$4:$I$1503,0))="","",INDEX('Registro'!$C$4:$C$1503,MATCH(20,'Registro'!$I$4:$I$1503,0))),"")</f>
        <v/>
      </c>
      <c r="C35" s="18">
        <f>IFERROR(IF(INDEX('Registro'!$D$4:$D$1503,MATCH(20,'Registro'!$I$4:$I$1503,0))="","",INDEX('Registro'!$D$4:$D$1503,MATCH(20,'Registro'!$I$4:$I$1503,0))),"")</f>
        <v/>
      </c>
      <c r="D35" s="18">
        <f>IFERROR(IF(INDEX('Registro'!$E$4:$E$1503,MATCH(20,'Registro'!$I$4:$I$1503,0))="","",INDEX('Registro'!$E$4:$E$1503,MATCH(20,'Registro'!$I$4:$I$1503,0))),"")</f>
        <v/>
      </c>
      <c r="E35" s="19">
        <f>IFERROR(IF(INDEX('Registro'!$G$4:$G$1503,MATCH(20,'Registro'!$I$4:$I$1503,0))="","",INDEX('Registro'!$G$4:$G$1503,MATCH(20,'Registro'!$I$4:$I$1503,0))),"")</f>
        <v/>
      </c>
      <c r="F35" s="20">
        <f>IF($A35="","",$B$8+SUMIFS('Registro'!$G$4:$G$1503,'Registro'!$B$4:$B$1503,$B$3,'Registro'!$A$4:$A$1503,"&lt;="&amp;$A35))</f>
        <v/>
      </c>
      <c r="G35" s="17">
        <f>IFERROR(IF(INDEX('Registro'!$F$4:$F$1503,MATCH(20,'Registro'!$I$4:$I$1503,0))="","",INDEX('Registro'!$F$4:$F$1503,MATCH(20,'Registro'!$I$4:$I$1503,0))),"")</f>
        <v/>
      </c>
    </row>
    <row r="36">
      <c r="A36" s="16">
        <f>IFERROR(IF(INDEX('Registro'!$A$4:$A$1503,MATCH(21,'Registro'!$I$4:$I$1503,0))="","",INDEX('Registro'!$A$4:$A$1503,MATCH(21,'Registro'!$I$4:$I$1503,0))),"")</f>
        <v/>
      </c>
      <c r="B36" s="17">
        <f>IFERROR(IF(INDEX('Registro'!$C$4:$C$1503,MATCH(21,'Registro'!$I$4:$I$1503,0))="","",INDEX('Registro'!$C$4:$C$1503,MATCH(21,'Registro'!$I$4:$I$1503,0))),"")</f>
        <v/>
      </c>
      <c r="C36" s="18">
        <f>IFERROR(IF(INDEX('Registro'!$D$4:$D$1503,MATCH(21,'Registro'!$I$4:$I$1503,0))="","",INDEX('Registro'!$D$4:$D$1503,MATCH(21,'Registro'!$I$4:$I$1503,0))),"")</f>
        <v/>
      </c>
      <c r="D36" s="18">
        <f>IFERROR(IF(INDEX('Registro'!$E$4:$E$1503,MATCH(21,'Registro'!$I$4:$I$1503,0))="","",INDEX('Registro'!$E$4:$E$1503,MATCH(21,'Registro'!$I$4:$I$1503,0))),"")</f>
        <v/>
      </c>
      <c r="E36" s="19">
        <f>IFERROR(IF(INDEX('Registro'!$G$4:$G$1503,MATCH(21,'Registro'!$I$4:$I$1503,0))="","",INDEX('Registro'!$G$4:$G$1503,MATCH(21,'Registro'!$I$4:$I$1503,0))),"")</f>
        <v/>
      </c>
      <c r="F36" s="20">
        <f>IF($A36="","",$B$8+SUMIFS('Registro'!$G$4:$G$1503,'Registro'!$B$4:$B$1503,$B$3,'Registro'!$A$4:$A$1503,"&lt;="&amp;$A36))</f>
        <v/>
      </c>
      <c r="G36" s="17">
        <f>IFERROR(IF(INDEX('Registro'!$F$4:$F$1503,MATCH(21,'Registro'!$I$4:$I$1503,0))="","",INDEX('Registro'!$F$4:$F$1503,MATCH(21,'Registro'!$I$4:$I$1503,0))),"")</f>
        <v/>
      </c>
    </row>
    <row r="37">
      <c r="A37" s="16">
        <f>IFERROR(IF(INDEX('Registro'!$A$4:$A$1503,MATCH(22,'Registro'!$I$4:$I$1503,0))="","",INDEX('Registro'!$A$4:$A$1503,MATCH(22,'Registro'!$I$4:$I$1503,0))),"")</f>
        <v/>
      </c>
      <c r="B37" s="17">
        <f>IFERROR(IF(INDEX('Registro'!$C$4:$C$1503,MATCH(22,'Registro'!$I$4:$I$1503,0))="","",INDEX('Registro'!$C$4:$C$1503,MATCH(22,'Registro'!$I$4:$I$1503,0))),"")</f>
        <v/>
      </c>
      <c r="C37" s="18">
        <f>IFERROR(IF(INDEX('Registro'!$D$4:$D$1503,MATCH(22,'Registro'!$I$4:$I$1503,0))="","",INDEX('Registro'!$D$4:$D$1503,MATCH(22,'Registro'!$I$4:$I$1503,0))),"")</f>
        <v/>
      </c>
      <c r="D37" s="18">
        <f>IFERROR(IF(INDEX('Registro'!$E$4:$E$1503,MATCH(22,'Registro'!$I$4:$I$1503,0))="","",INDEX('Registro'!$E$4:$E$1503,MATCH(22,'Registro'!$I$4:$I$1503,0))),"")</f>
        <v/>
      </c>
      <c r="E37" s="19">
        <f>IFERROR(IF(INDEX('Registro'!$G$4:$G$1503,MATCH(22,'Registro'!$I$4:$I$1503,0))="","",INDEX('Registro'!$G$4:$G$1503,MATCH(22,'Registro'!$I$4:$I$1503,0))),"")</f>
        <v/>
      </c>
      <c r="F37" s="20">
        <f>IF($A37="","",$B$8+SUMIFS('Registro'!$G$4:$G$1503,'Registro'!$B$4:$B$1503,$B$3,'Registro'!$A$4:$A$1503,"&lt;="&amp;$A37))</f>
        <v/>
      </c>
      <c r="G37" s="17">
        <f>IFERROR(IF(INDEX('Registro'!$F$4:$F$1503,MATCH(22,'Registro'!$I$4:$I$1503,0))="","",INDEX('Registro'!$F$4:$F$1503,MATCH(22,'Registro'!$I$4:$I$1503,0))),"")</f>
        <v/>
      </c>
    </row>
    <row r="38">
      <c r="A38" s="16">
        <f>IFERROR(IF(INDEX('Registro'!$A$4:$A$1503,MATCH(23,'Registro'!$I$4:$I$1503,0))="","",INDEX('Registro'!$A$4:$A$1503,MATCH(23,'Registro'!$I$4:$I$1503,0))),"")</f>
        <v/>
      </c>
      <c r="B38" s="17">
        <f>IFERROR(IF(INDEX('Registro'!$C$4:$C$1503,MATCH(23,'Registro'!$I$4:$I$1503,0))="","",INDEX('Registro'!$C$4:$C$1503,MATCH(23,'Registro'!$I$4:$I$1503,0))),"")</f>
        <v/>
      </c>
      <c r="C38" s="18">
        <f>IFERROR(IF(INDEX('Registro'!$D$4:$D$1503,MATCH(23,'Registro'!$I$4:$I$1503,0))="","",INDEX('Registro'!$D$4:$D$1503,MATCH(23,'Registro'!$I$4:$I$1503,0))),"")</f>
        <v/>
      </c>
      <c r="D38" s="18">
        <f>IFERROR(IF(INDEX('Registro'!$E$4:$E$1503,MATCH(23,'Registro'!$I$4:$I$1503,0))="","",INDEX('Registro'!$E$4:$E$1503,MATCH(23,'Registro'!$I$4:$I$1503,0))),"")</f>
        <v/>
      </c>
      <c r="E38" s="19">
        <f>IFERROR(IF(INDEX('Registro'!$G$4:$G$1503,MATCH(23,'Registro'!$I$4:$I$1503,0))="","",INDEX('Registro'!$G$4:$G$1503,MATCH(23,'Registro'!$I$4:$I$1503,0))),"")</f>
        <v/>
      </c>
      <c r="F38" s="20">
        <f>IF($A38="","",$B$8+SUMIFS('Registro'!$G$4:$G$1503,'Registro'!$B$4:$B$1503,$B$3,'Registro'!$A$4:$A$1503,"&lt;="&amp;$A38))</f>
        <v/>
      </c>
      <c r="G38" s="17">
        <f>IFERROR(IF(INDEX('Registro'!$F$4:$F$1503,MATCH(23,'Registro'!$I$4:$I$1503,0))="","",INDEX('Registro'!$F$4:$F$1503,MATCH(23,'Registro'!$I$4:$I$1503,0))),"")</f>
        <v/>
      </c>
    </row>
    <row r="39">
      <c r="A39" s="16">
        <f>IFERROR(IF(INDEX('Registro'!$A$4:$A$1503,MATCH(24,'Registro'!$I$4:$I$1503,0))="","",INDEX('Registro'!$A$4:$A$1503,MATCH(24,'Registro'!$I$4:$I$1503,0))),"")</f>
        <v/>
      </c>
      <c r="B39" s="17">
        <f>IFERROR(IF(INDEX('Registro'!$C$4:$C$1503,MATCH(24,'Registro'!$I$4:$I$1503,0))="","",INDEX('Registro'!$C$4:$C$1503,MATCH(24,'Registro'!$I$4:$I$1503,0))),"")</f>
        <v/>
      </c>
      <c r="C39" s="18">
        <f>IFERROR(IF(INDEX('Registro'!$D$4:$D$1503,MATCH(24,'Registro'!$I$4:$I$1503,0))="","",INDEX('Registro'!$D$4:$D$1503,MATCH(24,'Registro'!$I$4:$I$1503,0))),"")</f>
        <v/>
      </c>
      <c r="D39" s="18">
        <f>IFERROR(IF(INDEX('Registro'!$E$4:$E$1503,MATCH(24,'Registro'!$I$4:$I$1503,0))="","",INDEX('Registro'!$E$4:$E$1503,MATCH(24,'Registro'!$I$4:$I$1503,0))),"")</f>
        <v/>
      </c>
      <c r="E39" s="19">
        <f>IFERROR(IF(INDEX('Registro'!$G$4:$G$1503,MATCH(24,'Registro'!$I$4:$I$1503,0))="","",INDEX('Registro'!$G$4:$G$1503,MATCH(24,'Registro'!$I$4:$I$1503,0))),"")</f>
        <v/>
      </c>
      <c r="F39" s="20">
        <f>IF($A39="","",$B$8+SUMIFS('Registro'!$G$4:$G$1503,'Registro'!$B$4:$B$1503,$B$3,'Registro'!$A$4:$A$1503,"&lt;="&amp;$A39))</f>
        <v/>
      </c>
      <c r="G39" s="17">
        <f>IFERROR(IF(INDEX('Registro'!$F$4:$F$1503,MATCH(24,'Registro'!$I$4:$I$1503,0))="","",INDEX('Registro'!$F$4:$F$1503,MATCH(24,'Registro'!$I$4:$I$1503,0))),"")</f>
        <v/>
      </c>
    </row>
    <row r="40">
      <c r="A40" s="16">
        <f>IFERROR(IF(INDEX('Registro'!$A$4:$A$1503,MATCH(25,'Registro'!$I$4:$I$1503,0))="","",INDEX('Registro'!$A$4:$A$1503,MATCH(25,'Registro'!$I$4:$I$1503,0))),"")</f>
        <v/>
      </c>
      <c r="B40" s="17">
        <f>IFERROR(IF(INDEX('Registro'!$C$4:$C$1503,MATCH(25,'Registro'!$I$4:$I$1503,0))="","",INDEX('Registro'!$C$4:$C$1503,MATCH(25,'Registro'!$I$4:$I$1503,0))),"")</f>
        <v/>
      </c>
      <c r="C40" s="18">
        <f>IFERROR(IF(INDEX('Registro'!$D$4:$D$1503,MATCH(25,'Registro'!$I$4:$I$1503,0))="","",INDEX('Registro'!$D$4:$D$1503,MATCH(25,'Registro'!$I$4:$I$1503,0))),"")</f>
        <v/>
      </c>
      <c r="D40" s="18">
        <f>IFERROR(IF(INDEX('Registro'!$E$4:$E$1503,MATCH(25,'Registro'!$I$4:$I$1503,0))="","",INDEX('Registro'!$E$4:$E$1503,MATCH(25,'Registro'!$I$4:$I$1503,0))),"")</f>
        <v/>
      </c>
      <c r="E40" s="19">
        <f>IFERROR(IF(INDEX('Registro'!$G$4:$G$1503,MATCH(25,'Registro'!$I$4:$I$1503,0))="","",INDEX('Registro'!$G$4:$G$1503,MATCH(25,'Registro'!$I$4:$I$1503,0))),"")</f>
        <v/>
      </c>
      <c r="F40" s="20">
        <f>IF($A40="","",$B$8+SUMIFS('Registro'!$G$4:$G$1503,'Registro'!$B$4:$B$1503,$B$3,'Registro'!$A$4:$A$1503,"&lt;="&amp;$A40))</f>
        <v/>
      </c>
      <c r="G40" s="17">
        <f>IFERROR(IF(INDEX('Registro'!$F$4:$F$1503,MATCH(25,'Registro'!$I$4:$I$1503,0))="","",INDEX('Registro'!$F$4:$F$1503,MATCH(25,'Registro'!$I$4:$I$1503,0))),"")</f>
        <v/>
      </c>
    </row>
    <row r="41">
      <c r="A41" s="16">
        <f>IFERROR(IF(INDEX('Registro'!$A$4:$A$1503,MATCH(26,'Registro'!$I$4:$I$1503,0))="","",INDEX('Registro'!$A$4:$A$1503,MATCH(26,'Registro'!$I$4:$I$1503,0))),"")</f>
        <v/>
      </c>
      <c r="B41" s="17">
        <f>IFERROR(IF(INDEX('Registro'!$C$4:$C$1503,MATCH(26,'Registro'!$I$4:$I$1503,0))="","",INDEX('Registro'!$C$4:$C$1503,MATCH(26,'Registro'!$I$4:$I$1503,0))),"")</f>
        <v/>
      </c>
      <c r="C41" s="18">
        <f>IFERROR(IF(INDEX('Registro'!$D$4:$D$1503,MATCH(26,'Registro'!$I$4:$I$1503,0))="","",INDEX('Registro'!$D$4:$D$1503,MATCH(26,'Registro'!$I$4:$I$1503,0))),"")</f>
        <v/>
      </c>
      <c r="D41" s="18">
        <f>IFERROR(IF(INDEX('Registro'!$E$4:$E$1503,MATCH(26,'Registro'!$I$4:$I$1503,0))="","",INDEX('Registro'!$E$4:$E$1503,MATCH(26,'Registro'!$I$4:$I$1503,0))),"")</f>
        <v/>
      </c>
      <c r="E41" s="19">
        <f>IFERROR(IF(INDEX('Registro'!$G$4:$G$1503,MATCH(26,'Registro'!$I$4:$I$1503,0))="","",INDEX('Registro'!$G$4:$G$1503,MATCH(26,'Registro'!$I$4:$I$1503,0))),"")</f>
        <v/>
      </c>
      <c r="F41" s="20">
        <f>IF($A41="","",$B$8+SUMIFS('Registro'!$G$4:$G$1503,'Registro'!$B$4:$B$1503,$B$3,'Registro'!$A$4:$A$1503,"&lt;="&amp;$A41))</f>
        <v/>
      </c>
      <c r="G41" s="17">
        <f>IFERROR(IF(INDEX('Registro'!$F$4:$F$1503,MATCH(26,'Registro'!$I$4:$I$1503,0))="","",INDEX('Registro'!$F$4:$F$1503,MATCH(26,'Registro'!$I$4:$I$1503,0))),"")</f>
        <v/>
      </c>
    </row>
    <row r="42">
      <c r="A42" s="16">
        <f>IFERROR(IF(INDEX('Registro'!$A$4:$A$1503,MATCH(27,'Registro'!$I$4:$I$1503,0))="","",INDEX('Registro'!$A$4:$A$1503,MATCH(27,'Registro'!$I$4:$I$1503,0))),"")</f>
        <v/>
      </c>
      <c r="B42" s="17">
        <f>IFERROR(IF(INDEX('Registro'!$C$4:$C$1503,MATCH(27,'Registro'!$I$4:$I$1503,0))="","",INDEX('Registro'!$C$4:$C$1503,MATCH(27,'Registro'!$I$4:$I$1503,0))),"")</f>
        <v/>
      </c>
      <c r="C42" s="18">
        <f>IFERROR(IF(INDEX('Registro'!$D$4:$D$1503,MATCH(27,'Registro'!$I$4:$I$1503,0))="","",INDEX('Registro'!$D$4:$D$1503,MATCH(27,'Registro'!$I$4:$I$1503,0))),"")</f>
        <v/>
      </c>
      <c r="D42" s="18">
        <f>IFERROR(IF(INDEX('Registro'!$E$4:$E$1503,MATCH(27,'Registro'!$I$4:$I$1503,0))="","",INDEX('Registro'!$E$4:$E$1503,MATCH(27,'Registro'!$I$4:$I$1503,0))),"")</f>
        <v/>
      </c>
      <c r="E42" s="19">
        <f>IFERROR(IF(INDEX('Registro'!$G$4:$G$1503,MATCH(27,'Registro'!$I$4:$I$1503,0))="","",INDEX('Registro'!$G$4:$G$1503,MATCH(27,'Registro'!$I$4:$I$1503,0))),"")</f>
        <v/>
      </c>
      <c r="F42" s="20">
        <f>IF($A42="","",$B$8+SUMIFS('Registro'!$G$4:$G$1503,'Registro'!$B$4:$B$1503,$B$3,'Registro'!$A$4:$A$1503,"&lt;="&amp;$A42))</f>
        <v/>
      </c>
      <c r="G42" s="17">
        <f>IFERROR(IF(INDEX('Registro'!$F$4:$F$1503,MATCH(27,'Registro'!$I$4:$I$1503,0))="","",INDEX('Registro'!$F$4:$F$1503,MATCH(27,'Registro'!$I$4:$I$1503,0))),"")</f>
        <v/>
      </c>
    </row>
    <row r="43">
      <c r="A43" s="16">
        <f>IFERROR(IF(INDEX('Registro'!$A$4:$A$1503,MATCH(28,'Registro'!$I$4:$I$1503,0))="","",INDEX('Registro'!$A$4:$A$1503,MATCH(28,'Registro'!$I$4:$I$1503,0))),"")</f>
        <v/>
      </c>
      <c r="B43" s="17">
        <f>IFERROR(IF(INDEX('Registro'!$C$4:$C$1503,MATCH(28,'Registro'!$I$4:$I$1503,0))="","",INDEX('Registro'!$C$4:$C$1503,MATCH(28,'Registro'!$I$4:$I$1503,0))),"")</f>
        <v/>
      </c>
      <c r="C43" s="18">
        <f>IFERROR(IF(INDEX('Registro'!$D$4:$D$1503,MATCH(28,'Registro'!$I$4:$I$1503,0))="","",INDEX('Registro'!$D$4:$D$1503,MATCH(28,'Registro'!$I$4:$I$1503,0))),"")</f>
        <v/>
      </c>
      <c r="D43" s="18">
        <f>IFERROR(IF(INDEX('Registro'!$E$4:$E$1503,MATCH(28,'Registro'!$I$4:$I$1503,0))="","",INDEX('Registro'!$E$4:$E$1503,MATCH(28,'Registro'!$I$4:$I$1503,0))),"")</f>
        <v/>
      </c>
      <c r="E43" s="19">
        <f>IFERROR(IF(INDEX('Registro'!$G$4:$G$1503,MATCH(28,'Registro'!$I$4:$I$1503,0))="","",INDEX('Registro'!$G$4:$G$1503,MATCH(28,'Registro'!$I$4:$I$1503,0))),"")</f>
        <v/>
      </c>
      <c r="F43" s="20">
        <f>IF($A43="","",$B$8+SUMIFS('Registro'!$G$4:$G$1503,'Registro'!$B$4:$B$1503,$B$3,'Registro'!$A$4:$A$1503,"&lt;="&amp;$A43))</f>
        <v/>
      </c>
      <c r="G43" s="17">
        <f>IFERROR(IF(INDEX('Registro'!$F$4:$F$1503,MATCH(28,'Registro'!$I$4:$I$1503,0))="","",INDEX('Registro'!$F$4:$F$1503,MATCH(28,'Registro'!$I$4:$I$1503,0))),"")</f>
        <v/>
      </c>
    </row>
    <row r="44">
      <c r="A44" s="16">
        <f>IFERROR(IF(INDEX('Registro'!$A$4:$A$1503,MATCH(29,'Registro'!$I$4:$I$1503,0))="","",INDEX('Registro'!$A$4:$A$1503,MATCH(29,'Registro'!$I$4:$I$1503,0))),"")</f>
        <v/>
      </c>
      <c r="B44" s="17">
        <f>IFERROR(IF(INDEX('Registro'!$C$4:$C$1503,MATCH(29,'Registro'!$I$4:$I$1503,0))="","",INDEX('Registro'!$C$4:$C$1503,MATCH(29,'Registro'!$I$4:$I$1503,0))),"")</f>
        <v/>
      </c>
      <c r="C44" s="18">
        <f>IFERROR(IF(INDEX('Registro'!$D$4:$D$1503,MATCH(29,'Registro'!$I$4:$I$1503,0))="","",INDEX('Registro'!$D$4:$D$1503,MATCH(29,'Registro'!$I$4:$I$1503,0))),"")</f>
        <v/>
      </c>
      <c r="D44" s="18">
        <f>IFERROR(IF(INDEX('Registro'!$E$4:$E$1503,MATCH(29,'Registro'!$I$4:$I$1503,0))="","",INDEX('Registro'!$E$4:$E$1503,MATCH(29,'Registro'!$I$4:$I$1503,0))),"")</f>
        <v/>
      </c>
      <c r="E44" s="19">
        <f>IFERROR(IF(INDEX('Registro'!$G$4:$G$1503,MATCH(29,'Registro'!$I$4:$I$1503,0))="","",INDEX('Registro'!$G$4:$G$1503,MATCH(29,'Registro'!$I$4:$I$1503,0))),"")</f>
        <v/>
      </c>
      <c r="F44" s="20">
        <f>IF($A44="","",$B$8+SUMIFS('Registro'!$G$4:$G$1503,'Registro'!$B$4:$B$1503,$B$3,'Registro'!$A$4:$A$1503,"&lt;="&amp;$A44))</f>
        <v/>
      </c>
      <c r="G44" s="17">
        <f>IFERROR(IF(INDEX('Registro'!$F$4:$F$1503,MATCH(29,'Registro'!$I$4:$I$1503,0))="","",INDEX('Registro'!$F$4:$F$1503,MATCH(29,'Registro'!$I$4:$I$1503,0))),"")</f>
        <v/>
      </c>
    </row>
    <row r="45">
      <c r="A45" s="16">
        <f>IFERROR(IF(INDEX('Registro'!$A$4:$A$1503,MATCH(30,'Registro'!$I$4:$I$1503,0))="","",INDEX('Registro'!$A$4:$A$1503,MATCH(30,'Registro'!$I$4:$I$1503,0))),"")</f>
        <v/>
      </c>
      <c r="B45" s="17">
        <f>IFERROR(IF(INDEX('Registro'!$C$4:$C$1503,MATCH(30,'Registro'!$I$4:$I$1503,0))="","",INDEX('Registro'!$C$4:$C$1503,MATCH(30,'Registro'!$I$4:$I$1503,0))),"")</f>
        <v/>
      </c>
      <c r="C45" s="18">
        <f>IFERROR(IF(INDEX('Registro'!$D$4:$D$1503,MATCH(30,'Registro'!$I$4:$I$1503,0))="","",INDEX('Registro'!$D$4:$D$1503,MATCH(30,'Registro'!$I$4:$I$1503,0))),"")</f>
        <v/>
      </c>
      <c r="D45" s="18">
        <f>IFERROR(IF(INDEX('Registro'!$E$4:$E$1503,MATCH(30,'Registro'!$I$4:$I$1503,0))="","",INDEX('Registro'!$E$4:$E$1503,MATCH(30,'Registro'!$I$4:$I$1503,0))),"")</f>
        <v/>
      </c>
      <c r="E45" s="19">
        <f>IFERROR(IF(INDEX('Registro'!$G$4:$G$1503,MATCH(30,'Registro'!$I$4:$I$1503,0))="","",INDEX('Registro'!$G$4:$G$1503,MATCH(30,'Registro'!$I$4:$I$1503,0))),"")</f>
        <v/>
      </c>
      <c r="F45" s="20">
        <f>IF($A45="","",$B$8+SUMIFS('Registro'!$G$4:$G$1503,'Registro'!$B$4:$B$1503,$B$3,'Registro'!$A$4:$A$1503,"&lt;="&amp;$A45))</f>
        <v/>
      </c>
      <c r="G45" s="17">
        <f>IFERROR(IF(INDEX('Registro'!$F$4:$F$1503,MATCH(30,'Registro'!$I$4:$I$1503,0))="","",INDEX('Registro'!$F$4:$F$1503,MATCH(30,'Registro'!$I$4:$I$1503,0))),"")</f>
        <v/>
      </c>
    </row>
    <row r="46">
      <c r="A46" s="16">
        <f>IFERROR(IF(INDEX('Registro'!$A$4:$A$1503,MATCH(31,'Registro'!$I$4:$I$1503,0))="","",INDEX('Registro'!$A$4:$A$1503,MATCH(31,'Registro'!$I$4:$I$1503,0))),"")</f>
        <v/>
      </c>
      <c r="B46" s="17">
        <f>IFERROR(IF(INDEX('Registro'!$C$4:$C$1503,MATCH(31,'Registro'!$I$4:$I$1503,0))="","",INDEX('Registro'!$C$4:$C$1503,MATCH(31,'Registro'!$I$4:$I$1503,0))),"")</f>
        <v/>
      </c>
      <c r="C46" s="18">
        <f>IFERROR(IF(INDEX('Registro'!$D$4:$D$1503,MATCH(31,'Registro'!$I$4:$I$1503,0))="","",INDEX('Registro'!$D$4:$D$1503,MATCH(31,'Registro'!$I$4:$I$1503,0))),"")</f>
        <v/>
      </c>
      <c r="D46" s="18">
        <f>IFERROR(IF(INDEX('Registro'!$E$4:$E$1503,MATCH(31,'Registro'!$I$4:$I$1503,0))="","",INDEX('Registro'!$E$4:$E$1503,MATCH(31,'Registro'!$I$4:$I$1503,0))),"")</f>
        <v/>
      </c>
      <c r="E46" s="19">
        <f>IFERROR(IF(INDEX('Registro'!$G$4:$G$1503,MATCH(31,'Registro'!$I$4:$I$1503,0))="","",INDEX('Registro'!$G$4:$G$1503,MATCH(31,'Registro'!$I$4:$I$1503,0))),"")</f>
        <v/>
      </c>
      <c r="F46" s="20">
        <f>IF($A46="","",$B$8+SUMIFS('Registro'!$G$4:$G$1503,'Registro'!$B$4:$B$1503,$B$3,'Registro'!$A$4:$A$1503,"&lt;="&amp;$A46))</f>
        <v/>
      </c>
      <c r="G46" s="17">
        <f>IFERROR(IF(INDEX('Registro'!$F$4:$F$1503,MATCH(31,'Registro'!$I$4:$I$1503,0))="","",INDEX('Registro'!$F$4:$F$1503,MATCH(31,'Registro'!$I$4:$I$1503,0))),"")</f>
        <v/>
      </c>
    </row>
    <row r="47">
      <c r="A47" s="16">
        <f>IFERROR(IF(INDEX('Registro'!$A$4:$A$1503,MATCH(32,'Registro'!$I$4:$I$1503,0))="","",INDEX('Registro'!$A$4:$A$1503,MATCH(32,'Registro'!$I$4:$I$1503,0))),"")</f>
        <v/>
      </c>
      <c r="B47" s="17">
        <f>IFERROR(IF(INDEX('Registro'!$C$4:$C$1503,MATCH(32,'Registro'!$I$4:$I$1503,0))="","",INDEX('Registro'!$C$4:$C$1503,MATCH(32,'Registro'!$I$4:$I$1503,0))),"")</f>
        <v/>
      </c>
      <c r="C47" s="18">
        <f>IFERROR(IF(INDEX('Registro'!$D$4:$D$1503,MATCH(32,'Registro'!$I$4:$I$1503,0))="","",INDEX('Registro'!$D$4:$D$1503,MATCH(32,'Registro'!$I$4:$I$1503,0))),"")</f>
        <v/>
      </c>
      <c r="D47" s="18">
        <f>IFERROR(IF(INDEX('Registro'!$E$4:$E$1503,MATCH(32,'Registro'!$I$4:$I$1503,0))="","",INDEX('Registro'!$E$4:$E$1503,MATCH(32,'Registro'!$I$4:$I$1503,0))),"")</f>
        <v/>
      </c>
      <c r="E47" s="19">
        <f>IFERROR(IF(INDEX('Registro'!$G$4:$G$1503,MATCH(32,'Registro'!$I$4:$I$1503,0))="","",INDEX('Registro'!$G$4:$G$1503,MATCH(32,'Registro'!$I$4:$I$1503,0))),"")</f>
        <v/>
      </c>
      <c r="F47" s="20">
        <f>IF($A47="","",$B$8+SUMIFS('Registro'!$G$4:$G$1503,'Registro'!$B$4:$B$1503,$B$3,'Registro'!$A$4:$A$1503,"&lt;="&amp;$A47))</f>
        <v/>
      </c>
      <c r="G47" s="17">
        <f>IFERROR(IF(INDEX('Registro'!$F$4:$F$1503,MATCH(32,'Registro'!$I$4:$I$1503,0))="","",INDEX('Registro'!$F$4:$F$1503,MATCH(32,'Registro'!$I$4:$I$1503,0))),"")</f>
        <v/>
      </c>
    </row>
    <row r="48">
      <c r="A48" s="16">
        <f>IFERROR(IF(INDEX('Registro'!$A$4:$A$1503,MATCH(33,'Registro'!$I$4:$I$1503,0))="","",INDEX('Registro'!$A$4:$A$1503,MATCH(33,'Registro'!$I$4:$I$1503,0))),"")</f>
        <v/>
      </c>
      <c r="B48" s="17">
        <f>IFERROR(IF(INDEX('Registro'!$C$4:$C$1503,MATCH(33,'Registro'!$I$4:$I$1503,0))="","",INDEX('Registro'!$C$4:$C$1503,MATCH(33,'Registro'!$I$4:$I$1503,0))),"")</f>
        <v/>
      </c>
      <c r="C48" s="18">
        <f>IFERROR(IF(INDEX('Registro'!$D$4:$D$1503,MATCH(33,'Registro'!$I$4:$I$1503,0))="","",INDEX('Registro'!$D$4:$D$1503,MATCH(33,'Registro'!$I$4:$I$1503,0))),"")</f>
        <v/>
      </c>
      <c r="D48" s="18">
        <f>IFERROR(IF(INDEX('Registro'!$E$4:$E$1503,MATCH(33,'Registro'!$I$4:$I$1503,0))="","",INDEX('Registro'!$E$4:$E$1503,MATCH(33,'Registro'!$I$4:$I$1503,0))),"")</f>
        <v/>
      </c>
      <c r="E48" s="19">
        <f>IFERROR(IF(INDEX('Registro'!$G$4:$G$1503,MATCH(33,'Registro'!$I$4:$I$1503,0))="","",INDEX('Registro'!$G$4:$G$1503,MATCH(33,'Registro'!$I$4:$I$1503,0))),"")</f>
        <v/>
      </c>
      <c r="F48" s="20">
        <f>IF($A48="","",$B$8+SUMIFS('Registro'!$G$4:$G$1503,'Registro'!$B$4:$B$1503,$B$3,'Registro'!$A$4:$A$1503,"&lt;="&amp;$A48))</f>
        <v/>
      </c>
      <c r="G48" s="17">
        <f>IFERROR(IF(INDEX('Registro'!$F$4:$F$1503,MATCH(33,'Registro'!$I$4:$I$1503,0))="","",INDEX('Registro'!$F$4:$F$1503,MATCH(33,'Registro'!$I$4:$I$1503,0))),"")</f>
        <v/>
      </c>
    </row>
    <row r="49">
      <c r="A49" s="16">
        <f>IFERROR(IF(INDEX('Registro'!$A$4:$A$1503,MATCH(34,'Registro'!$I$4:$I$1503,0))="","",INDEX('Registro'!$A$4:$A$1503,MATCH(34,'Registro'!$I$4:$I$1503,0))),"")</f>
        <v/>
      </c>
      <c r="B49" s="17">
        <f>IFERROR(IF(INDEX('Registro'!$C$4:$C$1503,MATCH(34,'Registro'!$I$4:$I$1503,0))="","",INDEX('Registro'!$C$4:$C$1503,MATCH(34,'Registro'!$I$4:$I$1503,0))),"")</f>
        <v/>
      </c>
      <c r="C49" s="18">
        <f>IFERROR(IF(INDEX('Registro'!$D$4:$D$1503,MATCH(34,'Registro'!$I$4:$I$1503,0))="","",INDEX('Registro'!$D$4:$D$1503,MATCH(34,'Registro'!$I$4:$I$1503,0))),"")</f>
        <v/>
      </c>
      <c r="D49" s="18">
        <f>IFERROR(IF(INDEX('Registro'!$E$4:$E$1503,MATCH(34,'Registro'!$I$4:$I$1503,0))="","",INDEX('Registro'!$E$4:$E$1503,MATCH(34,'Registro'!$I$4:$I$1503,0))),"")</f>
        <v/>
      </c>
      <c r="E49" s="19">
        <f>IFERROR(IF(INDEX('Registro'!$G$4:$G$1503,MATCH(34,'Registro'!$I$4:$I$1503,0))="","",INDEX('Registro'!$G$4:$G$1503,MATCH(34,'Registro'!$I$4:$I$1503,0))),"")</f>
        <v/>
      </c>
      <c r="F49" s="20">
        <f>IF($A49="","",$B$8+SUMIFS('Registro'!$G$4:$G$1503,'Registro'!$B$4:$B$1503,$B$3,'Registro'!$A$4:$A$1503,"&lt;="&amp;$A49))</f>
        <v/>
      </c>
      <c r="G49" s="17">
        <f>IFERROR(IF(INDEX('Registro'!$F$4:$F$1503,MATCH(34,'Registro'!$I$4:$I$1503,0))="","",INDEX('Registro'!$F$4:$F$1503,MATCH(34,'Registro'!$I$4:$I$1503,0))),"")</f>
        <v/>
      </c>
    </row>
    <row r="50">
      <c r="A50" s="16">
        <f>IFERROR(IF(INDEX('Registro'!$A$4:$A$1503,MATCH(35,'Registro'!$I$4:$I$1503,0))="","",INDEX('Registro'!$A$4:$A$1503,MATCH(35,'Registro'!$I$4:$I$1503,0))),"")</f>
        <v/>
      </c>
      <c r="B50" s="17">
        <f>IFERROR(IF(INDEX('Registro'!$C$4:$C$1503,MATCH(35,'Registro'!$I$4:$I$1503,0))="","",INDEX('Registro'!$C$4:$C$1503,MATCH(35,'Registro'!$I$4:$I$1503,0))),"")</f>
        <v/>
      </c>
      <c r="C50" s="18">
        <f>IFERROR(IF(INDEX('Registro'!$D$4:$D$1503,MATCH(35,'Registro'!$I$4:$I$1503,0))="","",INDEX('Registro'!$D$4:$D$1503,MATCH(35,'Registro'!$I$4:$I$1503,0))),"")</f>
        <v/>
      </c>
      <c r="D50" s="18">
        <f>IFERROR(IF(INDEX('Registro'!$E$4:$E$1503,MATCH(35,'Registro'!$I$4:$I$1503,0))="","",INDEX('Registro'!$E$4:$E$1503,MATCH(35,'Registro'!$I$4:$I$1503,0))),"")</f>
        <v/>
      </c>
      <c r="E50" s="19">
        <f>IFERROR(IF(INDEX('Registro'!$G$4:$G$1503,MATCH(35,'Registro'!$I$4:$I$1503,0))="","",INDEX('Registro'!$G$4:$G$1503,MATCH(35,'Registro'!$I$4:$I$1503,0))),"")</f>
        <v/>
      </c>
      <c r="F50" s="20">
        <f>IF($A50="","",$B$8+SUMIFS('Registro'!$G$4:$G$1503,'Registro'!$B$4:$B$1503,$B$3,'Registro'!$A$4:$A$1503,"&lt;="&amp;$A50))</f>
        <v/>
      </c>
      <c r="G50" s="17">
        <f>IFERROR(IF(INDEX('Registro'!$F$4:$F$1503,MATCH(35,'Registro'!$I$4:$I$1503,0))="","",INDEX('Registro'!$F$4:$F$1503,MATCH(35,'Registro'!$I$4:$I$1503,0))),"")</f>
        <v/>
      </c>
    </row>
    <row r="51">
      <c r="A51" s="16">
        <f>IFERROR(IF(INDEX('Registro'!$A$4:$A$1503,MATCH(36,'Registro'!$I$4:$I$1503,0))="","",INDEX('Registro'!$A$4:$A$1503,MATCH(36,'Registro'!$I$4:$I$1503,0))),"")</f>
        <v/>
      </c>
      <c r="B51" s="17">
        <f>IFERROR(IF(INDEX('Registro'!$C$4:$C$1503,MATCH(36,'Registro'!$I$4:$I$1503,0))="","",INDEX('Registro'!$C$4:$C$1503,MATCH(36,'Registro'!$I$4:$I$1503,0))),"")</f>
        <v/>
      </c>
      <c r="C51" s="18">
        <f>IFERROR(IF(INDEX('Registro'!$D$4:$D$1503,MATCH(36,'Registro'!$I$4:$I$1503,0))="","",INDEX('Registro'!$D$4:$D$1503,MATCH(36,'Registro'!$I$4:$I$1503,0))),"")</f>
        <v/>
      </c>
      <c r="D51" s="18">
        <f>IFERROR(IF(INDEX('Registro'!$E$4:$E$1503,MATCH(36,'Registro'!$I$4:$I$1503,0))="","",INDEX('Registro'!$E$4:$E$1503,MATCH(36,'Registro'!$I$4:$I$1503,0))),"")</f>
        <v/>
      </c>
      <c r="E51" s="19">
        <f>IFERROR(IF(INDEX('Registro'!$G$4:$G$1503,MATCH(36,'Registro'!$I$4:$I$1503,0))="","",INDEX('Registro'!$G$4:$G$1503,MATCH(36,'Registro'!$I$4:$I$1503,0))),"")</f>
        <v/>
      </c>
      <c r="F51" s="20">
        <f>IF($A51="","",$B$8+SUMIFS('Registro'!$G$4:$G$1503,'Registro'!$B$4:$B$1503,$B$3,'Registro'!$A$4:$A$1503,"&lt;="&amp;$A51))</f>
        <v/>
      </c>
      <c r="G51" s="17">
        <f>IFERROR(IF(INDEX('Registro'!$F$4:$F$1503,MATCH(36,'Registro'!$I$4:$I$1503,0))="","",INDEX('Registro'!$F$4:$F$1503,MATCH(36,'Registro'!$I$4:$I$1503,0))),"")</f>
        <v/>
      </c>
    </row>
    <row r="52">
      <c r="A52" s="16">
        <f>IFERROR(IF(INDEX('Registro'!$A$4:$A$1503,MATCH(37,'Registro'!$I$4:$I$1503,0))="","",INDEX('Registro'!$A$4:$A$1503,MATCH(37,'Registro'!$I$4:$I$1503,0))),"")</f>
        <v/>
      </c>
      <c r="B52" s="17">
        <f>IFERROR(IF(INDEX('Registro'!$C$4:$C$1503,MATCH(37,'Registro'!$I$4:$I$1503,0))="","",INDEX('Registro'!$C$4:$C$1503,MATCH(37,'Registro'!$I$4:$I$1503,0))),"")</f>
        <v/>
      </c>
      <c r="C52" s="18">
        <f>IFERROR(IF(INDEX('Registro'!$D$4:$D$1503,MATCH(37,'Registro'!$I$4:$I$1503,0))="","",INDEX('Registro'!$D$4:$D$1503,MATCH(37,'Registro'!$I$4:$I$1503,0))),"")</f>
        <v/>
      </c>
      <c r="D52" s="18">
        <f>IFERROR(IF(INDEX('Registro'!$E$4:$E$1503,MATCH(37,'Registro'!$I$4:$I$1503,0))="","",INDEX('Registro'!$E$4:$E$1503,MATCH(37,'Registro'!$I$4:$I$1503,0))),"")</f>
        <v/>
      </c>
      <c r="E52" s="19">
        <f>IFERROR(IF(INDEX('Registro'!$G$4:$G$1503,MATCH(37,'Registro'!$I$4:$I$1503,0))="","",INDEX('Registro'!$G$4:$G$1503,MATCH(37,'Registro'!$I$4:$I$1503,0))),"")</f>
        <v/>
      </c>
      <c r="F52" s="20">
        <f>IF($A52="","",$B$8+SUMIFS('Registro'!$G$4:$G$1503,'Registro'!$B$4:$B$1503,$B$3,'Registro'!$A$4:$A$1503,"&lt;="&amp;$A52))</f>
        <v/>
      </c>
      <c r="G52" s="17">
        <f>IFERROR(IF(INDEX('Registro'!$F$4:$F$1503,MATCH(37,'Registro'!$I$4:$I$1503,0))="","",INDEX('Registro'!$F$4:$F$1503,MATCH(37,'Registro'!$I$4:$I$1503,0))),"")</f>
        <v/>
      </c>
    </row>
    <row r="53">
      <c r="A53" s="16">
        <f>IFERROR(IF(INDEX('Registro'!$A$4:$A$1503,MATCH(38,'Registro'!$I$4:$I$1503,0))="","",INDEX('Registro'!$A$4:$A$1503,MATCH(38,'Registro'!$I$4:$I$1503,0))),"")</f>
        <v/>
      </c>
      <c r="B53" s="17">
        <f>IFERROR(IF(INDEX('Registro'!$C$4:$C$1503,MATCH(38,'Registro'!$I$4:$I$1503,0))="","",INDEX('Registro'!$C$4:$C$1503,MATCH(38,'Registro'!$I$4:$I$1503,0))),"")</f>
        <v/>
      </c>
      <c r="C53" s="18">
        <f>IFERROR(IF(INDEX('Registro'!$D$4:$D$1503,MATCH(38,'Registro'!$I$4:$I$1503,0))="","",INDEX('Registro'!$D$4:$D$1503,MATCH(38,'Registro'!$I$4:$I$1503,0))),"")</f>
        <v/>
      </c>
      <c r="D53" s="18">
        <f>IFERROR(IF(INDEX('Registro'!$E$4:$E$1503,MATCH(38,'Registro'!$I$4:$I$1503,0))="","",INDEX('Registro'!$E$4:$E$1503,MATCH(38,'Registro'!$I$4:$I$1503,0))),"")</f>
        <v/>
      </c>
      <c r="E53" s="19">
        <f>IFERROR(IF(INDEX('Registro'!$G$4:$G$1503,MATCH(38,'Registro'!$I$4:$I$1503,0))="","",INDEX('Registro'!$G$4:$G$1503,MATCH(38,'Registro'!$I$4:$I$1503,0))),"")</f>
        <v/>
      </c>
      <c r="F53" s="20">
        <f>IF($A53="","",$B$8+SUMIFS('Registro'!$G$4:$G$1503,'Registro'!$B$4:$B$1503,$B$3,'Registro'!$A$4:$A$1503,"&lt;="&amp;$A53))</f>
        <v/>
      </c>
      <c r="G53" s="17">
        <f>IFERROR(IF(INDEX('Registro'!$F$4:$F$1503,MATCH(38,'Registro'!$I$4:$I$1503,0))="","",INDEX('Registro'!$F$4:$F$1503,MATCH(38,'Registro'!$I$4:$I$1503,0))),"")</f>
        <v/>
      </c>
    </row>
    <row r="54">
      <c r="A54" s="16">
        <f>IFERROR(IF(INDEX('Registro'!$A$4:$A$1503,MATCH(39,'Registro'!$I$4:$I$1503,0))="","",INDEX('Registro'!$A$4:$A$1503,MATCH(39,'Registro'!$I$4:$I$1503,0))),"")</f>
        <v/>
      </c>
      <c r="B54" s="17">
        <f>IFERROR(IF(INDEX('Registro'!$C$4:$C$1503,MATCH(39,'Registro'!$I$4:$I$1503,0))="","",INDEX('Registro'!$C$4:$C$1503,MATCH(39,'Registro'!$I$4:$I$1503,0))),"")</f>
        <v/>
      </c>
      <c r="C54" s="18">
        <f>IFERROR(IF(INDEX('Registro'!$D$4:$D$1503,MATCH(39,'Registro'!$I$4:$I$1503,0))="","",INDEX('Registro'!$D$4:$D$1503,MATCH(39,'Registro'!$I$4:$I$1503,0))),"")</f>
        <v/>
      </c>
      <c r="D54" s="18">
        <f>IFERROR(IF(INDEX('Registro'!$E$4:$E$1503,MATCH(39,'Registro'!$I$4:$I$1503,0))="","",INDEX('Registro'!$E$4:$E$1503,MATCH(39,'Registro'!$I$4:$I$1503,0))),"")</f>
        <v/>
      </c>
      <c r="E54" s="19">
        <f>IFERROR(IF(INDEX('Registro'!$G$4:$G$1503,MATCH(39,'Registro'!$I$4:$I$1503,0))="","",INDEX('Registro'!$G$4:$G$1503,MATCH(39,'Registro'!$I$4:$I$1503,0))),"")</f>
        <v/>
      </c>
      <c r="F54" s="20">
        <f>IF($A54="","",$B$8+SUMIFS('Registro'!$G$4:$G$1503,'Registro'!$B$4:$B$1503,$B$3,'Registro'!$A$4:$A$1503,"&lt;="&amp;$A54))</f>
        <v/>
      </c>
      <c r="G54" s="17">
        <f>IFERROR(IF(INDEX('Registro'!$F$4:$F$1503,MATCH(39,'Registro'!$I$4:$I$1503,0))="","",INDEX('Registro'!$F$4:$F$1503,MATCH(39,'Registro'!$I$4:$I$1503,0))),"")</f>
        <v/>
      </c>
    </row>
    <row r="55">
      <c r="A55" s="16">
        <f>IFERROR(IF(INDEX('Registro'!$A$4:$A$1503,MATCH(40,'Registro'!$I$4:$I$1503,0))="","",INDEX('Registro'!$A$4:$A$1503,MATCH(40,'Registro'!$I$4:$I$1503,0))),"")</f>
        <v/>
      </c>
      <c r="B55" s="17">
        <f>IFERROR(IF(INDEX('Registro'!$C$4:$C$1503,MATCH(40,'Registro'!$I$4:$I$1503,0))="","",INDEX('Registro'!$C$4:$C$1503,MATCH(40,'Registro'!$I$4:$I$1503,0))),"")</f>
        <v/>
      </c>
      <c r="C55" s="18">
        <f>IFERROR(IF(INDEX('Registro'!$D$4:$D$1503,MATCH(40,'Registro'!$I$4:$I$1503,0))="","",INDEX('Registro'!$D$4:$D$1503,MATCH(40,'Registro'!$I$4:$I$1503,0))),"")</f>
        <v/>
      </c>
      <c r="D55" s="18">
        <f>IFERROR(IF(INDEX('Registro'!$E$4:$E$1503,MATCH(40,'Registro'!$I$4:$I$1503,0))="","",INDEX('Registro'!$E$4:$E$1503,MATCH(40,'Registro'!$I$4:$I$1503,0))),"")</f>
        <v/>
      </c>
      <c r="E55" s="19">
        <f>IFERROR(IF(INDEX('Registro'!$G$4:$G$1503,MATCH(40,'Registro'!$I$4:$I$1503,0))="","",INDEX('Registro'!$G$4:$G$1503,MATCH(40,'Registro'!$I$4:$I$1503,0))),"")</f>
        <v/>
      </c>
      <c r="F55" s="20">
        <f>IF($A55="","",$B$8+SUMIFS('Registro'!$G$4:$G$1503,'Registro'!$B$4:$B$1503,$B$3,'Registro'!$A$4:$A$1503,"&lt;="&amp;$A55))</f>
        <v/>
      </c>
      <c r="G55" s="17">
        <f>IFERROR(IF(INDEX('Registro'!$F$4:$F$1503,MATCH(40,'Registro'!$I$4:$I$1503,0))="","",INDEX('Registro'!$F$4:$F$1503,MATCH(40,'Registro'!$I$4:$I$1503,0))),"")</f>
        <v/>
      </c>
    </row>
    <row r="56">
      <c r="A56" s="21" t="inlineStr">
        <is>
          <t>Muestra los primeros 40 movimientos de esta persona, en el orden del Registro.</t>
        </is>
      </c>
    </row>
  </sheetData>
  <mergeCells count="10">
    <mergeCell ref="D8:E8"/>
    <mergeCell ref="A8"/>
    <mergeCell ref="D6:E6"/>
    <mergeCell ref="A6"/>
    <mergeCell ref="A13:G13"/>
    <mergeCell ref="A9"/>
    <mergeCell ref="D7:E7"/>
    <mergeCell ref="A7"/>
    <mergeCell ref="A10"/>
    <mergeCell ref="A11"/>
  </mergeCells>
  <conditionalFormatting sqref="E16:F55">
    <cfRule type="expression" priority="1" dxfId="0">
      <formula>AND(ISNUMBER(E16),E16&lt;0)</formula>
    </cfRule>
  </conditionalFormatting>
  <dataValidations count="1">
    <dataValidation sqref="B3" showDropDown="0" showInputMessage="0" showErrorMessage="0" allowBlank="0" type="list">
      <formula1>='Equipo'!$A$5:$A$29</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503"/>
  <sheetViews>
    <sheetView showGridLines="0" workbookViewId="0">
      <pane ySplit="3" topLeftCell="A4" activePane="bottomLeft" state="frozen"/>
      <selection pane="bottomLeft" activeCell="A1" sqref="A1"/>
    </sheetView>
  </sheetViews>
  <sheetFormatPr baseColWidth="8" defaultRowHeight="15"/>
  <cols>
    <col width="13" customWidth="1" min="1" max="1"/>
    <col width="24" customWidth="1" min="2" max="2"/>
    <col width="32" customWidth="1" min="3" max="3"/>
    <col width="10" customWidth="1" min="4" max="4"/>
    <col width="10" customWidth="1" min="5" max="5"/>
    <col width="34" customWidth="1" min="6" max="6"/>
    <col width="14" customWidth="1" min="7" max="7"/>
    <col width="14" customWidth="1" min="8" max="8"/>
    <col width="8" customWidth="1" min="9" max="9"/>
    <col width="40" customWidth="1" min="11" max="11"/>
  </cols>
  <sheetData>
    <row r="1" ht="28" customHeight="1">
      <c r="A1" s="1" t="inlineStr">
        <is>
          <t>Registro</t>
        </is>
      </c>
    </row>
    <row r="2">
      <c r="A2" s="2" t="inlineStr">
        <is>
          <t>Una fila por movimiento. Horas o días: completá el que uses.</t>
        </is>
      </c>
    </row>
    <row r="3" ht="32" customHeight="1">
      <c r="A3" s="15" t="inlineStr">
        <is>
          <t>Fecha</t>
        </is>
      </c>
      <c r="B3" s="15" t="inlineStr">
        <is>
          <t>Persona</t>
        </is>
      </c>
      <c r="C3" s="15" t="inlineStr">
        <is>
          <t>Tipo</t>
        </is>
      </c>
      <c r="D3" s="15" t="inlineStr">
        <is>
          <t>Horas</t>
        </is>
      </c>
      <c r="E3" s="15" t="inlineStr">
        <is>
          <t>Días</t>
        </is>
      </c>
      <c r="F3" s="15" t="inlineStr">
        <is>
          <t>Nota</t>
        </is>
      </c>
      <c r="G3" s="15" t="inlineStr">
        <is>
          <t>Horas acreditadas</t>
        </is>
      </c>
      <c r="H3" s="15" t="inlineStr">
        <is>
          <t>Días de vacaciones</t>
        </is>
      </c>
      <c r="I3" s="15" t="inlineStr">
        <is>
          <t>#</t>
        </is>
      </c>
    </row>
    <row r="4">
      <c r="A4" s="22" t="n">
        <v>46268</v>
      </c>
      <c r="B4" s="23" t="inlineStr">
        <is>
          <t>Lucía Fernández</t>
        </is>
      </c>
      <c r="C4" s="23" t="inlineStr">
        <is>
          <t>Horas extra trabajadas</t>
        </is>
      </c>
      <c r="D4" s="24" t="n">
        <v>3</v>
      </c>
      <c r="E4" s="24" t="n"/>
      <c r="F4" s="23" t="inlineStr">
        <is>
          <t>Cierre de mes</t>
        </is>
      </c>
      <c r="G4" s="19">
        <f>IFERROR(IF(OR($B4="",$C4=""),"",IF(MATCH($C4,'Ajustes'!$A$5:$A$8,0)&lt;=2,$D4*INDEX('Ajustes'!$C$5:$C$6,MATCH($C4,'Ajustes'!$A$5:$A$8,0)),IF(MATCH($C4,'Ajustes'!$A$5:$A$8,0)=3,-($D4+$E4*INDEX('Equipo'!$B$5:$B$29,MATCH($B4,'Equipo'!$A$5:$A$29,0))),0))),"")</f>
        <v/>
      </c>
      <c r="H4" s="25">
        <f>IFERROR(IF(OR($B4="",$C4=""),"",IF(MATCH($C4,'Ajustes'!$A$5:$A$8,0)=4,$D4/INDEX('Equipo'!$B$5:$B$29,MATCH($B4,'Equipo'!$A$5:$A$29,0))+$E4,0)),"")</f>
        <v/>
      </c>
      <c r="I4" s="26">
        <f>IF($B4='Perfil'!$B$3,COUNTIF($B$4:$B4,'Perfil'!$B$3),"")</f>
        <v/>
      </c>
      <c r="K4" s="21" t="inlineStr">
        <is>
          <t>← filas de ejemplo: pisalas o borralas</t>
        </is>
      </c>
    </row>
    <row r="5">
      <c r="A5" s="22" t="n">
        <v>46275</v>
      </c>
      <c r="B5" s="23" t="inlineStr">
        <is>
          <t>Lucía Fernández</t>
        </is>
      </c>
      <c r="C5" s="23" t="inlineStr">
        <is>
          <t>Horas extra trabajadas</t>
        </is>
      </c>
      <c r="D5" s="24" t="n">
        <v>2</v>
      </c>
      <c r="E5" s="24" t="n"/>
      <c r="F5" s="23" t="n"/>
      <c r="G5" s="19">
        <f>IFERROR(IF(OR($B5="",$C5=""),"",IF(MATCH($C5,'Ajustes'!$A$5:$A$8,0)&lt;=2,$D5*INDEX('Ajustes'!$C$5:$C$6,MATCH($C5,'Ajustes'!$A$5:$A$8,0)),IF(MATCH($C5,'Ajustes'!$A$5:$A$8,0)=3,-($D5+$E5*INDEX('Equipo'!$B$5:$B$29,MATCH($B5,'Equipo'!$A$5:$A$29,0))),0))),"")</f>
        <v/>
      </c>
      <c r="H5" s="25">
        <f>IFERROR(IF(OR($B5="",$C5=""),"",IF(MATCH($C5,'Ajustes'!$A$5:$A$8,0)=4,$D5/INDEX('Equipo'!$B$5:$B$29,MATCH($B5,'Equipo'!$A$5:$A$29,0))+$E5,0)),"")</f>
        <v/>
      </c>
      <c r="I5" s="26">
        <f>IF($B5='Perfil'!$B$3,COUNTIF($B$4:$B5,'Perfil'!$B$3),"")</f>
        <v/>
      </c>
    </row>
    <row r="6">
      <c r="A6" s="22" t="n">
        <v>46279</v>
      </c>
      <c r="B6" s="23" t="inlineStr">
        <is>
          <t>Martín Gómez</t>
        </is>
      </c>
      <c r="C6" s="23" t="inlineStr">
        <is>
          <t>Trabajo en feriado / franco</t>
        </is>
      </c>
      <c r="D6" s="24" t="n">
        <v>4</v>
      </c>
      <c r="E6" s="24" t="n"/>
      <c r="F6" s="23" t="inlineStr">
        <is>
          <t>Trabajó en feriado</t>
        </is>
      </c>
      <c r="G6" s="19">
        <f>IFERROR(IF(OR($B6="",$C6=""),"",IF(MATCH($C6,'Ajustes'!$A$5:$A$8,0)&lt;=2,$D6*INDEX('Ajustes'!$C$5:$C$6,MATCH($C6,'Ajustes'!$A$5:$A$8,0)),IF(MATCH($C6,'Ajustes'!$A$5:$A$8,0)=3,-($D6+$E6*INDEX('Equipo'!$B$5:$B$29,MATCH($B6,'Equipo'!$A$5:$A$29,0))),0))),"")</f>
        <v/>
      </c>
      <c r="H6" s="25">
        <f>IFERROR(IF(OR($B6="",$C6=""),"",IF(MATCH($C6,'Ajustes'!$A$5:$A$8,0)=4,$D6/INDEX('Equipo'!$B$5:$B$29,MATCH($B6,'Equipo'!$A$5:$A$29,0))+$E6,0)),"")</f>
        <v/>
      </c>
      <c r="I6" s="26">
        <f>IF($B6='Perfil'!$B$3,COUNTIF($B$4:$B6,'Perfil'!$B$3),"")</f>
        <v/>
      </c>
    </row>
    <row r="7">
      <c r="A7" s="22" t="n">
        <v>46284</v>
      </c>
      <c r="B7" s="23" t="inlineStr">
        <is>
          <t>Martín Gómez</t>
        </is>
      </c>
      <c r="C7" s="23" t="inlineStr">
        <is>
          <t>Horas extra trabajadas</t>
        </is>
      </c>
      <c r="D7" s="24" t="n">
        <v>3</v>
      </c>
      <c r="E7" s="24" t="n"/>
      <c r="F7" s="23" t="inlineStr">
        <is>
          <t>Inventario</t>
        </is>
      </c>
      <c r="G7" s="19">
        <f>IFERROR(IF(OR($B7="",$C7=""),"",IF(MATCH($C7,'Ajustes'!$A$5:$A$8,0)&lt;=2,$D7*INDEX('Ajustes'!$C$5:$C$6,MATCH($C7,'Ajustes'!$A$5:$A$8,0)),IF(MATCH($C7,'Ajustes'!$A$5:$A$8,0)=3,-($D7+$E7*INDEX('Equipo'!$B$5:$B$29,MATCH($B7,'Equipo'!$A$5:$A$29,0))),0))),"")</f>
        <v/>
      </c>
      <c r="H7" s="25">
        <f>IFERROR(IF(OR($B7="",$C7=""),"",IF(MATCH($C7,'Ajustes'!$A$5:$A$8,0)=4,$D7/INDEX('Equipo'!$B$5:$B$29,MATCH($B7,'Equipo'!$A$5:$A$29,0))+$E7,0)),"")</f>
        <v/>
      </c>
      <c r="I7" s="26">
        <f>IF($B7='Perfil'!$B$3,COUNTIF($B$4:$B7,'Perfil'!$B$3),"")</f>
        <v/>
      </c>
    </row>
    <row r="8">
      <c r="A8" s="22" t="n">
        <v>46286</v>
      </c>
      <c r="B8" s="23" t="inlineStr">
        <is>
          <t>Lucía Fernández</t>
        </is>
      </c>
      <c r="C8" s="23" t="inlineStr">
        <is>
          <t>Franco compensatorio tomado</t>
        </is>
      </c>
      <c r="D8" s="24" t="n">
        <v>3</v>
      </c>
      <c r="E8" s="24" t="n"/>
      <c r="F8" s="23" t="inlineStr">
        <is>
          <t>Tarde libre</t>
        </is>
      </c>
      <c r="G8" s="19">
        <f>IFERROR(IF(OR($B8="",$C8=""),"",IF(MATCH($C8,'Ajustes'!$A$5:$A$8,0)&lt;=2,$D8*INDEX('Ajustes'!$C$5:$C$6,MATCH($C8,'Ajustes'!$A$5:$A$8,0)),IF(MATCH($C8,'Ajustes'!$A$5:$A$8,0)=3,-($D8+$E8*INDEX('Equipo'!$B$5:$B$29,MATCH($B8,'Equipo'!$A$5:$A$29,0))),0))),"")</f>
        <v/>
      </c>
      <c r="H8" s="25">
        <f>IFERROR(IF(OR($B8="",$C8=""),"",IF(MATCH($C8,'Ajustes'!$A$5:$A$8,0)=4,$D8/INDEX('Equipo'!$B$5:$B$29,MATCH($B8,'Equipo'!$A$5:$A$29,0))+$E8,0)),"")</f>
        <v/>
      </c>
      <c r="I8" s="26">
        <f>IF($B8='Perfil'!$B$3,COUNTIF($B$4:$B8,'Perfil'!$B$3),"")</f>
        <v/>
      </c>
    </row>
    <row r="9">
      <c r="A9" s="22" t="n">
        <v>46291</v>
      </c>
      <c r="B9" s="23" t="inlineStr">
        <is>
          <t>Sofía Ruiz</t>
        </is>
      </c>
      <c r="C9" s="23" t="inlineStr">
        <is>
          <t>Horas extra trabajadas</t>
        </is>
      </c>
      <c r="D9" s="24" t="n">
        <v>3</v>
      </c>
      <c r="E9" s="24" t="n"/>
      <c r="F9" s="23" t="n"/>
      <c r="G9" s="19">
        <f>IFERROR(IF(OR($B9="",$C9=""),"",IF(MATCH($C9,'Ajustes'!$A$5:$A$8,0)&lt;=2,$D9*INDEX('Ajustes'!$C$5:$C$6,MATCH($C9,'Ajustes'!$A$5:$A$8,0)),IF(MATCH($C9,'Ajustes'!$A$5:$A$8,0)=3,-($D9+$E9*INDEX('Equipo'!$B$5:$B$29,MATCH($B9,'Equipo'!$A$5:$A$29,0))),0))),"")</f>
        <v/>
      </c>
      <c r="H9" s="25">
        <f>IFERROR(IF(OR($B9="",$C9=""),"",IF(MATCH($C9,'Ajustes'!$A$5:$A$8,0)=4,$D9/INDEX('Equipo'!$B$5:$B$29,MATCH($B9,'Equipo'!$A$5:$A$29,0))+$E9,0)),"")</f>
        <v/>
      </c>
      <c r="I9" s="26">
        <f>IF($B9='Perfil'!$B$3,COUNTIF($B$4:$B9,'Perfil'!$B$3),"")</f>
        <v/>
      </c>
    </row>
    <row r="10">
      <c r="A10" s="22" t="n">
        <v>46297</v>
      </c>
      <c r="B10" s="23" t="inlineStr">
        <is>
          <t>Martín Gómez</t>
        </is>
      </c>
      <c r="C10" s="23" t="inlineStr">
        <is>
          <t>Franco compensatorio tomado</t>
        </is>
      </c>
      <c r="D10" s="24" t="n"/>
      <c r="E10" s="24" t="n">
        <v>0.5</v>
      </c>
      <c r="F10" s="23" t="inlineStr">
        <is>
          <t>Medio día</t>
        </is>
      </c>
      <c r="G10" s="19">
        <f>IFERROR(IF(OR($B10="",$C10=""),"",IF(MATCH($C10,'Ajustes'!$A$5:$A$8,0)&lt;=2,$D10*INDEX('Ajustes'!$C$5:$C$6,MATCH($C10,'Ajustes'!$A$5:$A$8,0)),IF(MATCH($C10,'Ajustes'!$A$5:$A$8,0)=3,-($D10+$E10*INDEX('Equipo'!$B$5:$B$29,MATCH($B10,'Equipo'!$A$5:$A$29,0))),0))),"")</f>
        <v/>
      </c>
      <c r="H10" s="25">
        <f>IFERROR(IF(OR($B10="",$C10=""),"",IF(MATCH($C10,'Ajustes'!$A$5:$A$8,0)=4,$D10/INDEX('Equipo'!$B$5:$B$29,MATCH($B10,'Equipo'!$A$5:$A$29,0))+$E10,0)),"")</f>
        <v/>
      </c>
      <c r="I10" s="26">
        <f>IF($B10='Perfil'!$B$3,COUNTIF($B$4:$B10,'Perfil'!$B$3),"")</f>
        <v/>
      </c>
    </row>
    <row r="11">
      <c r="A11" s="22" t="n">
        <v>46307</v>
      </c>
      <c r="B11" s="23" t="inlineStr">
        <is>
          <t>Sofía Ruiz</t>
        </is>
      </c>
      <c r="C11" s="23" t="inlineStr">
        <is>
          <t>Horas extra trabajadas</t>
        </is>
      </c>
      <c r="D11" s="24" t="n">
        <v>2</v>
      </c>
      <c r="E11" s="24" t="n"/>
      <c r="F11" s="23" t="n"/>
      <c r="G11" s="19">
        <f>IFERROR(IF(OR($B11="",$C11=""),"",IF(MATCH($C11,'Ajustes'!$A$5:$A$8,0)&lt;=2,$D11*INDEX('Ajustes'!$C$5:$C$6,MATCH($C11,'Ajustes'!$A$5:$A$8,0)),IF(MATCH($C11,'Ajustes'!$A$5:$A$8,0)=3,-($D11+$E11*INDEX('Equipo'!$B$5:$B$29,MATCH($B11,'Equipo'!$A$5:$A$29,0))),0))),"")</f>
        <v/>
      </c>
      <c r="H11" s="25">
        <f>IFERROR(IF(OR($B11="",$C11=""),"",IF(MATCH($C11,'Ajustes'!$A$5:$A$8,0)=4,$D11/INDEX('Equipo'!$B$5:$B$29,MATCH($B11,'Equipo'!$A$5:$A$29,0))+$E11,0)),"")</f>
        <v/>
      </c>
      <c r="I11" s="26">
        <f>IF($B11='Perfil'!$B$3,COUNTIF($B$4:$B11,'Perfil'!$B$3),"")</f>
        <v/>
      </c>
    </row>
    <row r="12">
      <c r="A12" s="22" t="n">
        <v>46314</v>
      </c>
      <c r="B12" s="23" t="inlineStr">
        <is>
          <t>Lucía Fernández</t>
        </is>
      </c>
      <c r="C12" s="23" t="inlineStr">
        <is>
          <t>Vacaciones / licencia oficial</t>
        </is>
      </c>
      <c r="D12" s="24" t="n"/>
      <c r="E12" s="24" t="n">
        <v>5</v>
      </c>
      <c r="F12" s="23" t="inlineStr">
        <is>
          <t>Receso</t>
        </is>
      </c>
      <c r="G12" s="19">
        <f>IFERROR(IF(OR($B12="",$C12=""),"",IF(MATCH($C12,'Ajustes'!$A$5:$A$8,0)&lt;=2,$D12*INDEX('Ajustes'!$C$5:$C$6,MATCH($C12,'Ajustes'!$A$5:$A$8,0)),IF(MATCH($C12,'Ajustes'!$A$5:$A$8,0)=3,-($D12+$E12*INDEX('Equipo'!$B$5:$B$29,MATCH($B12,'Equipo'!$A$5:$A$29,0))),0))),"")</f>
        <v/>
      </c>
      <c r="H12" s="25">
        <f>IFERROR(IF(OR($B12="",$C12=""),"",IF(MATCH($C12,'Ajustes'!$A$5:$A$8,0)=4,$D12/INDEX('Equipo'!$B$5:$B$29,MATCH($B12,'Equipo'!$A$5:$A$29,0))+$E12,0)),"")</f>
        <v/>
      </c>
      <c r="I12" s="26">
        <f>IF($B12='Perfil'!$B$3,COUNTIF($B$4:$B12,'Perfil'!$B$3),"")</f>
        <v/>
      </c>
    </row>
    <row r="13">
      <c r="A13" s="22" t="n">
        <v>46317</v>
      </c>
      <c r="B13" s="23" t="inlineStr">
        <is>
          <t>Martín Gómez</t>
        </is>
      </c>
      <c r="C13" s="23" t="inlineStr">
        <is>
          <t>Horas extra trabajadas</t>
        </is>
      </c>
      <c r="D13" s="24" t="n">
        <v>3.5</v>
      </c>
      <c r="E13" s="24" t="n"/>
      <c r="F13" s="23" t="n"/>
      <c r="G13" s="19">
        <f>IFERROR(IF(OR($B13="",$C13=""),"",IF(MATCH($C13,'Ajustes'!$A$5:$A$8,0)&lt;=2,$D13*INDEX('Ajustes'!$C$5:$C$6,MATCH($C13,'Ajustes'!$A$5:$A$8,0)),IF(MATCH($C13,'Ajustes'!$A$5:$A$8,0)=3,-($D13+$E13*INDEX('Equipo'!$B$5:$B$29,MATCH($B13,'Equipo'!$A$5:$A$29,0))),0))),"")</f>
        <v/>
      </c>
      <c r="H13" s="25">
        <f>IFERROR(IF(OR($B13="",$C13=""),"",IF(MATCH($C13,'Ajustes'!$A$5:$A$8,0)=4,$D13/INDEX('Equipo'!$B$5:$B$29,MATCH($B13,'Equipo'!$A$5:$A$29,0))+$E13,0)),"")</f>
        <v/>
      </c>
      <c r="I13" s="26">
        <f>IF($B13='Perfil'!$B$3,COUNTIF($B$4:$B13,'Perfil'!$B$3),"")</f>
        <v/>
      </c>
    </row>
    <row r="14">
      <c r="A14" s="22" t="n"/>
      <c r="B14" s="23" t="n"/>
      <c r="C14" s="23" t="n"/>
      <c r="D14" s="24" t="n"/>
      <c r="E14" s="24" t="n"/>
      <c r="F14" s="23" t="n"/>
      <c r="G14" s="19">
        <f>IFERROR(IF(OR($B14="",$C14=""),"",IF(MATCH($C14,'Ajustes'!$A$5:$A$8,0)&lt;=2,$D14*INDEX('Ajustes'!$C$5:$C$6,MATCH($C14,'Ajustes'!$A$5:$A$8,0)),IF(MATCH($C14,'Ajustes'!$A$5:$A$8,0)=3,-($D14+$E14*INDEX('Equipo'!$B$5:$B$29,MATCH($B14,'Equipo'!$A$5:$A$29,0))),0))),"")</f>
        <v/>
      </c>
      <c r="H14" s="25">
        <f>IFERROR(IF(OR($B14="",$C14=""),"",IF(MATCH($C14,'Ajustes'!$A$5:$A$8,0)=4,$D14/INDEX('Equipo'!$B$5:$B$29,MATCH($B14,'Equipo'!$A$5:$A$29,0))+$E14,0)),"")</f>
        <v/>
      </c>
      <c r="I14" s="26">
        <f>IF($B14='Perfil'!$B$3,COUNTIF($B$4:$B14,'Perfil'!$B$3),"")</f>
        <v/>
      </c>
    </row>
    <row r="15">
      <c r="A15" s="22" t="n"/>
      <c r="B15" s="23" t="n"/>
      <c r="C15" s="23" t="n"/>
      <c r="D15" s="24" t="n"/>
      <c r="E15" s="24" t="n"/>
      <c r="F15" s="23" t="n"/>
      <c r="G15" s="19">
        <f>IFERROR(IF(OR($B15="",$C15=""),"",IF(MATCH($C15,'Ajustes'!$A$5:$A$8,0)&lt;=2,$D15*INDEX('Ajustes'!$C$5:$C$6,MATCH($C15,'Ajustes'!$A$5:$A$8,0)),IF(MATCH($C15,'Ajustes'!$A$5:$A$8,0)=3,-($D15+$E15*INDEX('Equipo'!$B$5:$B$29,MATCH($B15,'Equipo'!$A$5:$A$29,0))),0))),"")</f>
        <v/>
      </c>
      <c r="H15" s="25">
        <f>IFERROR(IF(OR($B15="",$C15=""),"",IF(MATCH($C15,'Ajustes'!$A$5:$A$8,0)=4,$D15/INDEX('Equipo'!$B$5:$B$29,MATCH($B15,'Equipo'!$A$5:$A$29,0))+$E15,0)),"")</f>
        <v/>
      </c>
      <c r="I15" s="26">
        <f>IF($B15='Perfil'!$B$3,COUNTIF($B$4:$B15,'Perfil'!$B$3),"")</f>
        <v/>
      </c>
    </row>
    <row r="16">
      <c r="A16" s="22" t="n"/>
      <c r="B16" s="23" t="n"/>
      <c r="C16" s="23" t="n"/>
      <c r="D16" s="24" t="n"/>
      <c r="E16" s="24" t="n"/>
      <c r="F16" s="23" t="n"/>
      <c r="G16" s="19">
        <f>IFERROR(IF(OR($B16="",$C16=""),"",IF(MATCH($C16,'Ajustes'!$A$5:$A$8,0)&lt;=2,$D16*INDEX('Ajustes'!$C$5:$C$6,MATCH($C16,'Ajustes'!$A$5:$A$8,0)),IF(MATCH($C16,'Ajustes'!$A$5:$A$8,0)=3,-($D16+$E16*INDEX('Equipo'!$B$5:$B$29,MATCH($B16,'Equipo'!$A$5:$A$29,0))),0))),"")</f>
        <v/>
      </c>
      <c r="H16" s="25">
        <f>IFERROR(IF(OR($B16="",$C16=""),"",IF(MATCH($C16,'Ajustes'!$A$5:$A$8,0)=4,$D16/INDEX('Equipo'!$B$5:$B$29,MATCH($B16,'Equipo'!$A$5:$A$29,0))+$E16,0)),"")</f>
        <v/>
      </c>
      <c r="I16" s="26">
        <f>IF($B16='Perfil'!$B$3,COUNTIF($B$4:$B16,'Perfil'!$B$3),"")</f>
        <v/>
      </c>
    </row>
    <row r="17">
      <c r="A17" s="22" t="n"/>
      <c r="B17" s="23" t="n"/>
      <c r="C17" s="23" t="n"/>
      <c r="D17" s="24" t="n"/>
      <c r="E17" s="24" t="n"/>
      <c r="F17" s="23" t="n"/>
      <c r="G17" s="19">
        <f>IFERROR(IF(OR($B17="",$C17=""),"",IF(MATCH($C17,'Ajustes'!$A$5:$A$8,0)&lt;=2,$D17*INDEX('Ajustes'!$C$5:$C$6,MATCH($C17,'Ajustes'!$A$5:$A$8,0)),IF(MATCH($C17,'Ajustes'!$A$5:$A$8,0)=3,-($D17+$E17*INDEX('Equipo'!$B$5:$B$29,MATCH($B17,'Equipo'!$A$5:$A$29,0))),0))),"")</f>
        <v/>
      </c>
      <c r="H17" s="25">
        <f>IFERROR(IF(OR($B17="",$C17=""),"",IF(MATCH($C17,'Ajustes'!$A$5:$A$8,0)=4,$D17/INDEX('Equipo'!$B$5:$B$29,MATCH($B17,'Equipo'!$A$5:$A$29,0))+$E17,0)),"")</f>
        <v/>
      </c>
      <c r="I17" s="26">
        <f>IF($B17='Perfil'!$B$3,COUNTIF($B$4:$B17,'Perfil'!$B$3),"")</f>
        <v/>
      </c>
    </row>
    <row r="18">
      <c r="A18" s="22" t="n"/>
      <c r="B18" s="23" t="n"/>
      <c r="C18" s="23" t="n"/>
      <c r="D18" s="24" t="n"/>
      <c r="E18" s="24" t="n"/>
      <c r="F18" s="23" t="n"/>
      <c r="G18" s="19">
        <f>IFERROR(IF(OR($B18="",$C18=""),"",IF(MATCH($C18,'Ajustes'!$A$5:$A$8,0)&lt;=2,$D18*INDEX('Ajustes'!$C$5:$C$6,MATCH($C18,'Ajustes'!$A$5:$A$8,0)),IF(MATCH($C18,'Ajustes'!$A$5:$A$8,0)=3,-($D18+$E18*INDEX('Equipo'!$B$5:$B$29,MATCH($B18,'Equipo'!$A$5:$A$29,0))),0))),"")</f>
        <v/>
      </c>
      <c r="H18" s="25">
        <f>IFERROR(IF(OR($B18="",$C18=""),"",IF(MATCH($C18,'Ajustes'!$A$5:$A$8,0)=4,$D18/INDEX('Equipo'!$B$5:$B$29,MATCH($B18,'Equipo'!$A$5:$A$29,0))+$E18,0)),"")</f>
        <v/>
      </c>
      <c r="I18" s="26">
        <f>IF($B18='Perfil'!$B$3,COUNTIF($B$4:$B18,'Perfil'!$B$3),"")</f>
        <v/>
      </c>
    </row>
    <row r="19">
      <c r="A19" s="22" t="n"/>
      <c r="B19" s="23" t="n"/>
      <c r="C19" s="23" t="n"/>
      <c r="D19" s="24" t="n"/>
      <c r="E19" s="24" t="n"/>
      <c r="F19" s="23" t="n"/>
      <c r="G19" s="19">
        <f>IFERROR(IF(OR($B19="",$C19=""),"",IF(MATCH($C19,'Ajustes'!$A$5:$A$8,0)&lt;=2,$D19*INDEX('Ajustes'!$C$5:$C$6,MATCH($C19,'Ajustes'!$A$5:$A$8,0)),IF(MATCH($C19,'Ajustes'!$A$5:$A$8,0)=3,-($D19+$E19*INDEX('Equipo'!$B$5:$B$29,MATCH($B19,'Equipo'!$A$5:$A$29,0))),0))),"")</f>
        <v/>
      </c>
      <c r="H19" s="25">
        <f>IFERROR(IF(OR($B19="",$C19=""),"",IF(MATCH($C19,'Ajustes'!$A$5:$A$8,0)=4,$D19/INDEX('Equipo'!$B$5:$B$29,MATCH($B19,'Equipo'!$A$5:$A$29,0))+$E19,0)),"")</f>
        <v/>
      </c>
      <c r="I19" s="26">
        <f>IF($B19='Perfil'!$B$3,COUNTIF($B$4:$B19,'Perfil'!$B$3),"")</f>
        <v/>
      </c>
    </row>
    <row r="20">
      <c r="A20" s="22" t="n"/>
      <c r="B20" s="23" t="n"/>
      <c r="C20" s="23" t="n"/>
      <c r="D20" s="24" t="n"/>
      <c r="E20" s="24" t="n"/>
      <c r="F20" s="23" t="n"/>
      <c r="G20" s="19">
        <f>IFERROR(IF(OR($B20="",$C20=""),"",IF(MATCH($C20,'Ajustes'!$A$5:$A$8,0)&lt;=2,$D20*INDEX('Ajustes'!$C$5:$C$6,MATCH($C20,'Ajustes'!$A$5:$A$8,0)),IF(MATCH($C20,'Ajustes'!$A$5:$A$8,0)=3,-($D20+$E20*INDEX('Equipo'!$B$5:$B$29,MATCH($B20,'Equipo'!$A$5:$A$29,0))),0))),"")</f>
        <v/>
      </c>
      <c r="H20" s="25">
        <f>IFERROR(IF(OR($B20="",$C20=""),"",IF(MATCH($C20,'Ajustes'!$A$5:$A$8,0)=4,$D20/INDEX('Equipo'!$B$5:$B$29,MATCH($B20,'Equipo'!$A$5:$A$29,0))+$E20,0)),"")</f>
        <v/>
      </c>
      <c r="I20" s="26">
        <f>IF($B20='Perfil'!$B$3,COUNTIF($B$4:$B20,'Perfil'!$B$3),"")</f>
        <v/>
      </c>
    </row>
    <row r="21">
      <c r="A21" s="22" t="n"/>
      <c r="B21" s="23" t="n"/>
      <c r="C21" s="23" t="n"/>
      <c r="D21" s="24" t="n"/>
      <c r="E21" s="24" t="n"/>
      <c r="F21" s="23" t="n"/>
      <c r="G21" s="19">
        <f>IFERROR(IF(OR($B21="",$C21=""),"",IF(MATCH($C21,'Ajustes'!$A$5:$A$8,0)&lt;=2,$D21*INDEX('Ajustes'!$C$5:$C$6,MATCH($C21,'Ajustes'!$A$5:$A$8,0)),IF(MATCH($C21,'Ajustes'!$A$5:$A$8,0)=3,-($D21+$E21*INDEX('Equipo'!$B$5:$B$29,MATCH($B21,'Equipo'!$A$5:$A$29,0))),0))),"")</f>
        <v/>
      </c>
      <c r="H21" s="25">
        <f>IFERROR(IF(OR($B21="",$C21=""),"",IF(MATCH($C21,'Ajustes'!$A$5:$A$8,0)=4,$D21/INDEX('Equipo'!$B$5:$B$29,MATCH($B21,'Equipo'!$A$5:$A$29,0))+$E21,0)),"")</f>
        <v/>
      </c>
      <c r="I21" s="26">
        <f>IF($B21='Perfil'!$B$3,COUNTIF($B$4:$B21,'Perfil'!$B$3),"")</f>
        <v/>
      </c>
    </row>
    <row r="22">
      <c r="A22" s="22" t="n"/>
      <c r="B22" s="23" t="n"/>
      <c r="C22" s="23" t="n"/>
      <c r="D22" s="24" t="n"/>
      <c r="E22" s="24" t="n"/>
      <c r="F22" s="23" t="n"/>
      <c r="G22" s="19">
        <f>IFERROR(IF(OR($B22="",$C22=""),"",IF(MATCH($C22,'Ajustes'!$A$5:$A$8,0)&lt;=2,$D22*INDEX('Ajustes'!$C$5:$C$6,MATCH($C22,'Ajustes'!$A$5:$A$8,0)),IF(MATCH($C22,'Ajustes'!$A$5:$A$8,0)=3,-($D22+$E22*INDEX('Equipo'!$B$5:$B$29,MATCH($B22,'Equipo'!$A$5:$A$29,0))),0))),"")</f>
        <v/>
      </c>
      <c r="H22" s="25">
        <f>IFERROR(IF(OR($B22="",$C22=""),"",IF(MATCH($C22,'Ajustes'!$A$5:$A$8,0)=4,$D22/INDEX('Equipo'!$B$5:$B$29,MATCH($B22,'Equipo'!$A$5:$A$29,0))+$E22,0)),"")</f>
        <v/>
      </c>
      <c r="I22" s="26">
        <f>IF($B22='Perfil'!$B$3,COUNTIF($B$4:$B22,'Perfil'!$B$3),"")</f>
        <v/>
      </c>
    </row>
    <row r="23">
      <c r="A23" s="22" t="n"/>
      <c r="B23" s="23" t="n"/>
      <c r="C23" s="23" t="n"/>
      <c r="D23" s="24" t="n"/>
      <c r="E23" s="24" t="n"/>
      <c r="F23" s="23" t="n"/>
      <c r="G23" s="19">
        <f>IFERROR(IF(OR($B23="",$C23=""),"",IF(MATCH($C23,'Ajustes'!$A$5:$A$8,0)&lt;=2,$D23*INDEX('Ajustes'!$C$5:$C$6,MATCH($C23,'Ajustes'!$A$5:$A$8,0)),IF(MATCH($C23,'Ajustes'!$A$5:$A$8,0)=3,-($D23+$E23*INDEX('Equipo'!$B$5:$B$29,MATCH($B23,'Equipo'!$A$5:$A$29,0))),0))),"")</f>
        <v/>
      </c>
      <c r="H23" s="25">
        <f>IFERROR(IF(OR($B23="",$C23=""),"",IF(MATCH($C23,'Ajustes'!$A$5:$A$8,0)=4,$D23/INDEX('Equipo'!$B$5:$B$29,MATCH($B23,'Equipo'!$A$5:$A$29,0))+$E23,0)),"")</f>
        <v/>
      </c>
      <c r="I23" s="26">
        <f>IF($B23='Perfil'!$B$3,COUNTIF($B$4:$B23,'Perfil'!$B$3),"")</f>
        <v/>
      </c>
    </row>
    <row r="24">
      <c r="A24" s="22" t="n"/>
      <c r="B24" s="23" t="n"/>
      <c r="C24" s="23" t="n"/>
      <c r="D24" s="24" t="n"/>
      <c r="E24" s="24" t="n"/>
      <c r="F24" s="23" t="n"/>
      <c r="G24" s="19">
        <f>IFERROR(IF(OR($B24="",$C24=""),"",IF(MATCH($C24,'Ajustes'!$A$5:$A$8,0)&lt;=2,$D24*INDEX('Ajustes'!$C$5:$C$6,MATCH($C24,'Ajustes'!$A$5:$A$8,0)),IF(MATCH($C24,'Ajustes'!$A$5:$A$8,0)=3,-($D24+$E24*INDEX('Equipo'!$B$5:$B$29,MATCH($B24,'Equipo'!$A$5:$A$29,0))),0))),"")</f>
        <v/>
      </c>
      <c r="H24" s="25">
        <f>IFERROR(IF(OR($B24="",$C24=""),"",IF(MATCH($C24,'Ajustes'!$A$5:$A$8,0)=4,$D24/INDEX('Equipo'!$B$5:$B$29,MATCH($B24,'Equipo'!$A$5:$A$29,0))+$E24,0)),"")</f>
        <v/>
      </c>
      <c r="I24" s="26">
        <f>IF($B24='Perfil'!$B$3,COUNTIF($B$4:$B24,'Perfil'!$B$3),"")</f>
        <v/>
      </c>
    </row>
    <row r="25">
      <c r="A25" s="22" t="n"/>
      <c r="B25" s="23" t="n"/>
      <c r="C25" s="23" t="n"/>
      <c r="D25" s="24" t="n"/>
      <c r="E25" s="24" t="n"/>
      <c r="F25" s="23" t="n"/>
      <c r="G25" s="19">
        <f>IFERROR(IF(OR($B25="",$C25=""),"",IF(MATCH($C25,'Ajustes'!$A$5:$A$8,0)&lt;=2,$D25*INDEX('Ajustes'!$C$5:$C$6,MATCH($C25,'Ajustes'!$A$5:$A$8,0)),IF(MATCH($C25,'Ajustes'!$A$5:$A$8,0)=3,-($D25+$E25*INDEX('Equipo'!$B$5:$B$29,MATCH($B25,'Equipo'!$A$5:$A$29,0))),0))),"")</f>
        <v/>
      </c>
      <c r="H25" s="25">
        <f>IFERROR(IF(OR($B25="",$C25=""),"",IF(MATCH($C25,'Ajustes'!$A$5:$A$8,0)=4,$D25/INDEX('Equipo'!$B$5:$B$29,MATCH($B25,'Equipo'!$A$5:$A$29,0))+$E25,0)),"")</f>
        <v/>
      </c>
      <c r="I25" s="26">
        <f>IF($B25='Perfil'!$B$3,COUNTIF($B$4:$B25,'Perfil'!$B$3),"")</f>
        <v/>
      </c>
    </row>
    <row r="26">
      <c r="A26" s="22" t="n"/>
      <c r="B26" s="23" t="n"/>
      <c r="C26" s="23" t="n"/>
      <c r="D26" s="24" t="n"/>
      <c r="E26" s="24" t="n"/>
      <c r="F26" s="23" t="n"/>
      <c r="G26" s="19">
        <f>IFERROR(IF(OR($B26="",$C26=""),"",IF(MATCH($C26,'Ajustes'!$A$5:$A$8,0)&lt;=2,$D26*INDEX('Ajustes'!$C$5:$C$6,MATCH($C26,'Ajustes'!$A$5:$A$8,0)),IF(MATCH($C26,'Ajustes'!$A$5:$A$8,0)=3,-($D26+$E26*INDEX('Equipo'!$B$5:$B$29,MATCH($B26,'Equipo'!$A$5:$A$29,0))),0))),"")</f>
        <v/>
      </c>
      <c r="H26" s="25">
        <f>IFERROR(IF(OR($B26="",$C26=""),"",IF(MATCH($C26,'Ajustes'!$A$5:$A$8,0)=4,$D26/INDEX('Equipo'!$B$5:$B$29,MATCH($B26,'Equipo'!$A$5:$A$29,0))+$E26,0)),"")</f>
        <v/>
      </c>
      <c r="I26" s="26">
        <f>IF($B26='Perfil'!$B$3,COUNTIF($B$4:$B26,'Perfil'!$B$3),"")</f>
        <v/>
      </c>
    </row>
    <row r="27">
      <c r="A27" s="22" t="n"/>
      <c r="B27" s="23" t="n"/>
      <c r="C27" s="23" t="n"/>
      <c r="D27" s="24" t="n"/>
      <c r="E27" s="24" t="n"/>
      <c r="F27" s="23" t="n"/>
      <c r="G27" s="19">
        <f>IFERROR(IF(OR($B27="",$C27=""),"",IF(MATCH($C27,'Ajustes'!$A$5:$A$8,0)&lt;=2,$D27*INDEX('Ajustes'!$C$5:$C$6,MATCH($C27,'Ajustes'!$A$5:$A$8,0)),IF(MATCH($C27,'Ajustes'!$A$5:$A$8,0)=3,-($D27+$E27*INDEX('Equipo'!$B$5:$B$29,MATCH($B27,'Equipo'!$A$5:$A$29,0))),0))),"")</f>
        <v/>
      </c>
      <c r="H27" s="25">
        <f>IFERROR(IF(OR($B27="",$C27=""),"",IF(MATCH($C27,'Ajustes'!$A$5:$A$8,0)=4,$D27/INDEX('Equipo'!$B$5:$B$29,MATCH($B27,'Equipo'!$A$5:$A$29,0))+$E27,0)),"")</f>
        <v/>
      </c>
      <c r="I27" s="26">
        <f>IF($B27='Perfil'!$B$3,COUNTIF($B$4:$B27,'Perfil'!$B$3),"")</f>
        <v/>
      </c>
    </row>
    <row r="28">
      <c r="A28" s="22" t="n"/>
      <c r="B28" s="23" t="n"/>
      <c r="C28" s="23" t="n"/>
      <c r="D28" s="24" t="n"/>
      <c r="E28" s="24" t="n"/>
      <c r="F28" s="23" t="n"/>
      <c r="G28" s="19">
        <f>IFERROR(IF(OR($B28="",$C28=""),"",IF(MATCH($C28,'Ajustes'!$A$5:$A$8,0)&lt;=2,$D28*INDEX('Ajustes'!$C$5:$C$6,MATCH($C28,'Ajustes'!$A$5:$A$8,0)),IF(MATCH($C28,'Ajustes'!$A$5:$A$8,0)=3,-($D28+$E28*INDEX('Equipo'!$B$5:$B$29,MATCH($B28,'Equipo'!$A$5:$A$29,0))),0))),"")</f>
        <v/>
      </c>
      <c r="H28" s="25">
        <f>IFERROR(IF(OR($B28="",$C28=""),"",IF(MATCH($C28,'Ajustes'!$A$5:$A$8,0)=4,$D28/INDEX('Equipo'!$B$5:$B$29,MATCH($B28,'Equipo'!$A$5:$A$29,0))+$E28,0)),"")</f>
        <v/>
      </c>
      <c r="I28" s="26">
        <f>IF($B28='Perfil'!$B$3,COUNTIF($B$4:$B28,'Perfil'!$B$3),"")</f>
        <v/>
      </c>
    </row>
    <row r="29">
      <c r="A29" s="22" t="n"/>
      <c r="B29" s="23" t="n"/>
      <c r="C29" s="23" t="n"/>
      <c r="D29" s="24" t="n"/>
      <c r="E29" s="24" t="n"/>
      <c r="F29" s="23" t="n"/>
      <c r="G29" s="19">
        <f>IFERROR(IF(OR($B29="",$C29=""),"",IF(MATCH($C29,'Ajustes'!$A$5:$A$8,0)&lt;=2,$D29*INDEX('Ajustes'!$C$5:$C$6,MATCH($C29,'Ajustes'!$A$5:$A$8,0)),IF(MATCH($C29,'Ajustes'!$A$5:$A$8,0)=3,-($D29+$E29*INDEX('Equipo'!$B$5:$B$29,MATCH($B29,'Equipo'!$A$5:$A$29,0))),0))),"")</f>
        <v/>
      </c>
      <c r="H29" s="25">
        <f>IFERROR(IF(OR($B29="",$C29=""),"",IF(MATCH($C29,'Ajustes'!$A$5:$A$8,0)=4,$D29/INDEX('Equipo'!$B$5:$B$29,MATCH($B29,'Equipo'!$A$5:$A$29,0))+$E29,0)),"")</f>
        <v/>
      </c>
      <c r="I29" s="26">
        <f>IF($B29='Perfil'!$B$3,COUNTIF($B$4:$B29,'Perfil'!$B$3),"")</f>
        <v/>
      </c>
    </row>
    <row r="30">
      <c r="A30" s="22" t="n"/>
      <c r="B30" s="23" t="n"/>
      <c r="C30" s="23" t="n"/>
      <c r="D30" s="24" t="n"/>
      <c r="E30" s="24" t="n"/>
      <c r="F30" s="23" t="n"/>
      <c r="G30" s="19">
        <f>IFERROR(IF(OR($B30="",$C30=""),"",IF(MATCH($C30,'Ajustes'!$A$5:$A$8,0)&lt;=2,$D30*INDEX('Ajustes'!$C$5:$C$6,MATCH($C30,'Ajustes'!$A$5:$A$8,0)),IF(MATCH($C30,'Ajustes'!$A$5:$A$8,0)=3,-($D30+$E30*INDEX('Equipo'!$B$5:$B$29,MATCH($B30,'Equipo'!$A$5:$A$29,0))),0))),"")</f>
        <v/>
      </c>
      <c r="H30" s="25">
        <f>IFERROR(IF(OR($B30="",$C30=""),"",IF(MATCH($C30,'Ajustes'!$A$5:$A$8,0)=4,$D30/INDEX('Equipo'!$B$5:$B$29,MATCH($B30,'Equipo'!$A$5:$A$29,0))+$E30,0)),"")</f>
        <v/>
      </c>
      <c r="I30" s="26">
        <f>IF($B30='Perfil'!$B$3,COUNTIF($B$4:$B30,'Perfil'!$B$3),"")</f>
        <v/>
      </c>
    </row>
    <row r="31">
      <c r="A31" s="22" t="n"/>
      <c r="B31" s="23" t="n"/>
      <c r="C31" s="23" t="n"/>
      <c r="D31" s="24" t="n"/>
      <c r="E31" s="24" t="n"/>
      <c r="F31" s="23" t="n"/>
      <c r="G31" s="19">
        <f>IFERROR(IF(OR($B31="",$C31=""),"",IF(MATCH($C31,'Ajustes'!$A$5:$A$8,0)&lt;=2,$D31*INDEX('Ajustes'!$C$5:$C$6,MATCH($C31,'Ajustes'!$A$5:$A$8,0)),IF(MATCH($C31,'Ajustes'!$A$5:$A$8,0)=3,-($D31+$E31*INDEX('Equipo'!$B$5:$B$29,MATCH($B31,'Equipo'!$A$5:$A$29,0))),0))),"")</f>
        <v/>
      </c>
      <c r="H31" s="25">
        <f>IFERROR(IF(OR($B31="",$C31=""),"",IF(MATCH($C31,'Ajustes'!$A$5:$A$8,0)=4,$D31/INDEX('Equipo'!$B$5:$B$29,MATCH($B31,'Equipo'!$A$5:$A$29,0))+$E31,0)),"")</f>
        <v/>
      </c>
      <c r="I31" s="26">
        <f>IF($B31='Perfil'!$B$3,COUNTIF($B$4:$B31,'Perfil'!$B$3),"")</f>
        <v/>
      </c>
    </row>
    <row r="32">
      <c r="A32" s="22" t="n"/>
      <c r="B32" s="23" t="n"/>
      <c r="C32" s="23" t="n"/>
      <c r="D32" s="24" t="n"/>
      <c r="E32" s="24" t="n"/>
      <c r="F32" s="23" t="n"/>
      <c r="G32" s="19">
        <f>IFERROR(IF(OR($B32="",$C32=""),"",IF(MATCH($C32,'Ajustes'!$A$5:$A$8,0)&lt;=2,$D32*INDEX('Ajustes'!$C$5:$C$6,MATCH($C32,'Ajustes'!$A$5:$A$8,0)),IF(MATCH($C32,'Ajustes'!$A$5:$A$8,0)=3,-($D32+$E32*INDEX('Equipo'!$B$5:$B$29,MATCH($B32,'Equipo'!$A$5:$A$29,0))),0))),"")</f>
        <v/>
      </c>
      <c r="H32" s="25">
        <f>IFERROR(IF(OR($B32="",$C32=""),"",IF(MATCH($C32,'Ajustes'!$A$5:$A$8,0)=4,$D32/INDEX('Equipo'!$B$5:$B$29,MATCH($B32,'Equipo'!$A$5:$A$29,0))+$E32,0)),"")</f>
        <v/>
      </c>
      <c r="I32" s="26">
        <f>IF($B32='Perfil'!$B$3,COUNTIF($B$4:$B32,'Perfil'!$B$3),"")</f>
        <v/>
      </c>
    </row>
    <row r="33">
      <c r="A33" s="22" t="n"/>
      <c r="B33" s="23" t="n"/>
      <c r="C33" s="23" t="n"/>
      <c r="D33" s="24" t="n"/>
      <c r="E33" s="24" t="n"/>
      <c r="F33" s="23" t="n"/>
      <c r="G33" s="19">
        <f>IFERROR(IF(OR($B33="",$C33=""),"",IF(MATCH($C33,'Ajustes'!$A$5:$A$8,0)&lt;=2,$D33*INDEX('Ajustes'!$C$5:$C$6,MATCH($C33,'Ajustes'!$A$5:$A$8,0)),IF(MATCH($C33,'Ajustes'!$A$5:$A$8,0)=3,-($D33+$E33*INDEX('Equipo'!$B$5:$B$29,MATCH($B33,'Equipo'!$A$5:$A$29,0))),0))),"")</f>
        <v/>
      </c>
      <c r="H33" s="25">
        <f>IFERROR(IF(OR($B33="",$C33=""),"",IF(MATCH($C33,'Ajustes'!$A$5:$A$8,0)=4,$D33/INDEX('Equipo'!$B$5:$B$29,MATCH($B33,'Equipo'!$A$5:$A$29,0))+$E33,0)),"")</f>
        <v/>
      </c>
      <c r="I33" s="26">
        <f>IF($B33='Perfil'!$B$3,COUNTIF($B$4:$B33,'Perfil'!$B$3),"")</f>
        <v/>
      </c>
    </row>
    <row r="34">
      <c r="A34" s="22" t="n"/>
      <c r="B34" s="23" t="n"/>
      <c r="C34" s="23" t="n"/>
      <c r="D34" s="24" t="n"/>
      <c r="E34" s="24" t="n"/>
      <c r="F34" s="23" t="n"/>
      <c r="G34" s="19">
        <f>IFERROR(IF(OR($B34="",$C34=""),"",IF(MATCH($C34,'Ajustes'!$A$5:$A$8,0)&lt;=2,$D34*INDEX('Ajustes'!$C$5:$C$6,MATCH($C34,'Ajustes'!$A$5:$A$8,0)),IF(MATCH($C34,'Ajustes'!$A$5:$A$8,0)=3,-($D34+$E34*INDEX('Equipo'!$B$5:$B$29,MATCH($B34,'Equipo'!$A$5:$A$29,0))),0))),"")</f>
        <v/>
      </c>
      <c r="H34" s="25">
        <f>IFERROR(IF(OR($B34="",$C34=""),"",IF(MATCH($C34,'Ajustes'!$A$5:$A$8,0)=4,$D34/INDEX('Equipo'!$B$5:$B$29,MATCH($B34,'Equipo'!$A$5:$A$29,0))+$E34,0)),"")</f>
        <v/>
      </c>
      <c r="I34" s="26">
        <f>IF($B34='Perfil'!$B$3,COUNTIF($B$4:$B34,'Perfil'!$B$3),"")</f>
        <v/>
      </c>
    </row>
    <row r="35">
      <c r="A35" s="22" t="n"/>
      <c r="B35" s="23" t="n"/>
      <c r="C35" s="23" t="n"/>
      <c r="D35" s="24" t="n"/>
      <c r="E35" s="24" t="n"/>
      <c r="F35" s="23" t="n"/>
      <c r="G35" s="19">
        <f>IFERROR(IF(OR($B35="",$C35=""),"",IF(MATCH($C35,'Ajustes'!$A$5:$A$8,0)&lt;=2,$D35*INDEX('Ajustes'!$C$5:$C$6,MATCH($C35,'Ajustes'!$A$5:$A$8,0)),IF(MATCH($C35,'Ajustes'!$A$5:$A$8,0)=3,-($D35+$E35*INDEX('Equipo'!$B$5:$B$29,MATCH($B35,'Equipo'!$A$5:$A$29,0))),0))),"")</f>
        <v/>
      </c>
      <c r="H35" s="25">
        <f>IFERROR(IF(OR($B35="",$C35=""),"",IF(MATCH($C35,'Ajustes'!$A$5:$A$8,0)=4,$D35/INDEX('Equipo'!$B$5:$B$29,MATCH($B35,'Equipo'!$A$5:$A$29,0))+$E35,0)),"")</f>
        <v/>
      </c>
      <c r="I35" s="26">
        <f>IF($B35='Perfil'!$B$3,COUNTIF($B$4:$B35,'Perfil'!$B$3),"")</f>
        <v/>
      </c>
    </row>
    <row r="36">
      <c r="A36" s="22" t="n"/>
      <c r="B36" s="23" t="n"/>
      <c r="C36" s="23" t="n"/>
      <c r="D36" s="24" t="n"/>
      <c r="E36" s="24" t="n"/>
      <c r="F36" s="23" t="n"/>
      <c r="G36" s="19">
        <f>IFERROR(IF(OR($B36="",$C36=""),"",IF(MATCH($C36,'Ajustes'!$A$5:$A$8,0)&lt;=2,$D36*INDEX('Ajustes'!$C$5:$C$6,MATCH($C36,'Ajustes'!$A$5:$A$8,0)),IF(MATCH($C36,'Ajustes'!$A$5:$A$8,0)=3,-($D36+$E36*INDEX('Equipo'!$B$5:$B$29,MATCH($B36,'Equipo'!$A$5:$A$29,0))),0))),"")</f>
        <v/>
      </c>
      <c r="H36" s="25">
        <f>IFERROR(IF(OR($B36="",$C36=""),"",IF(MATCH($C36,'Ajustes'!$A$5:$A$8,0)=4,$D36/INDEX('Equipo'!$B$5:$B$29,MATCH($B36,'Equipo'!$A$5:$A$29,0))+$E36,0)),"")</f>
        <v/>
      </c>
      <c r="I36" s="26">
        <f>IF($B36='Perfil'!$B$3,COUNTIF($B$4:$B36,'Perfil'!$B$3),"")</f>
        <v/>
      </c>
    </row>
    <row r="37">
      <c r="A37" s="22" t="n"/>
      <c r="B37" s="23" t="n"/>
      <c r="C37" s="23" t="n"/>
      <c r="D37" s="24" t="n"/>
      <c r="E37" s="24" t="n"/>
      <c r="F37" s="23" t="n"/>
      <c r="G37" s="19">
        <f>IFERROR(IF(OR($B37="",$C37=""),"",IF(MATCH($C37,'Ajustes'!$A$5:$A$8,0)&lt;=2,$D37*INDEX('Ajustes'!$C$5:$C$6,MATCH($C37,'Ajustes'!$A$5:$A$8,0)),IF(MATCH($C37,'Ajustes'!$A$5:$A$8,0)=3,-($D37+$E37*INDEX('Equipo'!$B$5:$B$29,MATCH($B37,'Equipo'!$A$5:$A$29,0))),0))),"")</f>
        <v/>
      </c>
      <c r="H37" s="25">
        <f>IFERROR(IF(OR($B37="",$C37=""),"",IF(MATCH($C37,'Ajustes'!$A$5:$A$8,0)=4,$D37/INDEX('Equipo'!$B$5:$B$29,MATCH($B37,'Equipo'!$A$5:$A$29,0))+$E37,0)),"")</f>
        <v/>
      </c>
      <c r="I37" s="26">
        <f>IF($B37='Perfil'!$B$3,COUNTIF($B$4:$B37,'Perfil'!$B$3),"")</f>
        <v/>
      </c>
    </row>
    <row r="38">
      <c r="A38" s="22" t="n"/>
      <c r="B38" s="23" t="n"/>
      <c r="C38" s="23" t="n"/>
      <c r="D38" s="24" t="n"/>
      <c r="E38" s="24" t="n"/>
      <c r="F38" s="23" t="n"/>
      <c r="G38" s="19">
        <f>IFERROR(IF(OR($B38="",$C38=""),"",IF(MATCH($C38,'Ajustes'!$A$5:$A$8,0)&lt;=2,$D38*INDEX('Ajustes'!$C$5:$C$6,MATCH($C38,'Ajustes'!$A$5:$A$8,0)),IF(MATCH($C38,'Ajustes'!$A$5:$A$8,0)=3,-($D38+$E38*INDEX('Equipo'!$B$5:$B$29,MATCH($B38,'Equipo'!$A$5:$A$29,0))),0))),"")</f>
        <v/>
      </c>
      <c r="H38" s="25">
        <f>IFERROR(IF(OR($B38="",$C38=""),"",IF(MATCH($C38,'Ajustes'!$A$5:$A$8,0)=4,$D38/INDEX('Equipo'!$B$5:$B$29,MATCH($B38,'Equipo'!$A$5:$A$29,0))+$E38,0)),"")</f>
        <v/>
      </c>
      <c r="I38" s="26">
        <f>IF($B38='Perfil'!$B$3,COUNTIF($B$4:$B38,'Perfil'!$B$3),"")</f>
        <v/>
      </c>
    </row>
    <row r="39">
      <c r="A39" s="22" t="n"/>
      <c r="B39" s="23" t="n"/>
      <c r="C39" s="23" t="n"/>
      <c r="D39" s="24" t="n"/>
      <c r="E39" s="24" t="n"/>
      <c r="F39" s="23" t="n"/>
      <c r="G39" s="19">
        <f>IFERROR(IF(OR($B39="",$C39=""),"",IF(MATCH($C39,'Ajustes'!$A$5:$A$8,0)&lt;=2,$D39*INDEX('Ajustes'!$C$5:$C$6,MATCH($C39,'Ajustes'!$A$5:$A$8,0)),IF(MATCH($C39,'Ajustes'!$A$5:$A$8,0)=3,-($D39+$E39*INDEX('Equipo'!$B$5:$B$29,MATCH($B39,'Equipo'!$A$5:$A$29,0))),0))),"")</f>
        <v/>
      </c>
      <c r="H39" s="25">
        <f>IFERROR(IF(OR($B39="",$C39=""),"",IF(MATCH($C39,'Ajustes'!$A$5:$A$8,0)=4,$D39/INDEX('Equipo'!$B$5:$B$29,MATCH($B39,'Equipo'!$A$5:$A$29,0))+$E39,0)),"")</f>
        <v/>
      </c>
      <c r="I39" s="26">
        <f>IF($B39='Perfil'!$B$3,COUNTIF($B$4:$B39,'Perfil'!$B$3),"")</f>
        <v/>
      </c>
    </row>
    <row r="40">
      <c r="A40" s="22" t="n"/>
      <c r="B40" s="23" t="n"/>
      <c r="C40" s="23" t="n"/>
      <c r="D40" s="24" t="n"/>
      <c r="E40" s="24" t="n"/>
      <c r="F40" s="23" t="n"/>
      <c r="G40" s="19">
        <f>IFERROR(IF(OR($B40="",$C40=""),"",IF(MATCH($C40,'Ajustes'!$A$5:$A$8,0)&lt;=2,$D40*INDEX('Ajustes'!$C$5:$C$6,MATCH($C40,'Ajustes'!$A$5:$A$8,0)),IF(MATCH($C40,'Ajustes'!$A$5:$A$8,0)=3,-($D40+$E40*INDEX('Equipo'!$B$5:$B$29,MATCH($B40,'Equipo'!$A$5:$A$29,0))),0))),"")</f>
        <v/>
      </c>
      <c r="H40" s="25">
        <f>IFERROR(IF(OR($B40="",$C40=""),"",IF(MATCH($C40,'Ajustes'!$A$5:$A$8,0)=4,$D40/INDEX('Equipo'!$B$5:$B$29,MATCH($B40,'Equipo'!$A$5:$A$29,0))+$E40,0)),"")</f>
        <v/>
      </c>
      <c r="I40" s="26">
        <f>IF($B40='Perfil'!$B$3,COUNTIF($B$4:$B40,'Perfil'!$B$3),"")</f>
        <v/>
      </c>
    </row>
    <row r="41">
      <c r="A41" s="22" t="n"/>
      <c r="B41" s="23" t="n"/>
      <c r="C41" s="23" t="n"/>
      <c r="D41" s="24" t="n"/>
      <c r="E41" s="24" t="n"/>
      <c r="F41" s="23" t="n"/>
      <c r="G41" s="19">
        <f>IFERROR(IF(OR($B41="",$C41=""),"",IF(MATCH($C41,'Ajustes'!$A$5:$A$8,0)&lt;=2,$D41*INDEX('Ajustes'!$C$5:$C$6,MATCH($C41,'Ajustes'!$A$5:$A$8,0)),IF(MATCH($C41,'Ajustes'!$A$5:$A$8,0)=3,-($D41+$E41*INDEX('Equipo'!$B$5:$B$29,MATCH($B41,'Equipo'!$A$5:$A$29,0))),0))),"")</f>
        <v/>
      </c>
      <c r="H41" s="25">
        <f>IFERROR(IF(OR($B41="",$C41=""),"",IF(MATCH($C41,'Ajustes'!$A$5:$A$8,0)=4,$D41/INDEX('Equipo'!$B$5:$B$29,MATCH($B41,'Equipo'!$A$5:$A$29,0))+$E41,0)),"")</f>
        <v/>
      </c>
      <c r="I41" s="26">
        <f>IF($B41='Perfil'!$B$3,COUNTIF($B$4:$B41,'Perfil'!$B$3),"")</f>
        <v/>
      </c>
    </row>
    <row r="42">
      <c r="A42" s="22" t="n"/>
      <c r="B42" s="23" t="n"/>
      <c r="C42" s="23" t="n"/>
      <c r="D42" s="24" t="n"/>
      <c r="E42" s="24" t="n"/>
      <c r="F42" s="23" t="n"/>
      <c r="G42" s="19">
        <f>IFERROR(IF(OR($B42="",$C42=""),"",IF(MATCH($C42,'Ajustes'!$A$5:$A$8,0)&lt;=2,$D42*INDEX('Ajustes'!$C$5:$C$6,MATCH($C42,'Ajustes'!$A$5:$A$8,0)),IF(MATCH($C42,'Ajustes'!$A$5:$A$8,0)=3,-($D42+$E42*INDEX('Equipo'!$B$5:$B$29,MATCH($B42,'Equipo'!$A$5:$A$29,0))),0))),"")</f>
        <v/>
      </c>
      <c r="H42" s="25">
        <f>IFERROR(IF(OR($B42="",$C42=""),"",IF(MATCH($C42,'Ajustes'!$A$5:$A$8,0)=4,$D42/INDEX('Equipo'!$B$5:$B$29,MATCH($B42,'Equipo'!$A$5:$A$29,0))+$E42,0)),"")</f>
        <v/>
      </c>
      <c r="I42" s="26">
        <f>IF($B42='Perfil'!$B$3,COUNTIF($B$4:$B42,'Perfil'!$B$3),"")</f>
        <v/>
      </c>
    </row>
    <row r="43">
      <c r="A43" s="22" t="n"/>
      <c r="B43" s="23" t="n"/>
      <c r="C43" s="23" t="n"/>
      <c r="D43" s="24" t="n"/>
      <c r="E43" s="24" t="n"/>
      <c r="F43" s="23" t="n"/>
      <c r="G43" s="19">
        <f>IFERROR(IF(OR($B43="",$C43=""),"",IF(MATCH($C43,'Ajustes'!$A$5:$A$8,0)&lt;=2,$D43*INDEX('Ajustes'!$C$5:$C$6,MATCH($C43,'Ajustes'!$A$5:$A$8,0)),IF(MATCH($C43,'Ajustes'!$A$5:$A$8,0)=3,-($D43+$E43*INDEX('Equipo'!$B$5:$B$29,MATCH($B43,'Equipo'!$A$5:$A$29,0))),0))),"")</f>
        <v/>
      </c>
      <c r="H43" s="25">
        <f>IFERROR(IF(OR($B43="",$C43=""),"",IF(MATCH($C43,'Ajustes'!$A$5:$A$8,0)=4,$D43/INDEX('Equipo'!$B$5:$B$29,MATCH($B43,'Equipo'!$A$5:$A$29,0))+$E43,0)),"")</f>
        <v/>
      </c>
      <c r="I43" s="26">
        <f>IF($B43='Perfil'!$B$3,COUNTIF($B$4:$B43,'Perfil'!$B$3),"")</f>
        <v/>
      </c>
    </row>
    <row r="44">
      <c r="A44" s="22" t="n"/>
      <c r="B44" s="23" t="n"/>
      <c r="C44" s="23" t="n"/>
      <c r="D44" s="24" t="n"/>
      <c r="E44" s="24" t="n"/>
      <c r="F44" s="23" t="n"/>
      <c r="G44" s="19">
        <f>IFERROR(IF(OR($B44="",$C44=""),"",IF(MATCH($C44,'Ajustes'!$A$5:$A$8,0)&lt;=2,$D44*INDEX('Ajustes'!$C$5:$C$6,MATCH($C44,'Ajustes'!$A$5:$A$8,0)),IF(MATCH($C44,'Ajustes'!$A$5:$A$8,0)=3,-($D44+$E44*INDEX('Equipo'!$B$5:$B$29,MATCH($B44,'Equipo'!$A$5:$A$29,0))),0))),"")</f>
        <v/>
      </c>
      <c r="H44" s="25">
        <f>IFERROR(IF(OR($B44="",$C44=""),"",IF(MATCH($C44,'Ajustes'!$A$5:$A$8,0)=4,$D44/INDEX('Equipo'!$B$5:$B$29,MATCH($B44,'Equipo'!$A$5:$A$29,0))+$E44,0)),"")</f>
        <v/>
      </c>
      <c r="I44" s="26">
        <f>IF($B44='Perfil'!$B$3,COUNTIF($B$4:$B44,'Perfil'!$B$3),"")</f>
        <v/>
      </c>
    </row>
    <row r="45">
      <c r="A45" s="22" t="n"/>
      <c r="B45" s="23" t="n"/>
      <c r="C45" s="23" t="n"/>
      <c r="D45" s="24" t="n"/>
      <c r="E45" s="24" t="n"/>
      <c r="F45" s="23" t="n"/>
      <c r="G45" s="19">
        <f>IFERROR(IF(OR($B45="",$C45=""),"",IF(MATCH($C45,'Ajustes'!$A$5:$A$8,0)&lt;=2,$D45*INDEX('Ajustes'!$C$5:$C$6,MATCH($C45,'Ajustes'!$A$5:$A$8,0)),IF(MATCH($C45,'Ajustes'!$A$5:$A$8,0)=3,-($D45+$E45*INDEX('Equipo'!$B$5:$B$29,MATCH($B45,'Equipo'!$A$5:$A$29,0))),0))),"")</f>
        <v/>
      </c>
      <c r="H45" s="25">
        <f>IFERROR(IF(OR($B45="",$C45=""),"",IF(MATCH($C45,'Ajustes'!$A$5:$A$8,0)=4,$D45/INDEX('Equipo'!$B$5:$B$29,MATCH($B45,'Equipo'!$A$5:$A$29,0))+$E45,0)),"")</f>
        <v/>
      </c>
      <c r="I45" s="26">
        <f>IF($B45='Perfil'!$B$3,COUNTIF($B$4:$B45,'Perfil'!$B$3),"")</f>
        <v/>
      </c>
    </row>
    <row r="46">
      <c r="A46" s="22" t="n"/>
      <c r="B46" s="23" t="n"/>
      <c r="C46" s="23" t="n"/>
      <c r="D46" s="24" t="n"/>
      <c r="E46" s="24" t="n"/>
      <c r="F46" s="23" t="n"/>
      <c r="G46" s="19">
        <f>IFERROR(IF(OR($B46="",$C46=""),"",IF(MATCH($C46,'Ajustes'!$A$5:$A$8,0)&lt;=2,$D46*INDEX('Ajustes'!$C$5:$C$6,MATCH($C46,'Ajustes'!$A$5:$A$8,0)),IF(MATCH($C46,'Ajustes'!$A$5:$A$8,0)=3,-($D46+$E46*INDEX('Equipo'!$B$5:$B$29,MATCH($B46,'Equipo'!$A$5:$A$29,0))),0))),"")</f>
        <v/>
      </c>
      <c r="H46" s="25">
        <f>IFERROR(IF(OR($B46="",$C46=""),"",IF(MATCH($C46,'Ajustes'!$A$5:$A$8,0)=4,$D46/INDEX('Equipo'!$B$5:$B$29,MATCH($B46,'Equipo'!$A$5:$A$29,0))+$E46,0)),"")</f>
        <v/>
      </c>
      <c r="I46" s="26">
        <f>IF($B46='Perfil'!$B$3,COUNTIF($B$4:$B46,'Perfil'!$B$3),"")</f>
        <v/>
      </c>
    </row>
    <row r="47">
      <c r="A47" s="22" t="n"/>
      <c r="B47" s="23" t="n"/>
      <c r="C47" s="23" t="n"/>
      <c r="D47" s="24" t="n"/>
      <c r="E47" s="24" t="n"/>
      <c r="F47" s="23" t="n"/>
      <c r="G47" s="19">
        <f>IFERROR(IF(OR($B47="",$C47=""),"",IF(MATCH($C47,'Ajustes'!$A$5:$A$8,0)&lt;=2,$D47*INDEX('Ajustes'!$C$5:$C$6,MATCH($C47,'Ajustes'!$A$5:$A$8,0)),IF(MATCH($C47,'Ajustes'!$A$5:$A$8,0)=3,-($D47+$E47*INDEX('Equipo'!$B$5:$B$29,MATCH($B47,'Equipo'!$A$5:$A$29,0))),0))),"")</f>
        <v/>
      </c>
      <c r="H47" s="25">
        <f>IFERROR(IF(OR($B47="",$C47=""),"",IF(MATCH($C47,'Ajustes'!$A$5:$A$8,0)=4,$D47/INDEX('Equipo'!$B$5:$B$29,MATCH($B47,'Equipo'!$A$5:$A$29,0))+$E47,0)),"")</f>
        <v/>
      </c>
      <c r="I47" s="26">
        <f>IF($B47='Perfil'!$B$3,COUNTIF($B$4:$B47,'Perfil'!$B$3),"")</f>
        <v/>
      </c>
    </row>
    <row r="48">
      <c r="A48" s="22" t="n"/>
      <c r="B48" s="23" t="n"/>
      <c r="C48" s="23" t="n"/>
      <c r="D48" s="24" t="n"/>
      <c r="E48" s="24" t="n"/>
      <c r="F48" s="23" t="n"/>
      <c r="G48" s="19">
        <f>IFERROR(IF(OR($B48="",$C48=""),"",IF(MATCH($C48,'Ajustes'!$A$5:$A$8,0)&lt;=2,$D48*INDEX('Ajustes'!$C$5:$C$6,MATCH($C48,'Ajustes'!$A$5:$A$8,0)),IF(MATCH($C48,'Ajustes'!$A$5:$A$8,0)=3,-($D48+$E48*INDEX('Equipo'!$B$5:$B$29,MATCH($B48,'Equipo'!$A$5:$A$29,0))),0))),"")</f>
        <v/>
      </c>
      <c r="H48" s="25">
        <f>IFERROR(IF(OR($B48="",$C48=""),"",IF(MATCH($C48,'Ajustes'!$A$5:$A$8,0)=4,$D48/INDEX('Equipo'!$B$5:$B$29,MATCH($B48,'Equipo'!$A$5:$A$29,0))+$E48,0)),"")</f>
        <v/>
      </c>
      <c r="I48" s="26">
        <f>IF($B48='Perfil'!$B$3,COUNTIF($B$4:$B48,'Perfil'!$B$3),"")</f>
        <v/>
      </c>
    </row>
    <row r="49">
      <c r="A49" s="22" t="n"/>
      <c r="B49" s="23" t="n"/>
      <c r="C49" s="23" t="n"/>
      <c r="D49" s="24" t="n"/>
      <c r="E49" s="24" t="n"/>
      <c r="F49" s="23" t="n"/>
      <c r="G49" s="19">
        <f>IFERROR(IF(OR($B49="",$C49=""),"",IF(MATCH($C49,'Ajustes'!$A$5:$A$8,0)&lt;=2,$D49*INDEX('Ajustes'!$C$5:$C$6,MATCH($C49,'Ajustes'!$A$5:$A$8,0)),IF(MATCH($C49,'Ajustes'!$A$5:$A$8,0)=3,-($D49+$E49*INDEX('Equipo'!$B$5:$B$29,MATCH($B49,'Equipo'!$A$5:$A$29,0))),0))),"")</f>
        <v/>
      </c>
      <c r="H49" s="25">
        <f>IFERROR(IF(OR($B49="",$C49=""),"",IF(MATCH($C49,'Ajustes'!$A$5:$A$8,0)=4,$D49/INDEX('Equipo'!$B$5:$B$29,MATCH($B49,'Equipo'!$A$5:$A$29,0))+$E49,0)),"")</f>
        <v/>
      </c>
      <c r="I49" s="26">
        <f>IF($B49='Perfil'!$B$3,COUNTIF($B$4:$B49,'Perfil'!$B$3),"")</f>
        <v/>
      </c>
    </row>
    <row r="50">
      <c r="A50" s="22" t="n"/>
      <c r="B50" s="23" t="n"/>
      <c r="C50" s="23" t="n"/>
      <c r="D50" s="24" t="n"/>
      <c r="E50" s="24" t="n"/>
      <c r="F50" s="23" t="n"/>
      <c r="G50" s="19">
        <f>IFERROR(IF(OR($B50="",$C50=""),"",IF(MATCH($C50,'Ajustes'!$A$5:$A$8,0)&lt;=2,$D50*INDEX('Ajustes'!$C$5:$C$6,MATCH($C50,'Ajustes'!$A$5:$A$8,0)),IF(MATCH($C50,'Ajustes'!$A$5:$A$8,0)=3,-($D50+$E50*INDEX('Equipo'!$B$5:$B$29,MATCH($B50,'Equipo'!$A$5:$A$29,0))),0))),"")</f>
        <v/>
      </c>
      <c r="H50" s="25">
        <f>IFERROR(IF(OR($B50="",$C50=""),"",IF(MATCH($C50,'Ajustes'!$A$5:$A$8,0)=4,$D50/INDEX('Equipo'!$B$5:$B$29,MATCH($B50,'Equipo'!$A$5:$A$29,0))+$E50,0)),"")</f>
        <v/>
      </c>
      <c r="I50" s="26">
        <f>IF($B50='Perfil'!$B$3,COUNTIF($B$4:$B50,'Perfil'!$B$3),"")</f>
        <v/>
      </c>
    </row>
    <row r="51">
      <c r="A51" s="22" t="n"/>
      <c r="B51" s="23" t="n"/>
      <c r="C51" s="23" t="n"/>
      <c r="D51" s="24" t="n"/>
      <c r="E51" s="24" t="n"/>
      <c r="F51" s="23" t="n"/>
      <c r="G51" s="19">
        <f>IFERROR(IF(OR($B51="",$C51=""),"",IF(MATCH($C51,'Ajustes'!$A$5:$A$8,0)&lt;=2,$D51*INDEX('Ajustes'!$C$5:$C$6,MATCH($C51,'Ajustes'!$A$5:$A$8,0)),IF(MATCH($C51,'Ajustes'!$A$5:$A$8,0)=3,-($D51+$E51*INDEX('Equipo'!$B$5:$B$29,MATCH($B51,'Equipo'!$A$5:$A$29,0))),0))),"")</f>
        <v/>
      </c>
      <c r="H51" s="25">
        <f>IFERROR(IF(OR($B51="",$C51=""),"",IF(MATCH($C51,'Ajustes'!$A$5:$A$8,0)=4,$D51/INDEX('Equipo'!$B$5:$B$29,MATCH($B51,'Equipo'!$A$5:$A$29,0))+$E51,0)),"")</f>
        <v/>
      </c>
      <c r="I51" s="26">
        <f>IF($B51='Perfil'!$B$3,COUNTIF($B$4:$B51,'Perfil'!$B$3),"")</f>
        <v/>
      </c>
    </row>
    <row r="52">
      <c r="A52" s="22" t="n"/>
      <c r="B52" s="23" t="n"/>
      <c r="C52" s="23" t="n"/>
      <c r="D52" s="24" t="n"/>
      <c r="E52" s="24" t="n"/>
      <c r="F52" s="23" t="n"/>
      <c r="G52" s="19">
        <f>IFERROR(IF(OR($B52="",$C52=""),"",IF(MATCH($C52,'Ajustes'!$A$5:$A$8,0)&lt;=2,$D52*INDEX('Ajustes'!$C$5:$C$6,MATCH($C52,'Ajustes'!$A$5:$A$8,0)),IF(MATCH($C52,'Ajustes'!$A$5:$A$8,0)=3,-($D52+$E52*INDEX('Equipo'!$B$5:$B$29,MATCH($B52,'Equipo'!$A$5:$A$29,0))),0))),"")</f>
        <v/>
      </c>
      <c r="H52" s="25">
        <f>IFERROR(IF(OR($B52="",$C52=""),"",IF(MATCH($C52,'Ajustes'!$A$5:$A$8,0)=4,$D52/INDEX('Equipo'!$B$5:$B$29,MATCH($B52,'Equipo'!$A$5:$A$29,0))+$E52,0)),"")</f>
        <v/>
      </c>
      <c r="I52" s="26">
        <f>IF($B52='Perfil'!$B$3,COUNTIF($B$4:$B52,'Perfil'!$B$3),"")</f>
        <v/>
      </c>
    </row>
    <row r="53">
      <c r="A53" s="22" t="n"/>
      <c r="B53" s="23" t="n"/>
      <c r="C53" s="23" t="n"/>
      <c r="D53" s="24" t="n"/>
      <c r="E53" s="24" t="n"/>
      <c r="F53" s="23" t="n"/>
      <c r="G53" s="19">
        <f>IFERROR(IF(OR($B53="",$C53=""),"",IF(MATCH($C53,'Ajustes'!$A$5:$A$8,0)&lt;=2,$D53*INDEX('Ajustes'!$C$5:$C$6,MATCH($C53,'Ajustes'!$A$5:$A$8,0)),IF(MATCH($C53,'Ajustes'!$A$5:$A$8,0)=3,-($D53+$E53*INDEX('Equipo'!$B$5:$B$29,MATCH($B53,'Equipo'!$A$5:$A$29,0))),0))),"")</f>
        <v/>
      </c>
      <c r="H53" s="25">
        <f>IFERROR(IF(OR($B53="",$C53=""),"",IF(MATCH($C53,'Ajustes'!$A$5:$A$8,0)=4,$D53/INDEX('Equipo'!$B$5:$B$29,MATCH($B53,'Equipo'!$A$5:$A$29,0))+$E53,0)),"")</f>
        <v/>
      </c>
      <c r="I53" s="26">
        <f>IF($B53='Perfil'!$B$3,COUNTIF($B$4:$B53,'Perfil'!$B$3),"")</f>
        <v/>
      </c>
    </row>
    <row r="54">
      <c r="A54" s="22" t="n"/>
      <c r="B54" s="23" t="n"/>
      <c r="C54" s="23" t="n"/>
      <c r="D54" s="24" t="n"/>
      <c r="E54" s="24" t="n"/>
      <c r="F54" s="23" t="n"/>
      <c r="G54" s="19">
        <f>IFERROR(IF(OR($B54="",$C54=""),"",IF(MATCH($C54,'Ajustes'!$A$5:$A$8,0)&lt;=2,$D54*INDEX('Ajustes'!$C$5:$C$6,MATCH($C54,'Ajustes'!$A$5:$A$8,0)),IF(MATCH($C54,'Ajustes'!$A$5:$A$8,0)=3,-($D54+$E54*INDEX('Equipo'!$B$5:$B$29,MATCH($B54,'Equipo'!$A$5:$A$29,0))),0))),"")</f>
        <v/>
      </c>
      <c r="H54" s="25">
        <f>IFERROR(IF(OR($B54="",$C54=""),"",IF(MATCH($C54,'Ajustes'!$A$5:$A$8,0)=4,$D54/INDEX('Equipo'!$B$5:$B$29,MATCH($B54,'Equipo'!$A$5:$A$29,0))+$E54,0)),"")</f>
        <v/>
      </c>
      <c r="I54" s="26">
        <f>IF($B54='Perfil'!$B$3,COUNTIF($B$4:$B54,'Perfil'!$B$3),"")</f>
        <v/>
      </c>
    </row>
    <row r="55">
      <c r="A55" s="22" t="n"/>
      <c r="B55" s="23" t="n"/>
      <c r="C55" s="23" t="n"/>
      <c r="D55" s="24" t="n"/>
      <c r="E55" s="24" t="n"/>
      <c r="F55" s="23" t="n"/>
      <c r="G55" s="19">
        <f>IFERROR(IF(OR($B55="",$C55=""),"",IF(MATCH($C55,'Ajustes'!$A$5:$A$8,0)&lt;=2,$D55*INDEX('Ajustes'!$C$5:$C$6,MATCH($C55,'Ajustes'!$A$5:$A$8,0)),IF(MATCH($C55,'Ajustes'!$A$5:$A$8,0)=3,-($D55+$E55*INDEX('Equipo'!$B$5:$B$29,MATCH($B55,'Equipo'!$A$5:$A$29,0))),0))),"")</f>
        <v/>
      </c>
      <c r="H55" s="25">
        <f>IFERROR(IF(OR($B55="",$C55=""),"",IF(MATCH($C55,'Ajustes'!$A$5:$A$8,0)=4,$D55/INDEX('Equipo'!$B$5:$B$29,MATCH($B55,'Equipo'!$A$5:$A$29,0))+$E55,0)),"")</f>
        <v/>
      </c>
      <c r="I55" s="26">
        <f>IF($B55='Perfil'!$B$3,COUNTIF($B$4:$B55,'Perfil'!$B$3),"")</f>
        <v/>
      </c>
    </row>
    <row r="56">
      <c r="A56" s="22" t="n"/>
      <c r="B56" s="23" t="n"/>
      <c r="C56" s="23" t="n"/>
      <c r="D56" s="24" t="n"/>
      <c r="E56" s="24" t="n"/>
      <c r="F56" s="23" t="n"/>
      <c r="G56" s="19">
        <f>IFERROR(IF(OR($B56="",$C56=""),"",IF(MATCH($C56,'Ajustes'!$A$5:$A$8,0)&lt;=2,$D56*INDEX('Ajustes'!$C$5:$C$6,MATCH($C56,'Ajustes'!$A$5:$A$8,0)),IF(MATCH($C56,'Ajustes'!$A$5:$A$8,0)=3,-($D56+$E56*INDEX('Equipo'!$B$5:$B$29,MATCH($B56,'Equipo'!$A$5:$A$29,0))),0))),"")</f>
        <v/>
      </c>
      <c r="H56" s="25">
        <f>IFERROR(IF(OR($B56="",$C56=""),"",IF(MATCH($C56,'Ajustes'!$A$5:$A$8,0)=4,$D56/INDEX('Equipo'!$B$5:$B$29,MATCH($B56,'Equipo'!$A$5:$A$29,0))+$E56,0)),"")</f>
        <v/>
      </c>
      <c r="I56" s="26">
        <f>IF($B56='Perfil'!$B$3,COUNTIF($B$4:$B56,'Perfil'!$B$3),"")</f>
        <v/>
      </c>
    </row>
    <row r="57">
      <c r="A57" s="22" t="n"/>
      <c r="B57" s="23" t="n"/>
      <c r="C57" s="23" t="n"/>
      <c r="D57" s="24" t="n"/>
      <c r="E57" s="24" t="n"/>
      <c r="F57" s="23" t="n"/>
      <c r="G57" s="19">
        <f>IFERROR(IF(OR($B57="",$C57=""),"",IF(MATCH($C57,'Ajustes'!$A$5:$A$8,0)&lt;=2,$D57*INDEX('Ajustes'!$C$5:$C$6,MATCH($C57,'Ajustes'!$A$5:$A$8,0)),IF(MATCH($C57,'Ajustes'!$A$5:$A$8,0)=3,-($D57+$E57*INDEX('Equipo'!$B$5:$B$29,MATCH($B57,'Equipo'!$A$5:$A$29,0))),0))),"")</f>
        <v/>
      </c>
      <c r="H57" s="25">
        <f>IFERROR(IF(OR($B57="",$C57=""),"",IF(MATCH($C57,'Ajustes'!$A$5:$A$8,0)=4,$D57/INDEX('Equipo'!$B$5:$B$29,MATCH($B57,'Equipo'!$A$5:$A$29,0))+$E57,0)),"")</f>
        <v/>
      </c>
      <c r="I57" s="26">
        <f>IF($B57='Perfil'!$B$3,COUNTIF($B$4:$B57,'Perfil'!$B$3),"")</f>
        <v/>
      </c>
    </row>
    <row r="58">
      <c r="A58" s="22" t="n"/>
      <c r="B58" s="23" t="n"/>
      <c r="C58" s="23" t="n"/>
      <c r="D58" s="24" t="n"/>
      <c r="E58" s="24" t="n"/>
      <c r="F58" s="23" t="n"/>
      <c r="G58" s="19">
        <f>IFERROR(IF(OR($B58="",$C58=""),"",IF(MATCH($C58,'Ajustes'!$A$5:$A$8,0)&lt;=2,$D58*INDEX('Ajustes'!$C$5:$C$6,MATCH($C58,'Ajustes'!$A$5:$A$8,0)),IF(MATCH($C58,'Ajustes'!$A$5:$A$8,0)=3,-($D58+$E58*INDEX('Equipo'!$B$5:$B$29,MATCH($B58,'Equipo'!$A$5:$A$29,0))),0))),"")</f>
        <v/>
      </c>
      <c r="H58" s="25">
        <f>IFERROR(IF(OR($B58="",$C58=""),"",IF(MATCH($C58,'Ajustes'!$A$5:$A$8,0)=4,$D58/INDEX('Equipo'!$B$5:$B$29,MATCH($B58,'Equipo'!$A$5:$A$29,0))+$E58,0)),"")</f>
        <v/>
      </c>
      <c r="I58" s="26">
        <f>IF($B58='Perfil'!$B$3,COUNTIF($B$4:$B58,'Perfil'!$B$3),"")</f>
        <v/>
      </c>
    </row>
    <row r="59">
      <c r="A59" s="22" t="n"/>
      <c r="B59" s="23" t="n"/>
      <c r="C59" s="23" t="n"/>
      <c r="D59" s="24" t="n"/>
      <c r="E59" s="24" t="n"/>
      <c r="F59" s="23" t="n"/>
      <c r="G59" s="19">
        <f>IFERROR(IF(OR($B59="",$C59=""),"",IF(MATCH($C59,'Ajustes'!$A$5:$A$8,0)&lt;=2,$D59*INDEX('Ajustes'!$C$5:$C$6,MATCH($C59,'Ajustes'!$A$5:$A$8,0)),IF(MATCH($C59,'Ajustes'!$A$5:$A$8,0)=3,-($D59+$E59*INDEX('Equipo'!$B$5:$B$29,MATCH($B59,'Equipo'!$A$5:$A$29,0))),0))),"")</f>
        <v/>
      </c>
      <c r="H59" s="25">
        <f>IFERROR(IF(OR($B59="",$C59=""),"",IF(MATCH($C59,'Ajustes'!$A$5:$A$8,0)=4,$D59/INDEX('Equipo'!$B$5:$B$29,MATCH($B59,'Equipo'!$A$5:$A$29,0))+$E59,0)),"")</f>
        <v/>
      </c>
      <c r="I59" s="26">
        <f>IF($B59='Perfil'!$B$3,COUNTIF($B$4:$B59,'Perfil'!$B$3),"")</f>
        <v/>
      </c>
    </row>
    <row r="60">
      <c r="A60" s="22" t="n"/>
      <c r="B60" s="23" t="n"/>
      <c r="C60" s="23" t="n"/>
      <c r="D60" s="24" t="n"/>
      <c r="E60" s="24" t="n"/>
      <c r="F60" s="23" t="n"/>
      <c r="G60" s="19">
        <f>IFERROR(IF(OR($B60="",$C60=""),"",IF(MATCH($C60,'Ajustes'!$A$5:$A$8,0)&lt;=2,$D60*INDEX('Ajustes'!$C$5:$C$6,MATCH($C60,'Ajustes'!$A$5:$A$8,0)),IF(MATCH($C60,'Ajustes'!$A$5:$A$8,0)=3,-($D60+$E60*INDEX('Equipo'!$B$5:$B$29,MATCH($B60,'Equipo'!$A$5:$A$29,0))),0))),"")</f>
        <v/>
      </c>
      <c r="H60" s="25">
        <f>IFERROR(IF(OR($B60="",$C60=""),"",IF(MATCH($C60,'Ajustes'!$A$5:$A$8,0)=4,$D60/INDEX('Equipo'!$B$5:$B$29,MATCH($B60,'Equipo'!$A$5:$A$29,0))+$E60,0)),"")</f>
        <v/>
      </c>
      <c r="I60" s="26">
        <f>IF($B60='Perfil'!$B$3,COUNTIF($B$4:$B60,'Perfil'!$B$3),"")</f>
        <v/>
      </c>
    </row>
    <row r="61">
      <c r="A61" s="22" t="n"/>
      <c r="B61" s="23" t="n"/>
      <c r="C61" s="23" t="n"/>
      <c r="D61" s="24" t="n"/>
      <c r="E61" s="24" t="n"/>
      <c r="F61" s="23" t="n"/>
      <c r="G61" s="19">
        <f>IFERROR(IF(OR($B61="",$C61=""),"",IF(MATCH($C61,'Ajustes'!$A$5:$A$8,0)&lt;=2,$D61*INDEX('Ajustes'!$C$5:$C$6,MATCH($C61,'Ajustes'!$A$5:$A$8,0)),IF(MATCH($C61,'Ajustes'!$A$5:$A$8,0)=3,-($D61+$E61*INDEX('Equipo'!$B$5:$B$29,MATCH($B61,'Equipo'!$A$5:$A$29,0))),0))),"")</f>
        <v/>
      </c>
      <c r="H61" s="25">
        <f>IFERROR(IF(OR($B61="",$C61=""),"",IF(MATCH($C61,'Ajustes'!$A$5:$A$8,0)=4,$D61/INDEX('Equipo'!$B$5:$B$29,MATCH($B61,'Equipo'!$A$5:$A$29,0))+$E61,0)),"")</f>
        <v/>
      </c>
      <c r="I61" s="26">
        <f>IF($B61='Perfil'!$B$3,COUNTIF($B$4:$B61,'Perfil'!$B$3),"")</f>
        <v/>
      </c>
    </row>
    <row r="62">
      <c r="A62" s="22" t="n"/>
      <c r="B62" s="23" t="n"/>
      <c r="C62" s="23" t="n"/>
      <c r="D62" s="24" t="n"/>
      <c r="E62" s="24" t="n"/>
      <c r="F62" s="23" t="n"/>
      <c r="G62" s="19">
        <f>IFERROR(IF(OR($B62="",$C62=""),"",IF(MATCH($C62,'Ajustes'!$A$5:$A$8,0)&lt;=2,$D62*INDEX('Ajustes'!$C$5:$C$6,MATCH($C62,'Ajustes'!$A$5:$A$8,0)),IF(MATCH($C62,'Ajustes'!$A$5:$A$8,0)=3,-($D62+$E62*INDEX('Equipo'!$B$5:$B$29,MATCH($B62,'Equipo'!$A$5:$A$29,0))),0))),"")</f>
        <v/>
      </c>
      <c r="H62" s="25">
        <f>IFERROR(IF(OR($B62="",$C62=""),"",IF(MATCH($C62,'Ajustes'!$A$5:$A$8,0)=4,$D62/INDEX('Equipo'!$B$5:$B$29,MATCH($B62,'Equipo'!$A$5:$A$29,0))+$E62,0)),"")</f>
        <v/>
      </c>
      <c r="I62" s="26">
        <f>IF($B62='Perfil'!$B$3,COUNTIF($B$4:$B62,'Perfil'!$B$3),"")</f>
        <v/>
      </c>
    </row>
    <row r="63">
      <c r="A63" s="22" t="n"/>
      <c r="B63" s="23" t="n"/>
      <c r="C63" s="23" t="n"/>
      <c r="D63" s="24" t="n"/>
      <c r="E63" s="24" t="n"/>
      <c r="F63" s="23" t="n"/>
      <c r="G63" s="19">
        <f>IFERROR(IF(OR($B63="",$C63=""),"",IF(MATCH($C63,'Ajustes'!$A$5:$A$8,0)&lt;=2,$D63*INDEX('Ajustes'!$C$5:$C$6,MATCH($C63,'Ajustes'!$A$5:$A$8,0)),IF(MATCH($C63,'Ajustes'!$A$5:$A$8,0)=3,-($D63+$E63*INDEX('Equipo'!$B$5:$B$29,MATCH($B63,'Equipo'!$A$5:$A$29,0))),0))),"")</f>
        <v/>
      </c>
      <c r="H63" s="25">
        <f>IFERROR(IF(OR($B63="",$C63=""),"",IF(MATCH($C63,'Ajustes'!$A$5:$A$8,0)=4,$D63/INDEX('Equipo'!$B$5:$B$29,MATCH($B63,'Equipo'!$A$5:$A$29,0))+$E63,0)),"")</f>
        <v/>
      </c>
      <c r="I63" s="26">
        <f>IF($B63='Perfil'!$B$3,COUNTIF($B$4:$B63,'Perfil'!$B$3),"")</f>
        <v/>
      </c>
    </row>
    <row r="64">
      <c r="A64" s="22" t="n"/>
      <c r="B64" s="23" t="n"/>
      <c r="C64" s="23" t="n"/>
      <c r="D64" s="24" t="n"/>
      <c r="E64" s="24" t="n"/>
      <c r="F64" s="23" t="n"/>
      <c r="G64" s="19">
        <f>IFERROR(IF(OR($B64="",$C64=""),"",IF(MATCH($C64,'Ajustes'!$A$5:$A$8,0)&lt;=2,$D64*INDEX('Ajustes'!$C$5:$C$6,MATCH($C64,'Ajustes'!$A$5:$A$8,0)),IF(MATCH($C64,'Ajustes'!$A$5:$A$8,0)=3,-($D64+$E64*INDEX('Equipo'!$B$5:$B$29,MATCH($B64,'Equipo'!$A$5:$A$29,0))),0))),"")</f>
        <v/>
      </c>
      <c r="H64" s="25">
        <f>IFERROR(IF(OR($B64="",$C64=""),"",IF(MATCH($C64,'Ajustes'!$A$5:$A$8,0)=4,$D64/INDEX('Equipo'!$B$5:$B$29,MATCH($B64,'Equipo'!$A$5:$A$29,0))+$E64,0)),"")</f>
        <v/>
      </c>
      <c r="I64" s="26">
        <f>IF($B64='Perfil'!$B$3,COUNTIF($B$4:$B64,'Perfil'!$B$3),"")</f>
        <v/>
      </c>
    </row>
    <row r="65">
      <c r="A65" s="22" t="n"/>
      <c r="B65" s="23" t="n"/>
      <c r="C65" s="23" t="n"/>
      <c r="D65" s="24" t="n"/>
      <c r="E65" s="24" t="n"/>
      <c r="F65" s="23" t="n"/>
      <c r="G65" s="19">
        <f>IFERROR(IF(OR($B65="",$C65=""),"",IF(MATCH($C65,'Ajustes'!$A$5:$A$8,0)&lt;=2,$D65*INDEX('Ajustes'!$C$5:$C$6,MATCH($C65,'Ajustes'!$A$5:$A$8,0)),IF(MATCH($C65,'Ajustes'!$A$5:$A$8,0)=3,-($D65+$E65*INDEX('Equipo'!$B$5:$B$29,MATCH($B65,'Equipo'!$A$5:$A$29,0))),0))),"")</f>
        <v/>
      </c>
      <c r="H65" s="25">
        <f>IFERROR(IF(OR($B65="",$C65=""),"",IF(MATCH($C65,'Ajustes'!$A$5:$A$8,0)=4,$D65/INDEX('Equipo'!$B$5:$B$29,MATCH($B65,'Equipo'!$A$5:$A$29,0))+$E65,0)),"")</f>
        <v/>
      </c>
      <c r="I65" s="26">
        <f>IF($B65='Perfil'!$B$3,COUNTIF($B$4:$B65,'Perfil'!$B$3),"")</f>
        <v/>
      </c>
    </row>
    <row r="66">
      <c r="A66" s="22" t="n"/>
      <c r="B66" s="23" t="n"/>
      <c r="C66" s="23" t="n"/>
      <c r="D66" s="24" t="n"/>
      <c r="E66" s="24" t="n"/>
      <c r="F66" s="23" t="n"/>
      <c r="G66" s="19">
        <f>IFERROR(IF(OR($B66="",$C66=""),"",IF(MATCH($C66,'Ajustes'!$A$5:$A$8,0)&lt;=2,$D66*INDEX('Ajustes'!$C$5:$C$6,MATCH($C66,'Ajustes'!$A$5:$A$8,0)),IF(MATCH($C66,'Ajustes'!$A$5:$A$8,0)=3,-($D66+$E66*INDEX('Equipo'!$B$5:$B$29,MATCH($B66,'Equipo'!$A$5:$A$29,0))),0))),"")</f>
        <v/>
      </c>
      <c r="H66" s="25">
        <f>IFERROR(IF(OR($B66="",$C66=""),"",IF(MATCH($C66,'Ajustes'!$A$5:$A$8,0)=4,$D66/INDEX('Equipo'!$B$5:$B$29,MATCH($B66,'Equipo'!$A$5:$A$29,0))+$E66,0)),"")</f>
        <v/>
      </c>
      <c r="I66" s="26">
        <f>IF($B66='Perfil'!$B$3,COUNTIF($B$4:$B66,'Perfil'!$B$3),"")</f>
        <v/>
      </c>
    </row>
    <row r="67">
      <c r="A67" s="22" t="n"/>
      <c r="B67" s="23" t="n"/>
      <c r="C67" s="23" t="n"/>
      <c r="D67" s="24" t="n"/>
      <c r="E67" s="24" t="n"/>
      <c r="F67" s="23" t="n"/>
      <c r="G67" s="19">
        <f>IFERROR(IF(OR($B67="",$C67=""),"",IF(MATCH($C67,'Ajustes'!$A$5:$A$8,0)&lt;=2,$D67*INDEX('Ajustes'!$C$5:$C$6,MATCH($C67,'Ajustes'!$A$5:$A$8,0)),IF(MATCH($C67,'Ajustes'!$A$5:$A$8,0)=3,-($D67+$E67*INDEX('Equipo'!$B$5:$B$29,MATCH($B67,'Equipo'!$A$5:$A$29,0))),0))),"")</f>
        <v/>
      </c>
      <c r="H67" s="25">
        <f>IFERROR(IF(OR($B67="",$C67=""),"",IF(MATCH($C67,'Ajustes'!$A$5:$A$8,0)=4,$D67/INDEX('Equipo'!$B$5:$B$29,MATCH($B67,'Equipo'!$A$5:$A$29,0))+$E67,0)),"")</f>
        <v/>
      </c>
      <c r="I67" s="26">
        <f>IF($B67='Perfil'!$B$3,COUNTIF($B$4:$B67,'Perfil'!$B$3),"")</f>
        <v/>
      </c>
    </row>
    <row r="68">
      <c r="A68" s="22" t="n"/>
      <c r="B68" s="23" t="n"/>
      <c r="C68" s="23" t="n"/>
      <c r="D68" s="24" t="n"/>
      <c r="E68" s="24" t="n"/>
      <c r="F68" s="23" t="n"/>
      <c r="G68" s="19">
        <f>IFERROR(IF(OR($B68="",$C68=""),"",IF(MATCH($C68,'Ajustes'!$A$5:$A$8,0)&lt;=2,$D68*INDEX('Ajustes'!$C$5:$C$6,MATCH($C68,'Ajustes'!$A$5:$A$8,0)),IF(MATCH($C68,'Ajustes'!$A$5:$A$8,0)=3,-($D68+$E68*INDEX('Equipo'!$B$5:$B$29,MATCH($B68,'Equipo'!$A$5:$A$29,0))),0))),"")</f>
        <v/>
      </c>
      <c r="H68" s="25">
        <f>IFERROR(IF(OR($B68="",$C68=""),"",IF(MATCH($C68,'Ajustes'!$A$5:$A$8,0)=4,$D68/INDEX('Equipo'!$B$5:$B$29,MATCH($B68,'Equipo'!$A$5:$A$29,0))+$E68,0)),"")</f>
        <v/>
      </c>
      <c r="I68" s="26">
        <f>IF($B68='Perfil'!$B$3,COUNTIF($B$4:$B68,'Perfil'!$B$3),"")</f>
        <v/>
      </c>
    </row>
    <row r="69">
      <c r="A69" s="22" t="n"/>
      <c r="B69" s="23" t="n"/>
      <c r="C69" s="23" t="n"/>
      <c r="D69" s="24" t="n"/>
      <c r="E69" s="24" t="n"/>
      <c r="F69" s="23" t="n"/>
      <c r="G69" s="19">
        <f>IFERROR(IF(OR($B69="",$C69=""),"",IF(MATCH($C69,'Ajustes'!$A$5:$A$8,0)&lt;=2,$D69*INDEX('Ajustes'!$C$5:$C$6,MATCH($C69,'Ajustes'!$A$5:$A$8,0)),IF(MATCH($C69,'Ajustes'!$A$5:$A$8,0)=3,-($D69+$E69*INDEX('Equipo'!$B$5:$B$29,MATCH($B69,'Equipo'!$A$5:$A$29,0))),0))),"")</f>
        <v/>
      </c>
      <c r="H69" s="25">
        <f>IFERROR(IF(OR($B69="",$C69=""),"",IF(MATCH($C69,'Ajustes'!$A$5:$A$8,0)=4,$D69/INDEX('Equipo'!$B$5:$B$29,MATCH($B69,'Equipo'!$A$5:$A$29,0))+$E69,0)),"")</f>
        <v/>
      </c>
      <c r="I69" s="26">
        <f>IF($B69='Perfil'!$B$3,COUNTIF($B$4:$B69,'Perfil'!$B$3),"")</f>
        <v/>
      </c>
    </row>
    <row r="70">
      <c r="A70" s="22" t="n"/>
      <c r="B70" s="23" t="n"/>
      <c r="C70" s="23" t="n"/>
      <c r="D70" s="24" t="n"/>
      <c r="E70" s="24" t="n"/>
      <c r="F70" s="23" t="n"/>
      <c r="G70" s="19">
        <f>IFERROR(IF(OR($B70="",$C70=""),"",IF(MATCH($C70,'Ajustes'!$A$5:$A$8,0)&lt;=2,$D70*INDEX('Ajustes'!$C$5:$C$6,MATCH($C70,'Ajustes'!$A$5:$A$8,0)),IF(MATCH($C70,'Ajustes'!$A$5:$A$8,0)=3,-($D70+$E70*INDEX('Equipo'!$B$5:$B$29,MATCH($B70,'Equipo'!$A$5:$A$29,0))),0))),"")</f>
        <v/>
      </c>
      <c r="H70" s="25">
        <f>IFERROR(IF(OR($B70="",$C70=""),"",IF(MATCH($C70,'Ajustes'!$A$5:$A$8,0)=4,$D70/INDEX('Equipo'!$B$5:$B$29,MATCH($B70,'Equipo'!$A$5:$A$29,0))+$E70,0)),"")</f>
        <v/>
      </c>
      <c r="I70" s="26">
        <f>IF($B70='Perfil'!$B$3,COUNTIF($B$4:$B70,'Perfil'!$B$3),"")</f>
        <v/>
      </c>
    </row>
    <row r="71">
      <c r="A71" s="22" t="n"/>
      <c r="B71" s="23" t="n"/>
      <c r="C71" s="23" t="n"/>
      <c r="D71" s="24" t="n"/>
      <c r="E71" s="24" t="n"/>
      <c r="F71" s="23" t="n"/>
      <c r="G71" s="19">
        <f>IFERROR(IF(OR($B71="",$C71=""),"",IF(MATCH($C71,'Ajustes'!$A$5:$A$8,0)&lt;=2,$D71*INDEX('Ajustes'!$C$5:$C$6,MATCH($C71,'Ajustes'!$A$5:$A$8,0)),IF(MATCH($C71,'Ajustes'!$A$5:$A$8,0)=3,-($D71+$E71*INDEX('Equipo'!$B$5:$B$29,MATCH($B71,'Equipo'!$A$5:$A$29,0))),0))),"")</f>
        <v/>
      </c>
      <c r="H71" s="25">
        <f>IFERROR(IF(OR($B71="",$C71=""),"",IF(MATCH($C71,'Ajustes'!$A$5:$A$8,0)=4,$D71/INDEX('Equipo'!$B$5:$B$29,MATCH($B71,'Equipo'!$A$5:$A$29,0))+$E71,0)),"")</f>
        <v/>
      </c>
      <c r="I71" s="26">
        <f>IF($B71='Perfil'!$B$3,COUNTIF($B$4:$B71,'Perfil'!$B$3),"")</f>
        <v/>
      </c>
    </row>
    <row r="72">
      <c r="A72" s="22" t="n"/>
      <c r="B72" s="23" t="n"/>
      <c r="C72" s="23" t="n"/>
      <c r="D72" s="24" t="n"/>
      <c r="E72" s="24" t="n"/>
      <c r="F72" s="23" t="n"/>
      <c r="G72" s="19">
        <f>IFERROR(IF(OR($B72="",$C72=""),"",IF(MATCH($C72,'Ajustes'!$A$5:$A$8,0)&lt;=2,$D72*INDEX('Ajustes'!$C$5:$C$6,MATCH($C72,'Ajustes'!$A$5:$A$8,0)),IF(MATCH($C72,'Ajustes'!$A$5:$A$8,0)=3,-($D72+$E72*INDEX('Equipo'!$B$5:$B$29,MATCH($B72,'Equipo'!$A$5:$A$29,0))),0))),"")</f>
        <v/>
      </c>
      <c r="H72" s="25">
        <f>IFERROR(IF(OR($B72="",$C72=""),"",IF(MATCH($C72,'Ajustes'!$A$5:$A$8,0)=4,$D72/INDEX('Equipo'!$B$5:$B$29,MATCH($B72,'Equipo'!$A$5:$A$29,0))+$E72,0)),"")</f>
        <v/>
      </c>
      <c r="I72" s="26">
        <f>IF($B72='Perfil'!$B$3,COUNTIF($B$4:$B72,'Perfil'!$B$3),"")</f>
        <v/>
      </c>
    </row>
    <row r="73">
      <c r="A73" s="22" t="n"/>
      <c r="B73" s="23" t="n"/>
      <c r="C73" s="23" t="n"/>
      <c r="D73" s="24" t="n"/>
      <c r="E73" s="24" t="n"/>
      <c r="F73" s="23" t="n"/>
      <c r="G73" s="19">
        <f>IFERROR(IF(OR($B73="",$C73=""),"",IF(MATCH($C73,'Ajustes'!$A$5:$A$8,0)&lt;=2,$D73*INDEX('Ajustes'!$C$5:$C$6,MATCH($C73,'Ajustes'!$A$5:$A$8,0)),IF(MATCH($C73,'Ajustes'!$A$5:$A$8,0)=3,-($D73+$E73*INDEX('Equipo'!$B$5:$B$29,MATCH($B73,'Equipo'!$A$5:$A$29,0))),0))),"")</f>
        <v/>
      </c>
      <c r="H73" s="25">
        <f>IFERROR(IF(OR($B73="",$C73=""),"",IF(MATCH($C73,'Ajustes'!$A$5:$A$8,0)=4,$D73/INDEX('Equipo'!$B$5:$B$29,MATCH($B73,'Equipo'!$A$5:$A$29,0))+$E73,0)),"")</f>
        <v/>
      </c>
      <c r="I73" s="26">
        <f>IF($B73='Perfil'!$B$3,COUNTIF($B$4:$B73,'Perfil'!$B$3),"")</f>
        <v/>
      </c>
    </row>
    <row r="74">
      <c r="A74" s="22" t="n"/>
      <c r="B74" s="23" t="n"/>
      <c r="C74" s="23" t="n"/>
      <c r="D74" s="24" t="n"/>
      <c r="E74" s="24" t="n"/>
      <c r="F74" s="23" t="n"/>
      <c r="G74" s="19">
        <f>IFERROR(IF(OR($B74="",$C74=""),"",IF(MATCH($C74,'Ajustes'!$A$5:$A$8,0)&lt;=2,$D74*INDEX('Ajustes'!$C$5:$C$6,MATCH($C74,'Ajustes'!$A$5:$A$8,0)),IF(MATCH($C74,'Ajustes'!$A$5:$A$8,0)=3,-($D74+$E74*INDEX('Equipo'!$B$5:$B$29,MATCH($B74,'Equipo'!$A$5:$A$29,0))),0))),"")</f>
        <v/>
      </c>
      <c r="H74" s="25">
        <f>IFERROR(IF(OR($B74="",$C74=""),"",IF(MATCH($C74,'Ajustes'!$A$5:$A$8,0)=4,$D74/INDEX('Equipo'!$B$5:$B$29,MATCH($B74,'Equipo'!$A$5:$A$29,0))+$E74,0)),"")</f>
        <v/>
      </c>
      <c r="I74" s="26">
        <f>IF($B74='Perfil'!$B$3,COUNTIF($B$4:$B74,'Perfil'!$B$3),"")</f>
        <v/>
      </c>
    </row>
    <row r="75">
      <c r="A75" s="22" t="n"/>
      <c r="B75" s="23" t="n"/>
      <c r="C75" s="23" t="n"/>
      <c r="D75" s="24" t="n"/>
      <c r="E75" s="24" t="n"/>
      <c r="F75" s="23" t="n"/>
      <c r="G75" s="19">
        <f>IFERROR(IF(OR($B75="",$C75=""),"",IF(MATCH($C75,'Ajustes'!$A$5:$A$8,0)&lt;=2,$D75*INDEX('Ajustes'!$C$5:$C$6,MATCH($C75,'Ajustes'!$A$5:$A$8,0)),IF(MATCH($C75,'Ajustes'!$A$5:$A$8,0)=3,-($D75+$E75*INDEX('Equipo'!$B$5:$B$29,MATCH($B75,'Equipo'!$A$5:$A$29,0))),0))),"")</f>
        <v/>
      </c>
      <c r="H75" s="25">
        <f>IFERROR(IF(OR($B75="",$C75=""),"",IF(MATCH($C75,'Ajustes'!$A$5:$A$8,0)=4,$D75/INDEX('Equipo'!$B$5:$B$29,MATCH($B75,'Equipo'!$A$5:$A$29,0))+$E75,0)),"")</f>
        <v/>
      </c>
      <c r="I75" s="26">
        <f>IF($B75='Perfil'!$B$3,COUNTIF($B$4:$B75,'Perfil'!$B$3),"")</f>
        <v/>
      </c>
    </row>
    <row r="76">
      <c r="A76" s="22" t="n"/>
      <c r="B76" s="23" t="n"/>
      <c r="C76" s="23" t="n"/>
      <c r="D76" s="24" t="n"/>
      <c r="E76" s="24" t="n"/>
      <c r="F76" s="23" t="n"/>
      <c r="G76" s="19">
        <f>IFERROR(IF(OR($B76="",$C76=""),"",IF(MATCH($C76,'Ajustes'!$A$5:$A$8,0)&lt;=2,$D76*INDEX('Ajustes'!$C$5:$C$6,MATCH($C76,'Ajustes'!$A$5:$A$8,0)),IF(MATCH($C76,'Ajustes'!$A$5:$A$8,0)=3,-($D76+$E76*INDEX('Equipo'!$B$5:$B$29,MATCH($B76,'Equipo'!$A$5:$A$29,0))),0))),"")</f>
        <v/>
      </c>
      <c r="H76" s="25">
        <f>IFERROR(IF(OR($B76="",$C76=""),"",IF(MATCH($C76,'Ajustes'!$A$5:$A$8,0)=4,$D76/INDEX('Equipo'!$B$5:$B$29,MATCH($B76,'Equipo'!$A$5:$A$29,0))+$E76,0)),"")</f>
        <v/>
      </c>
      <c r="I76" s="26">
        <f>IF($B76='Perfil'!$B$3,COUNTIF($B$4:$B76,'Perfil'!$B$3),"")</f>
        <v/>
      </c>
    </row>
    <row r="77">
      <c r="A77" s="22" t="n"/>
      <c r="B77" s="23" t="n"/>
      <c r="C77" s="23" t="n"/>
      <c r="D77" s="24" t="n"/>
      <c r="E77" s="24" t="n"/>
      <c r="F77" s="23" t="n"/>
      <c r="G77" s="19">
        <f>IFERROR(IF(OR($B77="",$C77=""),"",IF(MATCH($C77,'Ajustes'!$A$5:$A$8,0)&lt;=2,$D77*INDEX('Ajustes'!$C$5:$C$6,MATCH($C77,'Ajustes'!$A$5:$A$8,0)),IF(MATCH($C77,'Ajustes'!$A$5:$A$8,0)=3,-($D77+$E77*INDEX('Equipo'!$B$5:$B$29,MATCH($B77,'Equipo'!$A$5:$A$29,0))),0))),"")</f>
        <v/>
      </c>
      <c r="H77" s="25">
        <f>IFERROR(IF(OR($B77="",$C77=""),"",IF(MATCH($C77,'Ajustes'!$A$5:$A$8,0)=4,$D77/INDEX('Equipo'!$B$5:$B$29,MATCH($B77,'Equipo'!$A$5:$A$29,0))+$E77,0)),"")</f>
        <v/>
      </c>
      <c r="I77" s="26">
        <f>IF($B77='Perfil'!$B$3,COUNTIF($B$4:$B77,'Perfil'!$B$3),"")</f>
        <v/>
      </c>
    </row>
    <row r="78">
      <c r="A78" s="22" t="n"/>
      <c r="B78" s="23" t="n"/>
      <c r="C78" s="23" t="n"/>
      <c r="D78" s="24" t="n"/>
      <c r="E78" s="24" t="n"/>
      <c r="F78" s="23" t="n"/>
      <c r="G78" s="19">
        <f>IFERROR(IF(OR($B78="",$C78=""),"",IF(MATCH($C78,'Ajustes'!$A$5:$A$8,0)&lt;=2,$D78*INDEX('Ajustes'!$C$5:$C$6,MATCH($C78,'Ajustes'!$A$5:$A$8,0)),IF(MATCH($C78,'Ajustes'!$A$5:$A$8,0)=3,-($D78+$E78*INDEX('Equipo'!$B$5:$B$29,MATCH($B78,'Equipo'!$A$5:$A$29,0))),0))),"")</f>
        <v/>
      </c>
      <c r="H78" s="25">
        <f>IFERROR(IF(OR($B78="",$C78=""),"",IF(MATCH($C78,'Ajustes'!$A$5:$A$8,0)=4,$D78/INDEX('Equipo'!$B$5:$B$29,MATCH($B78,'Equipo'!$A$5:$A$29,0))+$E78,0)),"")</f>
        <v/>
      </c>
      <c r="I78" s="26">
        <f>IF($B78='Perfil'!$B$3,COUNTIF($B$4:$B78,'Perfil'!$B$3),"")</f>
        <v/>
      </c>
    </row>
    <row r="79">
      <c r="A79" s="22" t="n"/>
      <c r="B79" s="23" t="n"/>
      <c r="C79" s="23" t="n"/>
      <c r="D79" s="24" t="n"/>
      <c r="E79" s="24" t="n"/>
      <c r="F79" s="23" t="n"/>
      <c r="G79" s="19">
        <f>IFERROR(IF(OR($B79="",$C79=""),"",IF(MATCH($C79,'Ajustes'!$A$5:$A$8,0)&lt;=2,$D79*INDEX('Ajustes'!$C$5:$C$6,MATCH($C79,'Ajustes'!$A$5:$A$8,0)),IF(MATCH($C79,'Ajustes'!$A$5:$A$8,0)=3,-($D79+$E79*INDEX('Equipo'!$B$5:$B$29,MATCH($B79,'Equipo'!$A$5:$A$29,0))),0))),"")</f>
        <v/>
      </c>
      <c r="H79" s="25">
        <f>IFERROR(IF(OR($B79="",$C79=""),"",IF(MATCH($C79,'Ajustes'!$A$5:$A$8,0)=4,$D79/INDEX('Equipo'!$B$5:$B$29,MATCH($B79,'Equipo'!$A$5:$A$29,0))+$E79,0)),"")</f>
        <v/>
      </c>
      <c r="I79" s="26">
        <f>IF($B79='Perfil'!$B$3,COUNTIF($B$4:$B79,'Perfil'!$B$3),"")</f>
        <v/>
      </c>
    </row>
    <row r="80">
      <c r="A80" s="22" t="n"/>
      <c r="B80" s="23" t="n"/>
      <c r="C80" s="23" t="n"/>
      <c r="D80" s="24" t="n"/>
      <c r="E80" s="24" t="n"/>
      <c r="F80" s="23" t="n"/>
      <c r="G80" s="19">
        <f>IFERROR(IF(OR($B80="",$C80=""),"",IF(MATCH($C80,'Ajustes'!$A$5:$A$8,0)&lt;=2,$D80*INDEX('Ajustes'!$C$5:$C$6,MATCH($C80,'Ajustes'!$A$5:$A$8,0)),IF(MATCH($C80,'Ajustes'!$A$5:$A$8,0)=3,-($D80+$E80*INDEX('Equipo'!$B$5:$B$29,MATCH($B80,'Equipo'!$A$5:$A$29,0))),0))),"")</f>
        <v/>
      </c>
      <c r="H80" s="25">
        <f>IFERROR(IF(OR($B80="",$C80=""),"",IF(MATCH($C80,'Ajustes'!$A$5:$A$8,0)=4,$D80/INDEX('Equipo'!$B$5:$B$29,MATCH($B80,'Equipo'!$A$5:$A$29,0))+$E80,0)),"")</f>
        <v/>
      </c>
      <c r="I80" s="26">
        <f>IF($B80='Perfil'!$B$3,COUNTIF($B$4:$B80,'Perfil'!$B$3),"")</f>
        <v/>
      </c>
    </row>
    <row r="81">
      <c r="A81" s="22" t="n"/>
      <c r="B81" s="23" t="n"/>
      <c r="C81" s="23" t="n"/>
      <c r="D81" s="24" t="n"/>
      <c r="E81" s="24" t="n"/>
      <c r="F81" s="23" t="n"/>
      <c r="G81" s="19">
        <f>IFERROR(IF(OR($B81="",$C81=""),"",IF(MATCH($C81,'Ajustes'!$A$5:$A$8,0)&lt;=2,$D81*INDEX('Ajustes'!$C$5:$C$6,MATCH($C81,'Ajustes'!$A$5:$A$8,0)),IF(MATCH($C81,'Ajustes'!$A$5:$A$8,0)=3,-($D81+$E81*INDEX('Equipo'!$B$5:$B$29,MATCH($B81,'Equipo'!$A$5:$A$29,0))),0))),"")</f>
        <v/>
      </c>
      <c r="H81" s="25">
        <f>IFERROR(IF(OR($B81="",$C81=""),"",IF(MATCH($C81,'Ajustes'!$A$5:$A$8,0)=4,$D81/INDEX('Equipo'!$B$5:$B$29,MATCH($B81,'Equipo'!$A$5:$A$29,0))+$E81,0)),"")</f>
        <v/>
      </c>
      <c r="I81" s="26">
        <f>IF($B81='Perfil'!$B$3,COUNTIF($B$4:$B81,'Perfil'!$B$3),"")</f>
        <v/>
      </c>
    </row>
    <row r="82">
      <c r="A82" s="22" t="n"/>
      <c r="B82" s="23" t="n"/>
      <c r="C82" s="23" t="n"/>
      <c r="D82" s="24" t="n"/>
      <c r="E82" s="24" t="n"/>
      <c r="F82" s="23" t="n"/>
      <c r="G82" s="19">
        <f>IFERROR(IF(OR($B82="",$C82=""),"",IF(MATCH($C82,'Ajustes'!$A$5:$A$8,0)&lt;=2,$D82*INDEX('Ajustes'!$C$5:$C$6,MATCH($C82,'Ajustes'!$A$5:$A$8,0)),IF(MATCH($C82,'Ajustes'!$A$5:$A$8,0)=3,-($D82+$E82*INDEX('Equipo'!$B$5:$B$29,MATCH($B82,'Equipo'!$A$5:$A$29,0))),0))),"")</f>
        <v/>
      </c>
      <c r="H82" s="25">
        <f>IFERROR(IF(OR($B82="",$C82=""),"",IF(MATCH($C82,'Ajustes'!$A$5:$A$8,0)=4,$D82/INDEX('Equipo'!$B$5:$B$29,MATCH($B82,'Equipo'!$A$5:$A$29,0))+$E82,0)),"")</f>
        <v/>
      </c>
      <c r="I82" s="26">
        <f>IF($B82='Perfil'!$B$3,COUNTIF($B$4:$B82,'Perfil'!$B$3),"")</f>
        <v/>
      </c>
    </row>
    <row r="83">
      <c r="A83" s="22" t="n"/>
      <c r="B83" s="23" t="n"/>
      <c r="C83" s="23" t="n"/>
      <c r="D83" s="24" t="n"/>
      <c r="E83" s="24" t="n"/>
      <c r="F83" s="23" t="n"/>
      <c r="G83" s="19">
        <f>IFERROR(IF(OR($B83="",$C83=""),"",IF(MATCH($C83,'Ajustes'!$A$5:$A$8,0)&lt;=2,$D83*INDEX('Ajustes'!$C$5:$C$6,MATCH($C83,'Ajustes'!$A$5:$A$8,0)),IF(MATCH($C83,'Ajustes'!$A$5:$A$8,0)=3,-($D83+$E83*INDEX('Equipo'!$B$5:$B$29,MATCH($B83,'Equipo'!$A$5:$A$29,0))),0))),"")</f>
        <v/>
      </c>
      <c r="H83" s="25">
        <f>IFERROR(IF(OR($B83="",$C83=""),"",IF(MATCH($C83,'Ajustes'!$A$5:$A$8,0)=4,$D83/INDEX('Equipo'!$B$5:$B$29,MATCH($B83,'Equipo'!$A$5:$A$29,0))+$E83,0)),"")</f>
        <v/>
      </c>
      <c r="I83" s="26">
        <f>IF($B83='Perfil'!$B$3,COUNTIF($B$4:$B83,'Perfil'!$B$3),"")</f>
        <v/>
      </c>
    </row>
    <row r="84">
      <c r="A84" s="22" t="n"/>
      <c r="B84" s="23" t="n"/>
      <c r="C84" s="23" t="n"/>
      <c r="D84" s="24" t="n"/>
      <c r="E84" s="24" t="n"/>
      <c r="F84" s="23" t="n"/>
      <c r="G84" s="19">
        <f>IFERROR(IF(OR($B84="",$C84=""),"",IF(MATCH($C84,'Ajustes'!$A$5:$A$8,0)&lt;=2,$D84*INDEX('Ajustes'!$C$5:$C$6,MATCH($C84,'Ajustes'!$A$5:$A$8,0)),IF(MATCH($C84,'Ajustes'!$A$5:$A$8,0)=3,-($D84+$E84*INDEX('Equipo'!$B$5:$B$29,MATCH($B84,'Equipo'!$A$5:$A$29,0))),0))),"")</f>
        <v/>
      </c>
      <c r="H84" s="25">
        <f>IFERROR(IF(OR($B84="",$C84=""),"",IF(MATCH($C84,'Ajustes'!$A$5:$A$8,0)=4,$D84/INDEX('Equipo'!$B$5:$B$29,MATCH($B84,'Equipo'!$A$5:$A$29,0))+$E84,0)),"")</f>
        <v/>
      </c>
      <c r="I84" s="26">
        <f>IF($B84='Perfil'!$B$3,COUNTIF($B$4:$B84,'Perfil'!$B$3),"")</f>
        <v/>
      </c>
    </row>
    <row r="85">
      <c r="A85" s="22" t="n"/>
      <c r="B85" s="23" t="n"/>
      <c r="C85" s="23" t="n"/>
      <c r="D85" s="24" t="n"/>
      <c r="E85" s="24" t="n"/>
      <c r="F85" s="23" t="n"/>
      <c r="G85" s="19">
        <f>IFERROR(IF(OR($B85="",$C85=""),"",IF(MATCH($C85,'Ajustes'!$A$5:$A$8,0)&lt;=2,$D85*INDEX('Ajustes'!$C$5:$C$6,MATCH($C85,'Ajustes'!$A$5:$A$8,0)),IF(MATCH($C85,'Ajustes'!$A$5:$A$8,0)=3,-($D85+$E85*INDEX('Equipo'!$B$5:$B$29,MATCH($B85,'Equipo'!$A$5:$A$29,0))),0))),"")</f>
        <v/>
      </c>
      <c r="H85" s="25">
        <f>IFERROR(IF(OR($B85="",$C85=""),"",IF(MATCH($C85,'Ajustes'!$A$5:$A$8,0)=4,$D85/INDEX('Equipo'!$B$5:$B$29,MATCH($B85,'Equipo'!$A$5:$A$29,0))+$E85,0)),"")</f>
        <v/>
      </c>
      <c r="I85" s="26">
        <f>IF($B85='Perfil'!$B$3,COUNTIF($B$4:$B85,'Perfil'!$B$3),"")</f>
        <v/>
      </c>
    </row>
    <row r="86">
      <c r="A86" s="22" t="n"/>
      <c r="B86" s="23" t="n"/>
      <c r="C86" s="23" t="n"/>
      <c r="D86" s="24" t="n"/>
      <c r="E86" s="24" t="n"/>
      <c r="F86" s="23" t="n"/>
      <c r="G86" s="19">
        <f>IFERROR(IF(OR($B86="",$C86=""),"",IF(MATCH($C86,'Ajustes'!$A$5:$A$8,0)&lt;=2,$D86*INDEX('Ajustes'!$C$5:$C$6,MATCH($C86,'Ajustes'!$A$5:$A$8,0)),IF(MATCH($C86,'Ajustes'!$A$5:$A$8,0)=3,-($D86+$E86*INDEX('Equipo'!$B$5:$B$29,MATCH($B86,'Equipo'!$A$5:$A$29,0))),0))),"")</f>
        <v/>
      </c>
      <c r="H86" s="25">
        <f>IFERROR(IF(OR($B86="",$C86=""),"",IF(MATCH($C86,'Ajustes'!$A$5:$A$8,0)=4,$D86/INDEX('Equipo'!$B$5:$B$29,MATCH($B86,'Equipo'!$A$5:$A$29,0))+$E86,0)),"")</f>
        <v/>
      </c>
      <c r="I86" s="26">
        <f>IF($B86='Perfil'!$B$3,COUNTIF($B$4:$B86,'Perfil'!$B$3),"")</f>
        <v/>
      </c>
    </row>
    <row r="87">
      <c r="A87" s="22" t="n"/>
      <c r="B87" s="23" t="n"/>
      <c r="C87" s="23" t="n"/>
      <c r="D87" s="24" t="n"/>
      <c r="E87" s="24" t="n"/>
      <c r="F87" s="23" t="n"/>
      <c r="G87" s="19">
        <f>IFERROR(IF(OR($B87="",$C87=""),"",IF(MATCH($C87,'Ajustes'!$A$5:$A$8,0)&lt;=2,$D87*INDEX('Ajustes'!$C$5:$C$6,MATCH($C87,'Ajustes'!$A$5:$A$8,0)),IF(MATCH($C87,'Ajustes'!$A$5:$A$8,0)=3,-($D87+$E87*INDEX('Equipo'!$B$5:$B$29,MATCH($B87,'Equipo'!$A$5:$A$29,0))),0))),"")</f>
        <v/>
      </c>
      <c r="H87" s="25">
        <f>IFERROR(IF(OR($B87="",$C87=""),"",IF(MATCH($C87,'Ajustes'!$A$5:$A$8,0)=4,$D87/INDEX('Equipo'!$B$5:$B$29,MATCH($B87,'Equipo'!$A$5:$A$29,0))+$E87,0)),"")</f>
        <v/>
      </c>
      <c r="I87" s="26">
        <f>IF($B87='Perfil'!$B$3,COUNTIF($B$4:$B87,'Perfil'!$B$3),"")</f>
        <v/>
      </c>
    </row>
    <row r="88">
      <c r="A88" s="22" t="n"/>
      <c r="B88" s="23" t="n"/>
      <c r="C88" s="23" t="n"/>
      <c r="D88" s="24" t="n"/>
      <c r="E88" s="24" t="n"/>
      <c r="F88" s="23" t="n"/>
      <c r="G88" s="19">
        <f>IFERROR(IF(OR($B88="",$C88=""),"",IF(MATCH($C88,'Ajustes'!$A$5:$A$8,0)&lt;=2,$D88*INDEX('Ajustes'!$C$5:$C$6,MATCH($C88,'Ajustes'!$A$5:$A$8,0)),IF(MATCH($C88,'Ajustes'!$A$5:$A$8,0)=3,-($D88+$E88*INDEX('Equipo'!$B$5:$B$29,MATCH($B88,'Equipo'!$A$5:$A$29,0))),0))),"")</f>
        <v/>
      </c>
      <c r="H88" s="25">
        <f>IFERROR(IF(OR($B88="",$C88=""),"",IF(MATCH($C88,'Ajustes'!$A$5:$A$8,0)=4,$D88/INDEX('Equipo'!$B$5:$B$29,MATCH($B88,'Equipo'!$A$5:$A$29,0))+$E88,0)),"")</f>
        <v/>
      </c>
      <c r="I88" s="26">
        <f>IF($B88='Perfil'!$B$3,COUNTIF($B$4:$B88,'Perfil'!$B$3),"")</f>
        <v/>
      </c>
    </row>
    <row r="89">
      <c r="A89" s="22" t="n"/>
      <c r="B89" s="23" t="n"/>
      <c r="C89" s="23" t="n"/>
      <c r="D89" s="24" t="n"/>
      <c r="E89" s="24" t="n"/>
      <c r="F89" s="23" t="n"/>
      <c r="G89" s="19">
        <f>IFERROR(IF(OR($B89="",$C89=""),"",IF(MATCH($C89,'Ajustes'!$A$5:$A$8,0)&lt;=2,$D89*INDEX('Ajustes'!$C$5:$C$6,MATCH($C89,'Ajustes'!$A$5:$A$8,0)),IF(MATCH($C89,'Ajustes'!$A$5:$A$8,0)=3,-($D89+$E89*INDEX('Equipo'!$B$5:$B$29,MATCH($B89,'Equipo'!$A$5:$A$29,0))),0))),"")</f>
        <v/>
      </c>
      <c r="H89" s="25">
        <f>IFERROR(IF(OR($B89="",$C89=""),"",IF(MATCH($C89,'Ajustes'!$A$5:$A$8,0)=4,$D89/INDEX('Equipo'!$B$5:$B$29,MATCH($B89,'Equipo'!$A$5:$A$29,0))+$E89,0)),"")</f>
        <v/>
      </c>
      <c r="I89" s="26">
        <f>IF($B89='Perfil'!$B$3,COUNTIF($B$4:$B89,'Perfil'!$B$3),"")</f>
        <v/>
      </c>
    </row>
    <row r="90">
      <c r="A90" s="22" t="n"/>
      <c r="B90" s="23" t="n"/>
      <c r="C90" s="23" t="n"/>
      <c r="D90" s="24" t="n"/>
      <c r="E90" s="24" t="n"/>
      <c r="F90" s="23" t="n"/>
      <c r="G90" s="19">
        <f>IFERROR(IF(OR($B90="",$C90=""),"",IF(MATCH($C90,'Ajustes'!$A$5:$A$8,0)&lt;=2,$D90*INDEX('Ajustes'!$C$5:$C$6,MATCH($C90,'Ajustes'!$A$5:$A$8,0)),IF(MATCH($C90,'Ajustes'!$A$5:$A$8,0)=3,-($D90+$E90*INDEX('Equipo'!$B$5:$B$29,MATCH($B90,'Equipo'!$A$5:$A$29,0))),0))),"")</f>
        <v/>
      </c>
      <c r="H90" s="25">
        <f>IFERROR(IF(OR($B90="",$C90=""),"",IF(MATCH($C90,'Ajustes'!$A$5:$A$8,0)=4,$D90/INDEX('Equipo'!$B$5:$B$29,MATCH($B90,'Equipo'!$A$5:$A$29,0))+$E90,0)),"")</f>
        <v/>
      </c>
      <c r="I90" s="26">
        <f>IF($B90='Perfil'!$B$3,COUNTIF($B$4:$B90,'Perfil'!$B$3),"")</f>
        <v/>
      </c>
    </row>
    <row r="91">
      <c r="A91" s="22" t="n"/>
      <c r="B91" s="23" t="n"/>
      <c r="C91" s="23" t="n"/>
      <c r="D91" s="24" t="n"/>
      <c r="E91" s="24" t="n"/>
      <c r="F91" s="23" t="n"/>
      <c r="G91" s="19">
        <f>IFERROR(IF(OR($B91="",$C91=""),"",IF(MATCH($C91,'Ajustes'!$A$5:$A$8,0)&lt;=2,$D91*INDEX('Ajustes'!$C$5:$C$6,MATCH($C91,'Ajustes'!$A$5:$A$8,0)),IF(MATCH($C91,'Ajustes'!$A$5:$A$8,0)=3,-($D91+$E91*INDEX('Equipo'!$B$5:$B$29,MATCH($B91,'Equipo'!$A$5:$A$29,0))),0))),"")</f>
        <v/>
      </c>
      <c r="H91" s="25">
        <f>IFERROR(IF(OR($B91="",$C91=""),"",IF(MATCH($C91,'Ajustes'!$A$5:$A$8,0)=4,$D91/INDEX('Equipo'!$B$5:$B$29,MATCH($B91,'Equipo'!$A$5:$A$29,0))+$E91,0)),"")</f>
        <v/>
      </c>
      <c r="I91" s="26">
        <f>IF($B91='Perfil'!$B$3,COUNTIF($B$4:$B91,'Perfil'!$B$3),"")</f>
        <v/>
      </c>
    </row>
    <row r="92">
      <c r="A92" s="22" t="n"/>
      <c r="B92" s="23" t="n"/>
      <c r="C92" s="23" t="n"/>
      <c r="D92" s="24" t="n"/>
      <c r="E92" s="24" t="n"/>
      <c r="F92" s="23" t="n"/>
      <c r="G92" s="19">
        <f>IFERROR(IF(OR($B92="",$C92=""),"",IF(MATCH($C92,'Ajustes'!$A$5:$A$8,0)&lt;=2,$D92*INDEX('Ajustes'!$C$5:$C$6,MATCH($C92,'Ajustes'!$A$5:$A$8,0)),IF(MATCH($C92,'Ajustes'!$A$5:$A$8,0)=3,-($D92+$E92*INDEX('Equipo'!$B$5:$B$29,MATCH($B92,'Equipo'!$A$5:$A$29,0))),0))),"")</f>
        <v/>
      </c>
      <c r="H92" s="25">
        <f>IFERROR(IF(OR($B92="",$C92=""),"",IF(MATCH($C92,'Ajustes'!$A$5:$A$8,0)=4,$D92/INDEX('Equipo'!$B$5:$B$29,MATCH($B92,'Equipo'!$A$5:$A$29,0))+$E92,0)),"")</f>
        <v/>
      </c>
      <c r="I92" s="26">
        <f>IF($B92='Perfil'!$B$3,COUNTIF($B$4:$B92,'Perfil'!$B$3),"")</f>
        <v/>
      </c>
    </row>
    <row r="93">
      <c r="A93" s="22" t="n"/>
      <c r="B93" s="23" t="n"/>
      <c r="C93" s="23" t="n"/>
      <c r="D93" s="24" t="n"/>
      <c r="E93" s="24" t="n"/>
      <c r="F93" s="23" t="n"/>
      <c r="G93" s="19">
        <f>IFERROR(IF(OR($B93="",$C93=""),"",IF(MATCH($C93,'Ajustes'!$A$5:$A$8,0)&lt;=2,$D93*INDEX('Ajustes'!$C$5:$C$6,MATCH($C93,'Ajustes'!$A$5:$A$8,0)),IF(MATCH($C93,'Ajustes'!$A$5:$A$8,0)=3,-($D93+$E93*INDEX('Equipo'!$B$5:$B$29,MATCH($B93,'Equipo'!$A$5:$A$29,0))),0))),"")</f>
        <v/>
      </c>
      <c r="H93" s="25">
        <f>IFERROR(IF(OR($B93="",$C93=""),"",IF(MATCH($C93,'Ajustes'!$A$5:$A$8,0)=4,$D93/INDEX('Equipo'!$B$5:$B$29,MATCH($B93,'Equipo'!$A$5:$A$29,0))+$E93,0)),"")</f>
        <v/>
      </c>
      <c r="I93" s="26">
        <f>IF($B93='Perfil'!$B$3,COUNTIF($B$4:$B93,'Perfil'!$B$3),"")</f>
        <v/>
      </c>
    </row>
    <row r="94">
      <c r="A94" s="22" t="n"/>
      <c r="B94" s="23" t="n"/>
      <c r="C94" s="23" t="n"/>
      <c r="D94" s="24" t="n"/>
      <c r="E94" s="24" t="n"/>
      <c r="F94" s="23" t="n"/>
      <c r="G94" s="19">
        <f>IFERROR(IF(OR($B94="",$C94=""),"",IF(MATCH($C94,'Ajustes'!$A$5:$A$8,0)&lt;=2,$D94*INDEX('Ajustes'!$C$5:$C$6,MATCH($C94,'Ajustes'!$A$5:$A$8,0)),IF(MATCH($C94,'Ajustes'!$A$5:$A$8,0)=3,-($D94+$E94*INDEX('Equipo'!$B$5:$B$29,MATCH($B94,'Equipo'!$A$5:$A$29,0))),0))),"")</f>
        <v/>
      </c>
      <c r="H94" s="25">
        <f>IFERROR(IF(OR($B94="",$C94=""),"",IF(MATCH($C94,'Ajustes'!$A$5:$A$8,0)=4,$D94/INDEX('Equipo'!$B$5:$B$29,MATCH($B94,'Equipo'!$A$5:$A$29,0))+$E94,0)),"")</f>
        <v/>
      </c>
      <c r="I94" s="26">
        <f>IF($B94='Perfil'!$B$3,COUNTIF($B$4:$B94,'Perfil'!$B$3),"")</f>
        <v/>
      </c>
    </row>
    <row r="95">
      <c r="A95" s="22" t="n"/>
      <c r="B95" s="23" t="n"/>
      <c r="C95" s="23" t="n"/>
      <c r="D95" s="24" t="n"/>
      <c r="E95" s="24" t="n"/>
      <c r="F95" s="23" t="n"/>
      <c r="G95" s="19">
        <f>IFERROR(IF(OR($B95="",$C95=""),"",IF(MATCH($C95,'Ajustes'!$A$5:$A$8,0)&lt;=2,$D95*INDEX('Ajustes'!$C$5:$C$6,MATCH($C95,'Ajustes'!$A$5:$A$8,0)),IF(MATCH($C95,'Ajustes'!$A$5:$A$8,0)=3,-($D95+$E95*INDEX('Equipo'!$B$5:$B$29,MATCH($B95,'Equipo'!$A$5:$A$29,0))),0))),"")</f>
        <v/>
      </c>
      <c r="H95" s="25">
        <f>IFERROR(IF(OR($B95="",$C95=""),"",IF(MATCH($C95,'Ajustes'!$A$5:$A$8,0)=4,$D95/INDEX('Equipo'!$B$5:$B$29,MATCH($B95,'Equipo'!$A$5:$A$29,0))+$E95,0)),"")</f>
        <v/>
      </c>
      <c r="I95" s="26">
        <f>IF($B95='Perfil'!$B$3,COUNTIF($B$4:$B95,'Perfil'!$B$3),"")</f>
        <v/>
      </c>
    </row>
    <row r="96">
      <c r="A96" s="22" t="n"/>
      <c r="B96" s="23" t="n"/>
      <c r="C96" s="23" t="n"/>
      <c r="D96" s="24" t="n"/>
      <c r="E96" s="24" t="n"/>
      <c r="F96" s="23" t="n"/>
      <c r="G96" s="19">
        <f>IFERROR(IF(OR($B96="",$C96=""),"",IF(MATCH($C96,'Ajustes'!$A$5:$A$8,0)&lt;=2,$D96*INDEX('Ajustes'!$C$5:$C$6,MATCH($C96,'Ajustes'!$A$5:$A$8,0)),IF(MATCH($C96,'Ajustes'!$A$5:$A$8,0)=3,-($D96+$E96*INDEX('Equipo'!$B$5:$B$29,MATCH($B96,'Equipo'!$A$5:$A$29,0))),0))),"")</f>
        <v/>
      </c>
      <c r="H96" s="25">
        <f>IFERROR(IF(OR($B96="",$C96=""),"",IF(MATCH($C96,'Ajustes'!$A$5:$A$8,0)=4,$D96/INDEX('Equipo'!$B$5:$B$29,MATCH($B96,'Equipo'!$A$5:$A$29,0))+$E96,0)),"")</f>
        <v/>
      </c>
      <c r="I96" s="26">
        <f>IF($B96='Perfil'!$B$3,COUNTIF($B$4:$B96,'Perfil'!$B$3),"")</f>
        <v/>
      </c>
    </row>
    <row r="97">
      <c r="A97" s="22" t="n"/>
      <c r="B97" s="23" t="n"/>
      <c r="C97" s="23" t="n"/>
      <c r="D97" s="24" t="n"/>
      <c r="E97" s="24" t="n"/>
      <c r="F97" s="23" t="n"/>
      <c r="G97" s="19">
        <f>IFERROR(IF(OR($B97="",$C97=""),"",IF(MATCH($C97,'Ajustes'!$A$5:$A$8,0)&lt;=2,$D97*INDEX('Ajustes'!$C$5:$C$6,MATCH($C97,'Ajustes'!$A$5:$A$8,0)),IF(MATCH($C97,'Ajustes'!$A$5:$A$8,0)=3,-($D97+$E97*INDEX('Equipo'!$B$5:$B$29,MATCH($B97,'Equipo'!$A$5:$A$29,0))),0))),"")</f>
        <v/>
      </c>
      <c r="H97" s="25">
        <f>IFERROR(IF(OR($B97="",$C97=""),"",IF(MATCH($C97,'Ajustes'!$A$5:$A$8,0)=4,$D97/INDEX('Equipo'!$B$5:$B$29,MATCH($B97,'Equipo'!$A$5:$A$29,0))+$E97,0)),"")</f>
        <v/>
      </c>
      <c r="I97" s="26">
        <f>IF($B97='Perfil'!$B$3,COUNTIF($B$4:$B97,'Perfil'!$B$3),"")</f>
        <v/>
      </c>
    </row>
    <row r="98">
      <c r="A98" s="22" t="n"/>
      <c r="B98" s="23" t="n"/>
      <c r="C98" s="23" t="n"/>
      <c r="D98" s="24" t="n"/>
      <c r="E98" s="24" t="n"/>
      <c r="F98" s="23" t="n"/>
      <c r="G98" s="19">
        <f>IFERROR(IF(OR($B98="",$C98=""),"",IF(MATCH($C98,'Ajustes'!$A$5:$A$8,0)&lt;=2,$D98*INDEX('Ajustes'!$C$5:$C$6,MATCH($C98,'Ajustes'!$A$5:$A$8,0)),IF(MATCH($C98,'Ajustes'!$A$5:$A$8,0)=3,-($D98+$E98*INDEX('Equipo'!$B$5:$B$29,MATCH($B98,'Equipo'!$A$5:$A$29,0))),0))),"")</f>
        <v/>
      </c>
      <c r="H98" s="25">
        <f>IFERROR(IF(OR($B98="",$C98=""),"",IF(MATCH($C98,'Ajustes'!$A$5:$A$8,0)=4,$D98/INDEX('Equipo'!$B$5:$B$29,MATCH($B98,'Equipo'!$A$5:$A$29,0))+$E98,0)),"")</f>
        <v/>
      </c>
      <c r="I98" s="26">
        <f>IF($B98='Perfil'!$B$3,COUNTIF($B$4:$B98,'Perfil'!$B$3),"")</f>
        <v/>
      </c>
    </row>
    <row r="99">
      <c r="A99" s="22" t="n"/>
      <c r="B99" s="23" t="n"/>
      <c r="C99" s="23" t="n"/>
      <c r="D99" s="24" t="n"/>
      <c r="E99" s="24" t="n"/>
      <c r="F99" s="23" t="n"/>
      <c r="G99" s="19">
        <f>IFERROR(IF(OR($B99="",$C99=""),"",IF(MATCH($C99,'Ajustes'!$A$5:$A$8,0)&lt;=2,$D99*INDEX('Ajustes'!$C$5:$C$6,MATCH($C99,'Ajustes'!$A$5:$A$8,0)),IF(MATCH($C99,'Ajustes'!$A$5:$A$8,0)=3,-($D99+$E99*INDEX('Equipo'!$B$5:$B$29,MATCH($B99,'Equipo'!$A$5:$A$29,0))),0))),"")</f>
        <v/>
      </c>
      <c r="H99" s="25">
        <f>IFERROR(IF(OR($B99="",$C99=""),"",IF(MATCH($C99,'Ajustes'!$A$5:$A$8,0)=4,$D99/INDEX('Equipo'!$B$5:$B$29,MATCH($B99,'Equipo'!$A$5:$A$29,0))+$E99,0)),"")</f>
        <v/>
      </c>
      <c r="I99" s="26">
        <f>IF($B99='Perfil'!$B$3,COUNTIF($B$4:$B99,'Perfil'!$B$3),"")</f>
        <v/>
      </c>
    </row>
    <row r="100">
      <c r="A100" s="22" t="n"/>
      <c r="B100" s="23" t="n"/>
      <c r="C100" s="23" t="n"/>
      <c r="D100" s="24" t="n"/>
      <c r="E100" s="24" t="n"/>
      <c r="F100" s="23" t="n"/>
      <c r="G100" s="19">
        <f>IFERROR(IF(OR($B100="",$C100=""),"",IF(MATCH($C100,'Ajustes'!$A$5:$A$8,0)&lt;=2,$D100*INDEX('Ajustes'!$C$5:$C$6,MATCH($C100,'Ajustes'!$A$5:$A$8,0)),IF(MATCH($C100,'Ajustes'!$A$5:$A$8,0)=3,-($D100+$E100*INDEX('Equipo'!$B$5:$B$29,MATCH($B100,'Equipo'!$A$5:$A$29,0))),0))),"")</f>
        <v/>
      </c>
      <c r="H100" s="25">
        <f>IFERROR(IF(OR($B100="",$C100=""),"",IF(MATCH($C100,'Ajustes'!$A$5:$A$8,0)=4,$D100/INDEX('Equipo'!$B$5:$B$29,MATCH($B100,'Equipo'!$A$5:$A$29,0))+$E100,0)),"")</f>
        <v/>
      </c>
      <c r="I100" s="26">
        <f>IF($B100='Perfil'!$B$3,COUNTIF($B$4:$B100,'Perfil'!$B$3),"")</f>
        <v/>
      </c>
    </row>
    <row r="101">
      <c r="A101" s="22" t="n"/>
      <c r="B101" s="23" t="n"/>
      <c r="C101" s="23" t="n"/>
      <c r="D101" s="24" t="n"/>
      <c r="E101" s="24" t="n"/>
      <c r="F101" s="23" t="n"/>
      <c r="G101" s="19">
        <f>IFERROR(IF(OR($B101="",$C101=""),"",IF(MATCH($C101,'Ajustes'!$A$5:$A$8,0)&lt;=2,$D101*INDEX('Ajustes'!$C$5:$C$6,MATCH($C101,'Ajustes'!$A$5:$A$8,0)),IF(MATCH($C101,'Ajustes'!$A$5:$A$8,0)=3,-($D101+$E101*INDEX('Equipo'!$B$5:$B$29,MATCH($B101,'Equipo'!$A$5:$A$29,0))),0))),"")</f>
        <v/>
      </c>
      <c r="H101" s="25">
        <f>IFERROR(IF(OR($B101="",$C101=""),"",IF(MATCH($C101,'Ajustes'!$A$5:$A$8,0)=4,$D101/INDEX('Equipo'!$B$5:$B$29,MATCH($B101,'Equipo'!$A$5:$A$29,0))+$E101,0)),"")</f>
        <v/>
      </c>
      <c r="I101" s="26">
        <f>IF($B101='Perfil'!$B$3,COUNTIF($B$4:$B101,'Perfil'!$B$3),"")</f>
        <v/>
      </c>
    </row>
    <row r="102">
      <c r="A102" s="22" t="n"/>
      <c r="B102" s="23" t="n"/>
      <c r="C102" s="23" t="n"/>
      <c r="D102" s="24" t="n"/>
      <c r="E102" s="24" t="n"/>
      <c r="F102" s="23" t="n"/>
      <c r="G102" s="19">
        <f>IFERROR(IF(OR($B102="",$C102=""),"",IF(MATCH($C102,'Ajustes'!$A$5:$A$8,0)&lt;=2,$D102*INDEX('Ajustes'!$C$5:$C$6,MATCH($C102,'Ajustes'!$A$5:$A$8,0)),IF(MATCH($C102,'Ajustes'!$A$5:$A$8,0)=3,-($D102+$E102*INDEX('Equipo'!$B$5:$B$29,MATCH($B102,'Equipo'!$A$5:$A$29,0))),0))),"")</f>
        <v/>
      </c>
      <c r="H102" s="25">
        <f>IFERROR(IF(OR($B102="",$C102=""),"",IF(MATCH($C102,'Ajustes'!$A$5:$A$8,0)=4,$D102/INDEX('Equipo'!$B$5:$B$29,MATCH($B102,'Equipo'!$A$5:$A$29,0))+$E102,0)),"")</f>
        <v/>
      </c>
      <c r="I102" s="26">
        <f>IF($B102='Perfil'!$B$3,COUNTIF($B$4:$B102,'Perfil'!$B$3),"")</f>
        <v/>
      </c>
    </row>
    <row r="103">
      <c r="A103" s="22" t="n"/>
      <c r="B103" s="23" t="n"/>
      <c r="C103" s="23" t="n"/>
      <c r="D103" s="24" t="n"/>
      <c r="E103" s="24" t="n"/>
      <c r="F103" s="23" t="n"/>
      <c r="G103" s="19">
        <f>IFERROR(IF(OR($B103="",$C103=""),"",IF(MATCH($C103,'Ajustes'!$A$5:$A$8,0)&lt;=2,$D103*INDEX('Ajustes'!$C$5:$C$6,MATCH($C103,'Ajustes'!$A$5:$A$8,0)),IF(MATCH($C103,'Ajustes'!$A$5:$A$8,0)=3,-($D103+$E103*INDEX('Equipo'!$B$5:$B$29,MATCH($B103,'Equipo'!$A$5:$A$29,0))),0))),"")</f>
        <v/>
      </c>
      <c r="H103" s="25">
        <f>IFERROR(IF(OR($B103="",$C103=""),"",IF(MATCH($C103,'Ajustes'!$A$5:$A$8,0)=4,$D103/INDEX('Equipo'!$B$5:$B$29,MATCH($B103,'Equipo'!$A$5:$A$29,0))+$E103,0)),"")</f>
        <v/>
      </c>
      <c r="I103" s="26">
        <f>IF($B103='Perfil'!$B$3,COUNTIF($B$4:$B103,'Perfil'!$B$3),"")</f>
        <v/>
      </c>
    </row>
    <row r="104">
      <c r="A104" s="22" t="n"/>
      <c r="B104" s="23" t="n"/>
      <c r="C104" s="23" t="n"/>
      <c r="D104" s="24" t="n"/>
      <c r="E104" s="24" t="n"/>
      <c r="F104" s="23" t="n"/>
      <c r="G104" s="19">
        <f>IFERROR(IF(OR($B104="",$C104=""),"",IF(MATCH($C104,'Ajustes'!$A$5:$A$8,0)&lt;=2,$D104*INDEX('Ajustes'!$C$5:$C$6,MATCH($C104,'Ajustes'!$A$5:$A$8,0)),IF(MATCH($C104,'Ajustes'!$A$5:$A$8,0)=3,-($D104+$E104*INDEX('Equipo'!$B$5:$B$29,MATCH($B104,'Equipo'!$A$5:$A$29,0))),0))),"")</f>
        <v/>
      </c>
      <c r="H104" s="25">
        <f>IFERROR(IF(OR($B104="",$C104=""),"",IF(MATCH($C104,'Ajustes'!$A$5:$A$8,0)=4,$D104/INDEX('Equipo'!$B$5:$B$29,MATCH($B104,'Equipo'!$A$5:$A$29,0))+$E104,0)),"")</f>
        <v/>
      </c>
      <c r="I104" s="26">
        <f>IF($B104='Perfil'!$B$3,COUNTIF($B$4:$B104,'Perfil'!$B$3),"")</f>
        <v/>
      </c>
    </row>
    <row r="105">
      <c r="A105" s="22" t="n"/>
      <c r="B105" s="23" t="n"/>
      <c r="C105" s="23" t="n"/>
      <c r="D105" s="24" t="n"/>
      <c r="E105" s="24" t="n"/>
      <c r="F105" s="23" t="n"/>
      <c r="G105" s="19">
        <f>IFERROR(IF(OR($B105="",$C105=""),"",IF(MATCH($C105,'Ajustes'!$A$5:$A$8,0)&lt;=2,$D105*INDEX('Ajustes'!$C$5:$C$6,MATCH($C105,'Ajustes'!$A$5:$A$8,0)),IF(MATCH($C105,'Ajustes'!$A$5:$A$8,0)=3,-($D105+$E105*INDEX('Equipo'!$B$5:$B$29,MATCH($B105,'Equipo'!$A$5:$A$29,0))),0))),"")</f>
        <v/>
      </c>
      <c r="H105" s="25">
        <f>IFERROR(IF(OR($B105="",$C105=""),"",IF(MATCH($C105,'Ajustes'!$A$5:$A$8,0)=4,$D105/INDEX('Equipo'!$B$5:$B$29,MATCH($B105,'Equipo'!$A$5:$A$29,0))+$E105,0)),"")</f>
        <v/>
      </c>
      <c r="I105" s="26">
        <f>IF($B105='Perfil'!$B$3,COUNTIF($B$4:$B105,'Perfil'!$B$3),"")</f>
        <v/>
      </c>
    </row>
    <row r="106">
      <c r="A106" s="22" t="n"/>
      <c r="B106" s="23" t="n"/>
      <c r="C106" s="23" t="n"/>
      <c r="D106" s="24" t="n"/>
      <c r="E106" s="24" t="n"/>
      <c r="F106" s="23" t="n"/>
      <c r="G106" s="19">
        <f>IFERROR(IF(OR($B106="",$C106=""),"",IF(MATCH($C106,'Ajustes'!$A$5:$A$8,0)&lt;=2,$D106*INDEX('Ajustes'!$C$5:$C$6,MATCH($C106,'Ajustes'!$A$5:$A$8,0)),IF(MATCH($C106,'Ajustes'!$A$5:$A$8,0)=3,-($D106+$E106*INDEX('Equipo'!$B$5:$B$29,MATCH($B106,'Equipo'!$A$5:$A$29,0))),0))),"")</f>
        <v/>
      </c>
      <c r="H106" s="25">
        <f>IFERROR(IF(OR($B106="",$C106=""),"",IF(MATCH($C106,'Ajustes'!$A$5:$A$8,0)=4,$D106/INDEX('Equipo'!$B$5:$B$29,MATCH($B106,'Equipo'!$A$5:$A$29,0))+$E106,0)),"")</f>
        <v/>
      </c>
      <c r="I106" s="26">
        <f>IF($B106='Perfil'!$B$3,COUNTIF($B$4:$B106,'Perfil'!$B$3),"")</f>
        <v/>
      </c>
    </row>
    <row r="107">
      <c r="A107" s="22" t="n"/>
      <c r="B107" s="23" t="n"/>
      <c r="C107" s="23" t="n"/>
      <c r="D107" s="24" t="n"/>
      <c r="E107" s="24" t="n"/>
      <c r="F107" s="23" t="n"/>
      <c r="G107" s="19">
        <f>IFERROR(IF(OR($B107="",$C107=""),"",IF(MATCH($C107,'Ajustes'!$A$5:$A$8,0)&lt;=2,$D107*INDEX('Ajustes'!$C$5:$C$6,MATCH($C107,'Ajustes'!$A$5:$A$8,0)),IF(MATCH($C107,'Ajustes'!$A$5:$A$8,0)=3,-($D107+$E107*INDEX('Equipo'!$B$5:$B$29,MATCH($B107,'Equipo'!$A$5:$A$29,0))),0))),"")</f>
        <v/>
      </c>
      <c r="H107" s="25">
        <f>IFERROR(IF(OR($B107="",$C107=""),"",IF(MATCH($C107,'Ajustes'!$A$5:$A$8,0)=4,$D107/INDEX('Equipo'!$B$5:$B$29,MATCH($B107,'Equipo'!$A$5:$A$29,0))+$E107,0)),"")</f>
        <v/>
      </c>
      <c r="I107" s="26">
        <f>IF($B107='Perfil'!$B$3,COUNTIF($B$4:$B107,'Perfil'!$B$3),"")</f>
        <v/>
      </c>
    </row>
    <row r="108">
      <c r="A108" s="22" t="n"/>
      <c r="B108" s="23" t="n"/>
      <c r="C108" s="23" t="n"/>
      <c r="D108" s="24" t="n"/>
      <c r="E108" s="24" t="n"/>
      <c r="F108" s="23" t="n"/>
      <c r="G108" s="19">
        <f>IFERROR(IF(OR($B108="",$C108=""),"",IF(MATCH($C108,'Ajustes'!$A$5:$A$8,0)&lt;=2,$D108*INDEX('Ajustes'!$C$5:$C$6,MATCH($C108,'Ajustes'!$A$5:$A$8,0)),IF(MATCH($C108,'Ajustes'!$A$5:$A$8,0)=3,-($D108+$E108*INDEX('Equipo'!$B$5:$B$29,MATCH($B108,'Equipo'!$A$5:$A$29,0))),0))),"")</f>
        <v/>
      </c>
      <c r="H108" s="25">
        <f>IFERROR(IF(OR($B108="",$C108=""),"",IF(MATCH($C108,'Ajustes'!$A$5:$A$8,0)=4,$D108/INDEX('Equipo'!$B$5:$B$29,MATCH($B108,'Equipo'!$A$5:$A$29,0))+$E108,0)),"")</f>
        <v/>
      </c>
      <c r="I108" s="26">
        <f>IF($B108='Perfil'!$B$3,COUNTIF($B$4:$B108,'Perfil'!$B$3),"")</f>
        <v/>
      </c>
    </row>
    <row r="109">
      <c r="A109" s="22" t="n"/>
      <c r="B109" s="23" t="n"/>
      <c r="C109" s="23" t="n"/>
      <c r="D109" s="24" t="n"/>
      <c r="E109" s="24" t="n"/>
      <c r="F109" s="23" t="n"/>
      <c r="G109" s="19">
        <f>IFERROR(IF(OR($B109="",$C109=""),"",IF(MATCH($C109,'Ajustes'!$A$5:$A$8,0)&lt;=2,$D109*INDEX('Ajustes'!$C$5:$C$6,MATCH($C109,'Ajustes'!$A$5:$A$8,0)),IF(MATCH($C109,'Ajustes'!$A$5:$A$8,0)=3,-($D109+$E109*INDEX('Equipo'!$B$5:$B$29,MATCH($B109,'Equipo'!$A$5:$A$29,0))),0))),"")</f>
        <v/>
      </c>
      <c r="H109" s="25">
        <f>IFERROR(IF(OR($B109="",$C109=""),"",IF(MATCH($C109,'Ajustes'!$A$5:$A$8,0)=4,$D109/INDEX('Equipo'!$B$5:$B$29,MATCH($B109,'Equipo'!$A$5:$A$29,0))+$E109,0)),"")</f>
        <v/>
      </c>
      <c r="I109" s="26">
        <f>IF($B109='Perfil'!$B$3,COUNTIF($B$4:$B109,'Perfil'!$B$3),"")</f>
        <v/>
      </c>
    </row>
    <row r="110">
      <c r="A110" s="22" t="n"/>
      <c r="B110" s="23" t="n"/>
      <c r="C110" s="23" t="n"/>
      <c r="D110" s="24" t="n"/>
      <c r="E110" s="24" t="n"/>
      <c r="F110" s="23" t="n"/>
      <c r="G110" s="19">
        <f>IFERROR(IF(OR($B110="",$C110=""),"",IF(MATCH($C110,'Ajustes'!$A$5:$A$8,0)&lt;=2,$D110*INDEX('Ajustes'!$C$5:$C$6,MATCH($C110,'Ajustes'!$A$5:$A$8,0)),IF(MATCH($C110,'Ajustes'!$A$5:$A$8,0)=3,-($D110+$E110*INDEX('Equipo'!$B$5:$B$29,MATCH($B110,'Equipo'!$A$5:$A$29,0))),0))),"")</f>
        <v/>
      </c>
      <c r="H110" s="25">
        <f>IFERROR(IF(OR($B110="",$C110=""),"",IF(MATCH($C110,'Ajustes'!$A$5:$A$8,0)=4,$D110/INDEX('Equipo'!$B$5:$B$29,MATCH($B110,'Equipo'!$A$5:$A$29,0))+$E110,0)),"")</f>
        <v/>
      </c>
      <c r="I110" s="26">
        <f>IF($B110='Perfil'!$B$3,COUNTIF($B$4:$B110,'Perfil'!$B$3),"")</f>
        <v/>
      </c>
    </row>
    <row r="111">
      <c r="A111" s="22" t="n"/>
      <c r="B111" s="23" t="n"/>
      <c r="C111" s="23" t="n"/>
      <c r="D111" s="24" t="n"/>
      <c r="E111" s="24" t="n"/>
      <c r="F111" s="23" t="n"/>
      <c r="G111" s="19">
        <f>IFERROR(IF(OR($B111="",$C111=""),"",IF(MATCH($C111,'Ajustes'!$A$5:$A$8,0)&lt;=2,$D111*INDEX('Ajustes'!$C$5:$C$6,MATCH($C111,'Ajustes'!$A$5:$A$8,0)),IF(MATCH($C111,'Ajustes'!$A$5:$A$8,0)=3,-($D111+$E111*INDEX('Equipo'!$B$5:$B$29,MATCH($B111,'Equipo'!$A$5:$A$29,0))),0))),"")</f>
        <v/>
      </c>
      <c r="H111" s="25">
        <f>IFERROR(IF(OR($B111="",$C111=""),"",IF(MATCH($C111,'Ajustes'!$A$5:$A$8,0)=4,$D111/INDEX('Equipo'!$B$5:$B$29,MATCH($B111,'Equipo'!$A$5:$A$29,0))+$E111,0)),"")</f>
        <v/>
      </c>
      <c r="I111" s="26">
        <f>IF($B111='Perfil'!$B$3,COUNTIF($B$4:$B111,'Perfil'!$B$3),"")</f>
        <v/>
      </c>
    </row>
    <row r="112">
      <c r="A112" s="22" t="n"/>
      <c r="B112" s="23" t="n"/>
      <c r="C112" s="23" t="n"/>
      <c r="D112" s="24" t="n"/>
      <c r="E112" s="24" t="n"/>
      <c r="F112" s="23" t="n"/>
      <c r="G112" s="19">
        <f>IFERROR(IF(OR($B112="",$C112=""),"",IF(MATCH($C112,'Ajustes'!$A$5:$A$8,0)&lt;=2,$D112*INDEX('Ajustes'!$C$5:$C$6,MATCH($C112,'Ajustes'!$A$5:$A$8,0)),IF(MATCH($C112,'Ajustes'!$A$5:$A$8,0)=3,-($D112+$E112*INDEX('Equipo'!$B$5:$B$29,MATCH($B112,'Equipo'!$A$5:$A$29,0))),0))),"")</f>
        <v/>
      </c>
      <c r="H112" s="25">
        <f>IFERROR(IF(OR($B112="",$C112=""),"",IF(MATCH($C112,'Ajustes'!$A$5:$A$8,0)=4,$D112/INDEX('Equipo'!$B$5:$B$29,MATCH($B112,'Equipo'!$A$5:$A$29,0))+$E112,0)),"")</f>
        <v/>
      </c>
      <c r="I112" s="26">
        <f>IF($B112='Perfil'!$B$3,COUNTIF($B$4:$B112,'Perfil'!$B$3),"")</f>
        <v/>
      </c>
    </row>
    <row r="113">
      <c r="A113" s="22" t="n"/>
      <c r="B113" s="23" t="n"/>
      <c r="C113" s="23" t="n"/>
      <c r="D113" s="24" t="n"/>
      <c r="E113" s="24" t="n"/>
      <c r="F113" s="23" t="n"/>
      <c r="G113" s="19">
        <f>IFERROR(IF(OR($B113="",$C113=""),"",IF(MATCH($C113,'Ajustes'!$A$5:$A$8,0)&lt;=2,$D113*INDEX('Ajustes'!$C$5:$C$6,MATCH($C113,'Ajustes'!$A$5:$A$8,0)),IF(MATCH($C113,'Ajustes'!$A$5:$A$8,0)=3,-($D113+$E113*INDEX('Equipo'!$B$5:$B$29,MATCH($B113,'Equipo'!$A$5:$A$29,0))),0))),"")</f>
        <v/>
      </c>
      <c r="H113" s="25">
        <f>IFERROR(IF(OR($B113="",$C113=""),"",IF(MATCH($C113,'Ajustes'!$A$5:$A$8,0)=4,$D113/INDEX('Equipo'!$B$5:$B$29,MATCH($B113,'Equipo'!$A$5:$A$29,0))+$E113,0)),"")</f>
        <v/>
      </c>
      <c r="I113" s="26">
        <f>IF($B113='Perfil'!$B$3,COUNTIF($B$4:$B113,'Perfil'!$B$3),"")</f>
        <v/>
      </c>
    </row>
    <row r="114">
      <c r="A114" s="22" t="n"/>
      <c r="B114" s="23" t="n"/>
      <c r="C114" s="23" t="n"/>
      <c r="D114" s="24" t="n"/>
      <c r="E114" s="24" t="n"/>
      <c r="F114" s="23" t="n"/>
      <c r="G114" s="19">
        <f>IFERROR(IF(OR($B114="",$C114=""),"",IF(MATCH($C114,'Ajustes'!$A$5:$A$8,0)&lt;=2,$D114*INDEX('Ajustes'!$C$5:$C$6,MATCH($C114,'Ajustes'!$A$5:$A$8,0)),IF(MATCH($C114,'Ajustes'!$A$5:$A$8,0)=3,-($D114+$E114*INDEX('Equipo'!$B$5:$B$29,MATCH($B114,'Equipo'!$A$5:$A$29,0))),0))),"")</f>
        <v/>
      </c>
      <c r="H114" s="25">
        <f>IFERROR(IF(OR($B114="",$C114=""),"",IF(MATCH($C114,'Ajustes'!$A$5:$A$8,0)=4,$D114/INDEX('Equipo'!$B$5:$B$29,MATCH($B114,'Equipo'!$A$5:$A$29,0))+$E114,0)),"")</f>
        <v/>
      </c>
      <c r="I114" s="26">
        <f>IF($B114='Perfil'!$B$3,COUNTIF($B$4:$B114,'Perfil'!$B$3),"")</f>
        <v/>
      </c>
    </row>
    <row r="115">
      <c r="A115" s="22" t="n"/>
      <c r="B115" s="23" t="n"/>
      <c r="C115" s="23" t="n"/>
      <c r="D115" s="24" t="n"/>
      <c r="E115" s="24" t="n"/>
      <c r="F115" s="23" t="n"/>
      <c r="G115" s="19">
        <f>IFERROR(IF(OR($B115="",$C115=""),"",IF(MATCH($C115,'Ajustes'!$A$5:$A$8,0)&lt;=2,$D115*INDEX('Ajustes'!$C$5:$C$6,MATCH($C115,'Ajustes'!$A$5:$A$8,0)),IF(MATCH($C115,'Ajustes'!$A$5:$A$8,0)=3,-($D115+$E115*INDEX('Equipo'!$B$5:$B$29,MATCH($B115,'Equipo'!$A$5:$A$29,0))),0))),"")</f>
        <v/>
      </c>
      <c r="H115" s="25">
        <f>IFERROR(IF(OR($B115="",$C115=""),"",IF(MATCH($C115,'Ajustes'!$A$5:$A$8,0)=4,$D115/INDEX('Equipo'!$B$5:$B$29,MATCH($B115,'Equipo'!$A$5:$A$29,0))+$E115,0)),"")</f>
        <v/>
      </c>
      <c r="I115" s="26">
        <f>IF($B115='Perfil'!$B$3,COUNTIF($B$4:$B115,'Perfil'!$B$3),"")</f>
        <v/>
      </c>
    </row>
    <row r="116">
      <c r="A116" s="22" t="n"/>
      <c r="B116" s="23" t="n"/>
      <c r="C116" s="23" t="n"/>
      <c r="D116" s="24" t="n"/>
      <c r="E116" s="24" t="n"/>
      <c r="F116" s="23" t="n"/>
      <c r="G116" s="19">
        <f>IFERROR(IF(OR($B116="",$C116=""),"",IF(MATCH($C116,'Ajustes'!$A$5:$A$8,0)&lt;=2,$D116*INDEX('Ajustes'!$C$5:$C$6,MATCH($C116,'Ajustes'!$A$5:$A$8,0)),IF(MATCH($C116,'Ajustes'!$A$5:$A$8,0)=3,-($D116+$E116*INDEX('Equipo'!$B$5:$B$29,MATCH($B116,'Equipo'!$A$5:$A$29,0))),0))),"")</f>
        <v/>
      </c>
      <c r="H116" s="25">
        <f>IFERROR(IF(OR($B116="",$C116=""),"",IF(MATCH($C116,'Ajustes'!$A$5:$A$8,0)=4,$D116/INDEX('Equipo'!$B$5:$B$29,MATCH($B116,'Equipo'!$A$5:$A$29,0))+$E116,0)),"")</f>
        <v/>
      </c>
      <c r="I116" s="26">
        <f>IF($B116='Perfil'!$B$3,COUNTIF($B$4:$B116,'Perfil'!$B$3),"")</f>
        <v/>
      </c>
    </row>
    <row r="117">
      <c r="A117" s="22" t="n"/>
      <c r="B117" s="23" t="n"/>
      <c r="C117" s="23" t="n"/>
      <c r="D117" s="24" t="n"/>
      <c r="E117" s="24" t="n"/>
      <c r="F117" s="23" t="n"/>
      <c r="G117" s="19">
        <f>IFERROR(IF(OR($B117="",$C117=""),"",IF(MATCH($C117,'Ajustes'!$A$5:$A$8,0)&lt;=2,$D117*INDEX('Ajustes'!$C$5:$C$6,MATCH($C117,'Ajustes'!$A$5:$A$8,0)),IF(MATCH($C117,'Ajustes'!$A$5:$A$8,0)=3,-($D117+$E117*INDEX('Equipo'!$B$5:$B$29,MATCH($B117,'Equipo'!$A$5:$A$29,0))),0))),"")</f>
        <v/>
      </c>
      <c r="H117" s="25">
        <f>IFERROR(IF(OR($B117="",$C117=""),"",IF(MATCH($C117,'Ajustes'!$A$5:$A$8,0)=4,$D117/INDEX('Equipo'!$B$5:$B$29,MATCH($B117,'Equipo'!$A$5:$A$29,0))+$E117,0)),"")</f>
        <v/>
      </c>
      <c r="I117" s="26">
        <f>IF($B117='Perfil'!$B$3,COUNTIF($B$4:$B117,'Perfil'!$B$3),"")</f>
        <v/>
      </c>
    </row>
    <row r="118">
      <c r="A118" s="22" t="n"/>
      <c r="B118" s="23" t="n"/>
      <c r="C118" s="23" t="n"/>
      <c r="D118" s="24" t="n"/>
      <c r="E118" s="24" t="n"/>
      <c r="F118" s="23" t="n"/>
      <c r="G118" s="19">
        <f>IFERROR(IF(OR($B118="",$C118=""),"",IF(MATCH($C118,'Ajustes'!$A$5:$A$8,0)&lt;=2,$D118*INDEX('Ajustes'!$C$5:$C$6,MATCH($C118,'Ajustes'!$A$5:$A$8,0)),IF(MATCH($C118,'Ajustes'!$A$5:$A$8,0)=3,-($D118+$E118*INDEX('Equipo'!$B$5:$B$29,MATCH($B118,'Equipo'!$A$5:$A$29,0))),0))),"")</f>
        <v/>
      </c>
      <c r="H118" s="25">
        <f>IFERROR(IF(OR($B118="",$C118=""),"",IF(MATCH($C118,'Ajustes'!$A$5:$A$8,0)=4,$D118/INDEX('Equipo'!$B$5:$B$29,MATCH($B118,'Equipo'!$A$5:$A$29,0))+$E118,0)),"")</f>
        <v/>
      </c>
      <c r="I118" s="26">
        <f>IF($B118='Perfil'!$B$3,COUNTIF($B$4:$B118,'Perfil'!$B$3),"")</f>
        <v/>
      </c>
    </row>
    <row r="119">
      <c r="A119" s="22" t="n"/>
      <c r="B119" s="23" t="n"/>
      <c r="C119" s="23" t="n"/>
      <c r="D119" s="24" t="n"/>
      <c r="E119" s="24" t="n"/>
      <c r="F119" s="23" t="n"/>
      <c r="G119" s="19">
        <f>IFERROR(IF(OR($B119="",$C119=""),"",IF(MATCH($C119,'Ajustes'!$A$5:$A$8,0)&lt;=2,$D119*INDEX('Ajustes'!$C$5:$C$6,MATCH($C119,'Ajustes'!$A$5:$A$8,0)),IF(MATCH($C119,'Ajustes'!$A$5:$A$8,0)=3,-($D119+$E119*INDEX('Equipo'!$B$5:$B$29,MATCH($B119,'Equipo'!$A$5:$A$29,0))),0))),"")</f>
        <v/>
      </c>
      <c r="H119" s="25">
        <f>IFERROR(IF(OR($B119="",$C119=""),"",IF(MATCH($C119,'Ajustes'!$A$5:$A$8,0)=4,$D119/INDEX('Equipo'!$B$5:$B$29,MATCH($B119,'Equipo'!$A$5:$A$29,0))+$E119,0)),"")</f>
        <v/>
      </c>
      <c r="I119" s="26">
        <f>IF($B119='Perfil'!$B$3,COUNTIF($B$4:$B119,'Perfil'!$B$3),"")</f>
        <v/>
      </c>
    </row>
    <row r="120">
      <c r="A120" s="22" t="n"/>
      <c r="B120" s="23" t="n"/>
      <c r="C120" s="23" t="n"/>
      <c r="D120" s="24" t="n"/>
      <c r="E120" s="24" t="n"/>
      <c r="F120" s="23" t="n"/>
      <c r="G120" s="19">
        <f>IFERROR(IF(OR($B120="",$C120=""),"",IF(MATCH($C120,'Ajustes'!$A$5:$A$8,0)&lt;=2,$D120*INDEX('Ajustes'!$C$5:$C$6,MATCH($C120,'Ajustes'!$A$5:$A$8,0)),IF(MATCH($C120,'Ajustes'!$A$5:$A$8,0)=3,-($D120+$E120*INDEX('Equipo'!$B$5:$B$29,MATCH($B120,'Equipo'!$A$5:$A$29,0))),0))),"")</f>
        <v/>
      </c>
      <c r="H120" s="25">
        <f>IFERROR(IF(OR($B120="",$C120=""),"",IF(MATCH($C120,'Ajustes'!$A$5:$A$8,0)=4,$D120/INDEX('Equipo'!$B$5:$B$29,MATCH($B120,'Equipo'!$A$5:$A$29,0))+$E120,0)),"")</f>
        <v/>
      </c>
      <c r="I120" s="26">
        <f>IF($B120='Perfil'!$B$3,COUNTIF($B$4:$B120,'Perfil'!$B$3),"")</f>
        <v/>
      </c>
    </row>
    <row r="121">
      <c r="A121" s="22" t="n"/>
      <c r="B121" s="23" t="n"/>
      <c r="C121" s="23" t="n"/>
      <c r="D121" s="24" t="n"/>
      <c r="E121" s="24" t="n"/>
      <c r="F121" s="23" t="n"/>
      <c r="G121" s="19">
        <f>IFERROR(IF(OR($B121="",$C121=""),"",IF(MATCH($C121,'Ajustes'!$A$5:$A$8,0)&lt;=2,$D121*INDEX('Ajustes'!$C$5:$C$6,MATCH($C121,'Ajustes'!$A$5:$A$8,0)),IF(MATCH($C121,'Ajustes'!$A$5:$A$8,0)=3,-($D121+$E121*INDEX('Equipo'!$B$5:$B$29,MATCH($B121,'Equipo'!$A$5:$A$29,0))),0))),"")</f>
        <v/>
      </c>
      <c r="H121" s="25">
        <f>IFERROR(IF(OR($B121="",$C121=""),"",IF(MATCH($C121,'Ajustes'!$A$5:$A$8,0)=4,$D121/INDEX('Equipo'!$B$5:$B$29,MATCH($B121,'Equipo'!$A$5:$A$29,0))+$E121,0)),"")</f>
        <v/>
      </c>
      <c r="I121" s="26">
        <f>IF($B121='Perfil'!$B$3,COUNTIF($B$4:$B121,'Perfil'!$B$3),"")</f>
        <v/>
      </c>
    </row>
    <row r="122">
      <c r="A122" s="22" t="n"/>
      <c r="B122" s="23" t="n"/>
      <c r="C122" s="23" t="n"/>
      <c r="D122" s="24" t="n"/>
      <c r="E122" s="24" t="n"/>
      <c r="F122" s="23" t="n"/>
      <c r="G122" s="19">
        <f>IFERROR(IF(OR($B122="",$C122=""),"",IF(MATCH($C122,'Ajustes'!$A$5:$A$8,0)&lt;=2,$D122*INDEX('Ajustes'!$C$5:$C$6,MATCH($C122,'Ajustes'!$A$5:$A$8,0)),IF(MATCH($C122,'Ajustes'!$A$5:$A$8,0)=3,-($D122+$E122*INDEX('Equipo'!$B$5:$B$29,MATCH($B122,'Equipo'!$A$5:$A$29,0))),0))),"")</f>
        <v/>
      </c>
      <c r="H122" s="25">
        <f>IFERROR(IF(OR($B122="",$C122=""),"",IF(MATCH($C122,'Ajustes'!$A$5:$A$8,0)=4,$D122/INDEX('Equipo'!$B$5:$B$29,MATCH($B122,'Equipo'!$A$5:$A$29,0))+$E122,0)),"")</f>
        <v/>
      </c>
      <c r="I122" s="26">
        <f>IF($B122='Perfil'!$B$3,COUNTIF($B$4:$B122,'Perfil'!$B$3),"")</f>
        <v/>
      </c>
    </row>
    <row r="123">
      <c r="A123" s="22" t="n"/>
      <c r="B123" s="23" t="n"/>
      <c r="C123" s="23" t="n"/>
      <c r="D123" s="24" t="n"/>
      <c r="E123" s="24" t="n"/>
      <c r="F123" s="23" t="n"/>
      <c r="G123" s="19">
        <f>IFERROR(IF(OR($B123="",$C123=""),"",IF(MATCH($C123,'Ajustes'!$A$5:$A$8,0)&lt;=2,$D123*INDEX('Ajustes'!$C$5:$C$6,MATCH($C123,'Ajustes'!$A$5:$A$8,0)),IF(MATCH($C123,'Ajustes'!$A$5:$A$8,0)=3,-($D123+$E123*INDEX('Equipo'!$B$5:$B$29,MATCH($B123,'Equipo'!$A$5:$A$29,0))),0))),"")</f>
        <v/>
      </c>
      <c r="H123" s="25">
        <f>IFERROR(IF(OR($B123="",$C123=""),"",IF(MATCH($C123,'Ajustes'!$A$5:$A$8,0)=4,$D123/INDEX('Equipo'!$B$5:$B$29,MATCH($B123,'Equipo'!$A$5:$A$29,0))+$E123,0)),"")</f>
        <v/>
      </c>
      <c r="I123" s="26">
        <f>IF($B123='Perfil'!$B$3,COUNTIF($B$4:$B123,'Perfil'!$B$3),"")</f>
        <v/>
      </c>
    </row>
    <row r="124">
      <c r="A124" s="22" t="n"/>
      <c r="B124" s="23" t="n"/>
      <c r="C124" s="23" t="n"/>
      <c r="D124" s="24" t="n"/>
      <c r="E124" s="24" t="n"/>
      <c r="F124" s="23" t="n"/>
      <c r="G124" s="19">
        <f>IFERROR(IF(OR($B124="",$C124=""),"",IF(MATCH($C124,'Ajustes'!$A$5:$A$8,0)&lt;=2,$D124*INDEX('Ajustes'!$C$5:$C$6,MATCH($C124,'Ajustes'!$A$5:$A$8,0)),IF(MATCH($C124,'Ajustes'!$A$5:$A$8,0)=3,-($D124+$E124*INDEX('Equipo'!$B$5:$B$29,MATCH($B124,'Equipo'!$A$5:$A$29,0))),0))),"")</f>
        <v/>
      </c>
      <c r="H124" s="25">
        <f>IFERROR(IF(OR($B124="",$C124=""),"",IF(MATCH($C124,'Ajustes'!$A$5:$A$8,0)=4,$D124/INDEX('Equipo'!$B$5:$B$29,MATCH($B124,'Equipo'!$A$5:$A$29,0))+$E124,0)),"")</f>
        <v/>
      </c>
      <c r="I124" s="26">
        <f>IF($B124='Perfil'!$B$3,COUNTIF($B$4:$B124,'Perfil'!$B$3),"")</f>
        <v/>
      </c>
    </row>
    <row r="125">
      <c r="A125" s="22" t="n"/>
      <c r="B125" s="23" t="n"/>
      <c r="C125" s="23" t="n"/>
      <c r="D125" s="24" t="n"/>
      <c r="E125" s="24" t="n"/>
      <c r="F125" s="23" t="n"/>
      <c r="G125" s="19">
        <f>IFERROR(IF(OR($B125="",$C125=""),"",IF(MATCH($C125,'Ajustes'!$A$5:$A$8,0)&lt;=2,$D125*INDEX('Ajustes'!$C$5:$C$6,MATCH($C125,'Ajustes'!$A$5:$A$8,0)),IF(MATCH($C125,'Ajustes'!$A$5:$A$8,0)=3,-($D125+$E125*INDEX('Equipo'!$B$5:$B$29,MATCH($B125,'Equipo'!$A$5:$A$29,0))),0))),"")</f>
        <v/>
      </c>
      <c r="H125" s="25">
        <f>IFERROR(IF(OR($B125="",$C125=""),"",IF(MATCH($C125,'Ajustes'!$A$5:$A$8,0)=4,$D125/INDEX('Equipo'!$B$5:$B$29,MATCH($B125,'Equipo'!$A$5:$A$29,0))+$E125,0)),"")</f>
        <v/>
      </c>
      <c r="I125" s="26">
        <f>IF($B125='Perfil'!$B$3,COUNTIF($B$4:$B125,'Perfil'!$B$3),"")</f>
        <v/>
      </c>
    </row>
    <row r="126">
      <c r="A126" s="22" t="n"/>
      <c r="B126" s="23" t="n"/>
      <c r="C126" s="23" t="n"/>
      <c r="D126" s="24" t="n"/>
      <c r="E126" s="24" t="n"/>
      <c r="F126" s="23" t="n"/>
      <c r="G126" s="19">
        <f>IFERROR(IF(OR($B126="",$C126=""),"",IF(MATCH($C126,'Ajustes'!$A$5:$A$8,0)&lt;=2,$D126*INDEX('Ajustes'!$C$5:$C$6,MATCH($C126,'Ajustes'!$A$5:$A$8,0)),IF(MATCH($C126,'Ajustes'!$A$5:$A$8,0)=3,-($D126+$E126*INDEX('Equipo'!$B$5:$B$29,MATCH($B126,'Equipo'!$A$5:$A$29,0))),0))),"")</f>
        <v/>
      </c>
      <c r="H126" s="25">
        <f>IFERROR(IF(OR($B126="",$C126=""),"",IF(MATCH($C126,'Ajustes'!$A$5:$A$8,0)=4,$D126/INDEX('Equipo'!$B$5:$B$29,MATCH($B126,'Equipo'!$A$5:$A$29,0))+$E126,0)),"")</f>
        <v/>
      </c>
      <c r="I126" s="26">
        <f>IF($B126='Perfil'!$B$3,COUNTIF($B$4:$B126,'Perfil'!$B$3),"")</f>
        <v/>
      </c>
    </row>
    <row r="127">
      <c r="A127" s="22" t="n"/>
      <c r="B127" s="23" t="n"/>
      <c r="C127" s="23" t="n"/>
      <c r="D127" s="24" t="n"/>
      <c r="E127" s="24" t="n"/>
      <c r="F127" s="23" t="n"/>
      <c r="G127" s="19">
        <f>IFERROR(IF(OR($B127="",$C127=""),"",IF(MATCH($C127,'Ajustes'!$A$5:$A$8,0)&lt;=2,$D127*INDEX('Ajustes'!$C$5:$C$6,MATCH($C127,'Ajustes'!$A$5:$A$8,0)),IF(MATCH($C127,'Ajustes'!$A$5:$A$8,0)=3,-($D127+$E127*INDEX('Equipo'!$B$5:$B$29,MATCH($B127,'Equipo'!$A$5:$A$29,0))),0))),"")</f>
        <v/>
      </c>
      <c r="H127" s="25">
        <f>IFERROR(IF(OR($B127="",$C127=""),"",IF(MATCH($C127,'Ajustes'!$A$5:$A$8,0)=4,$D127/INDEX('Equipo'!$B$5:$B$29,MATCH($B127,'Equipo'!$A$5:$A$29,0))+$E127,0)),"")</f>
        <v/>
      </c>
      <c r="I127" s="26">
        <f>IF($B127='Perfil'!$B$3,COUNTIF($B$4:$B127,'Perfil'!$B$3),"")</f>
        <v/>
      </c>
    </row>
    <row r="128">
      <c r="A128" s="22" t="n"/>
      <c r="B128" s="23" t="n"/>
      <c r="C128" s="23" t="n"/>
      <c r="D128" s="24" t="n"/>
      <c r="E128" s="24" t="n"/>
      <c r="F128" s="23" t="n"/>
      <c r="G128" s="19">
        <f>IFERROR(IF(OR($B128="",$C128=""),"",IF(MATCH($C128,'Ajustes'!$A$5:$A$8,0)&lt;=2,$D128*INDEX('Ajustes'!$C$5:$C$6,MATCH($C128,'Ajustes'!$A$5:$A$8,0)),IF(MATCH($C128,'Ajustes'!$A$5:$A$8,0)=3,-($D128+$E128*INDEX('Equipo'!$B$5:$B$29,MATCH($B128,'Equipo'!$A$5:$A$29,0))),0))),"")</f>
        <v/>
      </c>
      <c r="H128" s="25">
        <f>IFERROR(IF(OR($B128="",$C128=""),"",IF(MATCH($C128,'Ajustes'!$A$5:$A$8,0)=4,$D128/INDEX('Equipo'!$B$5:$B$29,MATCH($B128,'Equipo'!$A$5:$A$29,0))+$E128,0)),"")</f>
        <v/>
      </c>
      <c r="I128" s="26">
        <f>IF($B128='Perfil'!$B$3,COUNTIF($B$4:$B128,'Perfil'!$B$3),"")</f>
        <v/>
      </c>
    </row>
    <row r="129">
      <c r="A129" s="22" t="n"/>
      <c r="B129" s="23" t="n"/>
      <c r="C129" s="23" t="n"/>
      <c r="D129" s="24" t="n"/>
      <c r="E129" s="24" t="n"/>
      <c r="F129" s="23" t="n"/>
      <c r="G129" s="19">
        <f>IFERROR(IF(OR($B129="",$C129=""),"",IF(MATCH($C129,'Ajustes'!$A$5:$A$8,0)&lt;=2,$D129*INDEX('Ajustes'!$C$5:$C$6,MATCH($C129,'Ajustes'!$A$5:$A$8,0)),IF(MATCH($C129,'Ajustes'!$A$5:$A$8,0)=3,-($D129+$E129*INDEX('Equipo'!$B$5:$B$29,MATCH($B129,'Equipo'!$A$5:$A$29,0))),0))),"")</f>
        <v/>
      </c>
      <c r="H129" s="25">
        <f>IFERROR(IF(OR($B129="",$C129=""),"",IF(MATCH($C129,'Ajustes'!$A$5:$A$8,0)=4,$D129/INDEX('Equipo'!$B$5:$B$29,MATCH($B129,'Equipo'!$A$5:$A$29,0))+$E129,0)),"")</f>
        <v/>
      </c>
      <c r="I129" s="26">
        <f>IF($B129='Perfil'!$B$3,COUNTIF($B$4:$B129,'Perfil'!$B$3),"")</f>
        <v/>
      </c>
    </row>
    <row r="130">
      <c r="A130" s="22" t="n"/>
      <c r="B130" s="23" t="n"/>
      <c r="C130" s="23" t="n"/>
      <c r="D130" s="24" t="n"/>
      <c r="E130" s="24" t="n"/>
      <c r="F130" s="23" t="n"/>
      <c r="G130" s="19">
        <f>IFERROR(IF(OR($B130="",$C130=""),"",IF(MATCH($C130,'Ajustes'!$A$5:$A$8,0)&lt;=2,$D130*INDEX('Ajustes'!$C$5:$C$6,MATCH($C130,'Ajustes'!$A$5:$A$8,0)),IF(MATCH($C130,'Ajustes'!$A$5:$A$8,0)=3,-($D130+$E130*INDEX('Equipo'!$B$5:$B$29,MATCH($B130,'Equipo'!$A$5:$A$29,0))),0))),"")</f>
        <v/>
      </c>
      <c r="H130" s="25">
        <f>IFERROR(IF(OR($B130="",$C130=""),"",IF(MATCH($C130,'Ajustes'!$A$5:$A$8,0)=4,$D130/INDEX('Equipo'!$B$5:$B$29,MATCH($B130,'Equipo'!$A$5:$A$29,0))+$E130,0)),"")</f>
        <v/>
      </c>
      <c r="I130" s="26">
        <f>IF($B130='Perfil'!$B$3,COUNTIF($B$4:$B130,'Perfil'!$B$3),"")</f>
        <v/>
      </c>
    </row>
    <row r="131">
      <c r="A131" s="22" t="n"/>
      <c r="B131" s="23" t="n"/>
      <c r="C131" s="23" t="n"/>
      <c r="D131" s="24" t="n"/>
      <c r="E131" s="24" t="n"/>
      <c r="F131" s="23" t="n"/>
      <c r="G131" s="19">
        <f>IFERROR(IF(OR($B131="",$C131=""),"",IF(MATCH($C131,'Ajustes'!$A$5:$A$8,0)&lt;=2,$D131*INDEX('Ajustes'!$C$5:$C$6,MATCH($C131,'Ajustes'!$A$5:$A$8,0)),IF(MATCH($C131,'Ajustes'!$A$5:$A$8,0)=3,-($D131+$E131*INDEX('Equipo'!$B$5:$B$29,MATCH($B131,'Equipo'!$A$5:$A$29,0))),0))),"")</f>
        <v/>
      </c>
      <c r="H131" s="25">
        <f>IFERROR(IF(OR($B131="",$C131=""),"",IF(MATCH($C131,'Ajustes'!$A$5:$A$8,0)=4,$D131/INDEX('Equipo'!$B$5:$B$29,MATCH($B131,'Equipo'!$A$5:$A$29,0))+$E131,0)),"")</f>
        <v/>
      </c>
      <c r="I131" s="26">
        <f>IF($B131='Perfil'!$B$3,COUNTIF($B$4:$B131,'Perfil'!$B$3),"")</f>
        <v/>
      </c>
    </row>
    <row r="132">
      <c r="A132" s="22" t="n"/>
      <c r="B132" s="23" t="n"/>
      <c r="C132" s="23" t="n"/>
      <c r="D132" s="24" t="n"/>
      <c r="E132" s="24" t="n"/>
      <c r="F132" s="23" t="n"/>
      <c r="G132" s="19">
        <f>IFERROR(IF(OR($B132="",$C132=""),"",IF(MATCH($C132,'Ajustes'!$A$5:$A$8,0)&lt;=2,$D132*INDEX('Ajustes'!$C$5:$C$6,MATCH($C132,'Ajustes'!$A$5:$A$8,0)),IF(MATCH($C132,'Ajustes'!$A$5:$A$8,0)=3,-($D132+$E132*INDEX('Equipo'!$B$5:$B$29,MATCH($B132,'Equipo'!$A$5:$A$29,0))),0))),"")</f>
        <v/>
      </c>
      <c r="H132" s="25">
        <f>IFERROR(IF(OR($B132="",$C132=""),"",IF(MATCH($C132,'Ajustes'!$A$5:$A$8,0)=4,$D132/INDEX('Equipo'!$B$5:$B$29,MATCH($B132,'Equipo'!$A$5:$A$29,0))+$E132,0)),"")</f>
        <v/>
      </c>
      <c r="I132" s="26">
        <f>IF($B132='Perfil'!$B$3,COUNTIF($B$4:$B132,'Perfil'!$B$3),"")</f>
        <v/>
      </c>
    </row>
    <row r="133">
      <c r="A133" s="22" t="n"/>
      <c r="B133" s="23" t="n"/>
      <c r="C133" s="23" t="n"/>
      <c r="D133" s="24" t="n"/>
      <c r="E133" s="24" t="n"/>
      <c r="F133" s="23" t="n"/>
      <c r="G133" s="19">
        <f>IFERROR(IF(OR($B133="",$C133=""),"",IF(MATCH($C133,'Ajustes'!$A$5:$A$8,0)&lt;=2,$D133*INDEX('Ajustes'!$C$5:$C$6,MATCH($C133,'Ajustes'!$A$5:$A$8,0)),IF(MATCH($C133,'Ajustes'!$A$5:$A$8,0)=3,-($D133+$E133*INDEX('Equipo'!$B$5:$B$29,MATCH($B133,'Equipo'!$A$5:$A$29,0))),0))),"")</f>
        <v/>
      </c>
      <c r="H133" s="25">
        <f>IFERROR(IF(OR($B133="",$C133=""),"",IF(MATCH($C133,'Ajustes'!$A$5:$A$8,0)=4,$D133/INDEX('Equipo'!$B$5:$B$29,MATCH($B133,'Equipo'!$A$5:$A$29,0))+$E133,0)),"")</f>
        <v/>
      </c>
      <c r="I133" s="26">
        <f>IF($B133='Perfil'!$B$3,COUNTIF($B$4:$B133,'Perfil'!$B$3),"")</f>
        <v/>
      </c>
    </row>
    <row r="134">
      <c r="A134" s="22" t="n"/>
      <c r="B134" s="23" t="n"/>
      <c r="C134" s="23" t="n"/>
      <c r="D134" s="24" t="n"/>
      <c r="E134" s="24" t="n"/>
      <c r="F134" s="23" t="n"/>
      <c r="G134" s="19">
        <f>IFERROR(IF(OR($B134="",$C134=""),"",IF(MATCH($C134,'Ajustes'!$A$5:$A$8,0)&lt;=2,$D134*INDEX('Ajustes'!$C$5:$C$6,MATCH($C134,'Ajustes'!$A$5:$A$8,0)),IF(MATCH($C134,'Ajustes'!$A$5:$A$8,0)=3,-($D134+$E134*INDEX('Equipo'!$B$5:$B$29,MATCH($B134,'Equipo'!$A$5:$A$29,0))),0))),"")</f>
        <v/>
      </c>
      <c r="H134" s="25">
        <f>IFERROR(IF(OR($B134="",$C134=""),"",IF(MATCH($C134,'Ajustes'!$A$5:$A$8,0)=4,$D134/INDEX('Equipo'!$B$5:$B$29,MATCH($B134,'Equipo'!$A$5:$A$29,0))+$E134,0)),"")</f>
        <v/>
      </c>
      <c r="I134" s="26">
        <f>IF($B134='Perfil'!$B$3,COUNTIF($B$4:$B134,'Perfil'!$B$3),"")</f>
        <v/>
      </c>
    </row>
    <row r="135">
      <c r="A135" s="22" t="n"/>
      <c r="B135" s="23" t="n"/>
      <c r="C135" s="23" t="n"/>
      <c r="D135" s="24" t="n"/>
      <c r="E135" s="24" t="n"/>
      <c r="F135" s="23" t="n"/>
      <c r="G135" s="19">
        <f>IFERROR(IF(OR($B135="",$C135=""),"",IF(MATCH($C135,'Ajustes'!$A$5:$A$8,0)&lt;=2,$D135*INDEX('Ajustes'!$C$5:$C$6,MATCH($C135,'Ajustes'!$A$5:$A$8,0)),IF(MATCH($C135,'Ajustes'!$A$5:$A$8,0)=3,-($D135+$E135*INDEX('Equipo'!$B$5:$B$29,MATCH($B135,'Equipo'!$A$5:$A$29,0))),0))),"")</f>
        <v/>
      </c>
      <c r="H135" s="25">
        <f>IFERROR(IF(OR($B135="",$C135=""),"",IF(MATCH($C135,'Ajustes'!$A$5:$A$8,0)=4,$D135/INDEX('Equipo'!$B$5:$B$29,MATCH($B135,'Equipo'!$A$5:$A$29,0))+$E135,0)),"")</f>
        <v/>
      </c>
      <c r="I135" s="26">
        <f>IF($B135='Perfil'!$B$3,COUNTIF($B$4:$B135,'Perfil'!$B$3),"")</f>
        <v/>
      </c>
    </row>
    <row r="136">
      <c r="A136" s="22" t="n"/>
      <c r="B136" s="23" t="n"/>
      <c r="C136" s="23" t="n"/>
      <c r="D136" s="24" t="n"/>
      <c r="E136" s="24" t="n"/>
      <c r="F136" s="23" t="n"/>
      <c r="G136" s="19">
        <f>IFERROR(IF(OR($B136="",$C136=""),"",IF(MATCH($C136,'Ajustes'!$A$5:$A$8,0)&lt;=2,$D136*INDEX('Ajustes'!$C$5:$C$6,MATCH($C136,'Ajustes'!$A$5:$A$8,0)),IF(MATCH($C136,'Ajustes'!$A$5:$A$8,0)=3,-($D136+$E136*INDEX('Equipo'!$B$5:$B$29,MATCH($B136,'Equipo'!$A$5:$A$29,0))),0))),"")</f>
        <v/>
      </c>
      <c r="H136" s="25">
        <f>IFERROR(IF(OR($B136="",$C136=""),"",IF(MATCH($C136,'Ajustes'!$A$5:$A$8,0)=4,$D136/INDEX('Equipo'!$B$5:$B$29,MATCH($B136,'Equipo'!$A$5:$A$29,0))+$E136,0)),"")</f>
        <v/>
      </c>
      <c r="I136" s="26">
        <f>IF($B136='Perfil'!$B$3,COUNTIF($B$4:$B136,'Perfil'!$B$3),"")</f>
        <v/>
      </c>
    </row>
    <row r="137">
      <c r="A137" s="22" t="n"/>
      <c r="B137" s="23" t="n"/>
      <c r="C137" s="23" t="n"/>
      <c r="D137" s="24" t="n"/>
      <c r="E137" s="24" t="n"/>
      <c r="F137" s="23" t="n"/>
      <c r="G137" s="19">
        <f>IFERROR(IF(OR($B137="",$C137=""),"",IF(MATCH($C137,'Ajustes'!$A$5:$A$8,0)&lt;=2,$D137*INDEX('Ajustes'!$C$5:$C$6,MATCH($C137,'Ajustes'!$A$5:$A$8,0)),IF(MATCH($C137,'Ajustes'!$A$5:$A$8,0)=3,-($D137+$E137*INDEX('Equipo'!$B$5:$B$29,MATCH($B137,'Equipo'!$A$5:$A$29,0))),0))),"")</f>
        <v/>
      </c>
      <c r="H137" s="25">
        <f>IFERROR(IF(OR($B137="",$C137=""),"",IF(MATCH($C137,'Ajustes'!$A$5:$A$8,0)=4,$D137/INDEX('Equipo'!$B$5:$B$29,MATCH($B137,'Equipo'!$A$5:$A$29,0))+$E137,0)),"")</f>
        <v/>
      </c>
      <c r="I137" s="26">
        <f>IF($B137='Perfil'!$B$3,COUNTIF($B$4:$B137,'Perfil'!$B$3),"")</f>
        <v/>
      </c>
    </row>
    <row r="138">
      <c r="A138" s="22" t="n"/>
      <c r="B138" s="23" t="n"/>
      <c r="C138" s="23" t="n"/>
      <c r="D138" s="24" t="n"/>
      <c r="E138" s="24" t="n"/>
      <c r="F138" s="23" t="n"/>
      <c r="G138" s="19">
        <f>IFERROR(IF(OR($B138="",$C138=""),"",IF(MATCH($C138,'Ajustes'!$A$5:$A$8,0)&lt;=2,$D138*INDEX('Ajustes'!$C$5:$C$6,MATCH($C138,'Ajustes'!$A$5:$A$8,0)),IF(MATCH($C138,'Ajustes'!$A$5:$A$8,0)=3,-($D138+$E138*INDEX('Equipo'!$B$5:$B$29,MATCH($B138,'Equipo'!$A$5:$A$29,0))),0))),"")</f>
        <v/>
      </c>
      <c r="H138" s="25">
        <f>IFERROR(IF(OR($B138="",$C138=""),"",IF(MATCH($C138,'Ajustes'!$A$5:$A$8,0)=4,$D138/INDEX('Equipo'!$B$5:$B$29,MATCH($B138,'Equipo'!$A$5:$A$29,0))+$E138,0)),"")</f>
        <v/>
      </c>
      <c r="I138" s="26">
        <f>IF($B138='Perfil'!$B$3,COUNTIF($B$4:$B138,'Perfil'!$B$3),"")</f>
        <v/>
      </c>
    </row>
    <row r="139">
      <c r="A139" s="22" t="n"/>
      <c r="B139" s="23" t="n"/>
      <c r="C139" s="23" t="n"/>
      <c r="D139" s="24" t="n"/>
      <c r="E139" s="24" t="n"/>
      <c r="F139" s="23" t="n"/>
      <c r="G139" s="19">
        <f>IFERROR(IF(OR($B139="",$C139=""),"",IF(MATCH($C139,'Ajustes'!$A$5:$A$8,0)&lt;=2,$D139*INDEX('Ajustes'!$C$5:$C$6,MATCH($C139,'Ajustes'!$A$5:$A$8,0)),IF(MATCH($C139,'Ajustes'!$A$5:$A$8,0)=3,-($D139+$E139*INDEX('Equipo'!$B$5:$B$29,MATCH($B139,'Equipo'!$A$5:$A$29,0))),0))),"")</f>
        <v/>
      </c>
      <c r="H139" s="25">
        <f>IFERROR(IF(OR($B139="",$C139=""),"",IF(MATCH($C139,'Ajustes'!$A$5:$A$8,0)=4,$D139/INDEX('Equipo'!$B$5:$B$29,MATCH($B139,'Equipo'!$A$5:$A$29,0))+$E139,0)),"")</f>
        <v/>
      </c>
      <c r="I139" s="26">
        <f>IF($B139='Perfil'!$B$3,COUNTIF($B$4:$B139,'Perfil'!$B$3),"")</f>
        <v/>
      </c>
    </row>
    <row r="140">
      <c r="A140" s="22" t="n"/>
      <c r="B140" s="23" t="n"/>
      <c r="C140" s="23" t="n"/>
      <c r="D140" s="24" t="n"/>
      <c r="E140" s="24" t="n"/>
      <c r="F140" s="23" t="n"/>
      <c r="G140" s="19">
        <f>IFERROR(IF(OR($B140="",$C140=""),"",IF(MATCH($C140,'Ajustes'!$A$5:$A$8,0)&lt;=2,$D140*INDEX('Ajustes'!$C$5:$C$6,MATCH($C140,'Ajustes'!$A$5:$A$8,0)),IF(MATCH($C140,'Ajustes'!$A$5:$A$8,0)=3,-($D140+$E140*INDEX('Equipo'!$B$5:$B$29,MATCH($B140,'Equipo'!$A$5:$A$29,0))),0))),"")</f>
        <v/>
      </c>
      <c r="H140" s="25">
        <f>IFERROR(IF(OR($B140="",$C140=""),"",IF(MATCH($C140,'Ajustes'!$A$5:$A$8,0)=4,$D140/INDEX('Equipo'!$B$5:$B$29,MATCH($B140,'Equipo'!$A$5:$A$29,0))+$E140,0)),"")</f>
        <v/>
      </c>
      <c r="I140" s="26">
        <f>IF($B140='Perfil'!$B$3,COUNTIF($B$4:$B140,'Perfil'!$B$3),"")</f>
        <v/>
      </c>
    </row>
    <row r="141">
      <c r="A141" s="22" t="n"/>
      <c r="B141" s="23" t="n"/>
      <c r="C141" s="23" t="n"/>
      <c r="D141" s="24" t="n"/>
      <c r="E141" s="24" t="n"/>
      <c r="F141" s="23" t="n"/>
      <c r="G141" s="19">
        <f>IFERROR(IF(OR($B141="",$C141=""),"",IF(MATCH($C141,'Ajustes'!$A$5:$A$8,0)&lt;=2,$D141*INDEX('Ajustes'!$C$5:$C$6,MATCH($C141,'Ajustes'!$A$5:$A$8,0)),IF(MATCH($C141,'Ajustes'!$A$5:$A$8,0)=3,-($D141+$E141*INDEX('Equipo'!$B$5:$B$29,MATCH($B141,'Equipo'!$A$5:$A$29,0))),0))),"")</f>
        <v/>
      </c>
      <c r="H141" s="25">
        <f>IFERROR(IF(OR($B141="",$C141=""),"",IF(MATCH($C141,'Ajustes'!$A$5:$A$8,0)=4,$D141/INDEX('Equipo'!$B$5:$B$29,MATCH($B141,'Equipo'!$A$5:$A$29,0))+$E141,0)),"")</f>
        <v/>
      </c>
      <c r="I141" s="26">
        <f>IF($B141='Perfil'!$B$3,COUNTIF($B$4:$B141,'Perfil'!$B$3),"")</f>
        <v/>
      </c>
    </row>
    <row r="142">
      <c r="A142" s="22" t="n"/>
      <c r="B142" s="23" t="n"/>
      <c r="C142" s="23" t="n"/>
      <c r="D142" s="24" t="n"/>
      <c r="E142" s="24" t="n"/>
      <c r="F142" s="23" t="n"/>
      <c r="G142" s="19">
        <f>IFERROR(IF(OR($B142="",$C142=""),"",IF(MATCH($C142,'Ajustes'!$A$5:$A$8,0)&lt;=2,$D142*INDEX('Ajustes'!$C$5:$C$6,MATCH($C142,'Ajustes'!$A$5:$A$8,0)),IF(MATCH($C142,'Ajustes'!$A$5:$A$8,0)=3,-($D142+$E142*INDEX('Equipo'!$B$5:$B$29,MATCH($B142,'Equipo'!$A$5:$A$29,0))),0))),"")</f>
        <v/>
      </c>
      <c r="H142" s="25">
        <f>IFERROR(IF(OR($B142="",$C142=""),"",IF(MATCH($C142,'Ajustes'!$A$5:$A$8,0)=4,$D142/INDEX('Equipo'!$B$5:$B$29,MATCH($B142,'Equipo'!$A$5:$A$29,0))+$E142,0)),"")</f>
        <v/>
      </c>
      <c r="I142" s="26">
        <f>IF($B142='Perfil'!$B$3,COUNTIF($B$4:$B142,'Perfil'!$B$3),"")</f>
        <v/>
      </c>
    </row>
    <row r="143">
      <c r="A143" s="22" t="n"/>
      <c r="B143" s="23" t="n"/>
      <c r="C143" s="23" t="n"/>
      <c r="D143" s="24" t="n"/>
      <c r="E143" s="24" t="n"/>
      <c r="F143" s="23" t="n"/>
      <c r="G143" s="19">
        <f>IFERROR(IF(OR($B143="",$C143=""),"",IF(MATCH($C143,'Ajustes'!$A$5:$A$8,0)&lt;=2,$D143*INDEX('Ajustes'!$C$5:$C$6,MATCH($C143,'Ajustes'!$A$5:$A$8,0)),IF(MATCH($C143,'Ajustes'!$A$5:$A$8,0)=3,-($D143+$E143*INDEX('Equipo'!$B$5:$B$29,MATCH($B143,'Equipo'!$A$5:$A$29,0))),0))),"")</f>
        <v/>
      </c>
      <c r="H143" s="25">
        <f>IFERROR(IF(OR($B143="",$C143=""),"",IF(MATCH($C143,'Ajustes'!$A$5:$A$8,0)=4,$D143/INDEX('Equipo'!$B$5:$B$29,MATCH($B143,'Equipo'!$A$5:$A$29,0))+$E143,0)),"")</f>
        <v/>
      </c>
      <c r="I143" s="26">
        <f>IF($B143='Perfil'!$B$3,COUNTIF($B$4:$B143,'Perfil'!$B$3),"")</f>
        <v/>
      </c>
    </row>
    <row r="144">
      <c r="A144" s="22" t="n"/>
      <c r="B144" s="23" t="n"/>
      <c r="C144" s="23" t="n"/>
      <c r="D144" s="24" t="n"/>
      <c r="E144" s="24" t="n"/>
      <c r="F144" s="23" t="n"/>
      <c r="G144" s="19">
        <f>IFERROR(IF(OR($B144="",$C144=""),"",IF(MATCH($C144,'Ajustes'!$A$5:$A$8,0)&lt;=2,$D144*INDEX('Ajustes'!$C$5:$C$6,MATCH($C144,'Ajustes'!$A$5:$A$8,0)),IF(MATCH($C144,'Ajustes'!$A$5:$A$8,0)=3,-($D144+$E144*INDEX('Equipo'!$B$5:$B$29,MATCH($B144,'Equipo'!$A$5:$A$29,0))),0))),"")</f>
        <v/>
      </c>
      <c r="H144" s="25">
        <f>IFERROR(IF(OR($B144="",$C144=""),"",IF(MATCH($C144,'Ajustes'!$A$5:$A$8,0)=4,$D144/INDEX('Equipo'!$B$5:$B$29,MATCH($B144,'Equipo'!$A$5:$A$29,0))+$E144,0)),"")</f>
        <v/>
      </c>
      <c r="I144" s="26">
        <f>IF($B144='Perfil'!$B$3,COUNTIF($B$4:$B144,'Perfil'!$B$3),"")</f>
        <v/>
      </c>
    </row>
    <row r="145">
      <c r="A145" s="22" t="n"/>
      <c r="B145" s="23" t="n"/>
      <c r="C145" s="23" t="n"/>
      <c r="D145" s="24" t="n"/>
      <c r="E145" s="24" t="n"/>
      <c r="F145" s="23" t="n"/>
      <c r="G145" s="19">
        <f>IFERROR(IF(OR($B145="",$C145=""),"",IF(MATCH($C145,'Ajustes'!$A$5:$A$8,0)&lt;=2,$D145*INDEX('Ajustes'!$C$5:$C$6,MATCH($C145,'Ajustes'!$A$5:$A$8,0)),IF(MATCH($C145,'Ajustes'!$A$5:$A$8,0)=3,-($D145+$E145*INDEX('Equipo'!$B$5:$B$29,MATCH($B145,'Equipo'!$A$5:$A$29,0))),0))),"")</f>
        <v/>
      </c>
      <c r="H145" s="25">
        <f>IFERROR(IF(OR($B145="",$C145=""),"",IF(MATCH($C145,'Ajustes'!$A$5:$A$8,0)=4,$D145/INDEX('Equipo'!$B$5:$B$29,MATCH($B145,'Equipo'!$A$5:$A$29,0))+$E145,0)),"")</f>
        <v/>
      </c>
      <c r="I145" s="26">
        <f>IF($B145='Perfil'!$B$3,COUNTIF($B$4:$B145,'Perfil'!$B$3),"")</f>
        <v/>
      </c>
    </row>
    <row r="146">
      <c r="A146" s="22" t="n"/>
      <c r="B146" s="23" t="n"/>
      <c r="C146" s="23" t="n"/>
      <c r="D146" s="24" t="n"/>
      <c r="E146" s="24" t="n"/>
      <c r="F146" s="23" t="n"/>
      <c r="G146" s="19">
        <f>IFERROR(IF(OR($B146="",$C146=""),"",IF(MATCH($C146,'Ajustes'!$A$5:$A$8,0)&lt;=2,$D146*INDEX('Ajustes'!$C$5:$C$6,MATCH($C146,'Ajustes'!$A$5:$A$8,0)),IF(MATCH($C146,'Ajustes'!$A$5:$A$8,0)=3,-($D146+$E146*INDEX('Equipo'!$B$5:$B$29,MATCH($B146,'Equipo'!$A$5:$A$29,0))),0))),"")</f>
        <v/>
      </c>
      <c r="H146" s="25">
        <f>IFERROR(IF(OR($B146="",$C146=""),"",IF(MATCH($C146,'Ajustes'!$A$5:$A$8,0)=4,$D146/INDEX('Equipo'!$B$5:$B$29,MATCH($B146,'Equipo'!$A$5:$A$29,0))+$E146,0)),"")</f>
        <v/>
      </c>
      <c r="I146" s="26">
        <f>IF($B146='Perfil'!$B$3,COUNTIF($B$4:$B146,'Perfil'!$B$3),"")</f>
        <v/>
      </c>
    </row>
    <row r="147">
      <c r="A147" s="22" t="n"/>
      <c r="B147" s="23" t="n"/>
      <c r="C147" s="23" t="n"/>
      <c r="D147" s="24" t="n"/>
      <c r="E147" s="24" t="n"/>
      <c r="F147" s="23" t="n"/>
      <c r="G147" s="19">
        <f>IFERROR(IF(OR($B147="",$C147=""),"",IF(MATCH($C147,'Ajustes'!$A$5:$A$8,0)&lt;=2,$D147*INDEX('Ajustes'!$C$5:$C$6,MATCH($C147,'Ajustes'!$A$5:$A$8,0)),IF(MATCH($C147,'Ajustes'!$A$5:$A$8,0)=3,-($D147+$E147*INDEX('Equipo'!$B$5:$B$29,MATCH($B147,'Equipo'!$A$5:$A$29,0))),0))),"")</f>
        <v/>
      </c>
      <c r="H147" s="25">
        <f>IFERROR(IF(OR($B147="",$C147=""),"",IF(MATCH($C147,'Ajustes'!$A$5:$A$8,0)=4,$D147/INDEX('Equipo'!$B$5:$B$29,MATCH($B147,'Equipo'!$A$5:$A$29,0))+$E147,0)),"")</f>
        <v/>
      </c>
      <c r="I147" s="26">
        <f>IF($B147='Perfil'!$B$3,COUNTIF($B$4:$B147,'Perfil'!$B$3),"")</f>
        <v/>
      </c>
    </row>
    <row r="148">
      <c r="A148" s="22" t="n"/>
      <c r="B148" s="23" t="n"/>
      <c r="C148" s="23" t="n"/>
      <c r="D148" s="24" t="n"/>
      <c r="E148" s="24" t="n"/>
      <c r="F148" s="23" t="n"/>
      <c r="G148" s="19">
        <f>IFERROR(IF(OR($B148="",$C148=""),"",IF(MATCH($C148,'Ajustes'!$A$5:$A$8,0)&lt;=2,$D148*INDEX('Ajustes'!$C$5:$C$6,MATCH($C148,'Ajustes'!$A$5:$A$8,0)),IF(MATCH($C148,'Ajustes'!$A$5:$A$8,0)=3,-($D148+$E148*INDEX('Equipo'!$B$5:$B$29,MATCH($B148,'Equipo'!$A$5:$A$29,0))),0))),"")</f>
        <v/>
      </c>
      <c r="H148" s="25">
        <f>IFERROR(IF(OR($B148="",$C148=""),"",IF(MATCH($C148,'Ajustes'!$A$5:$A$8,0)=4,$D148/INDEX('Equipo'!$B$5:$B$29,MATCH($B148,'Equipo'!$A$5:$A$29,0))+$E148,0)),"")</f>
        <v/>
      </c>
      <c r="I148" s="26">
        <f>IF($B148='Perfil'!$B$3,COUNTIF($B$4:$B148,'Perfil'!$B$3),"")</f>
        <v/>
      </c>
    </row>
    <row r="149">
      <c r="A149" s="22" t="n"/>
      <c r="B149" s="23" t="n"/>
      <c r="C149" s="23" t="n"/>
      <c r="D149" s="24" t="n"/>
      <c r="E149" s="24" t="n"/>
      <c r="F149" s="23" t="n"/>
      <c r="G149" s="19">
        <f>IFERROR(IF(OR($B149="",$C149=""),"",IF(MATCH($C149,'Ajustes'!$A$5:$A$8,0)&lt;=2,$D149*INDEX('Ajustes'!$C$5:$C$6,MATCH($C149,'Ajustes'!$A$5:$A$8,0)),IF(MATCH($C149,'Ajustes'!$A$5:$A$8,0)=3,-($D149+$E149*INDEX('Equipo'!$B$5:$B$29,MATCH($B149,'Equipo'!$A$5:$A$29,0))),0))),"")</f>
        <v/>
      </c>
      <c r="H149" s="25">
        <f>IFERROR(IF(OR($B149="",$C149=""),"",IF(MATCH($C149,'Ajustes'!$A$5:$A$8,0)=4,$D149/INDEX('Equipo'!$B$5:$B$29,MATCH($B149,'Equipo'!$A$5:$A$29,0))+$E149,0)),"")</f>
        <v/>
      </c>
      <c r="I149" s="26">
        <f>IF($B149='Perfil'!$B$3,COUNTIF($B$4:$B149,'Perfil'!$B$3),"")</f>
        <v/>
      </c>
    </row>
    <row r="150">
      <c r="A150" s="22" t="n"/>
      <c r="B150" s="23" t="n"/>
      <c r="C150" s="23" t="n"/>
      <c r="D150" s="24" t="n"/>
      <c r="E150" s="24" t="n"/>
      <c r="F150" s="23" t="n"/>
      <c r="G150" s="19">
        <f>IFERROR(IF(OR($B150="",$C150=""),"",IF(MATCH($C150,'Ajustes'!$A$5:$A$8,0)&lt;=2,$D150*INDEX('Ajustes'!$C$5:$C$6,MATCH($C150,'Ajustes'!$A$5:$A$8,0)),IF(MATCH($C150,'Ajustes'!$A$5:$A$8,0)=3,-($D150+$E150*INDEX('Equipo'!$B$5:$B$29,MATCH($B150,'Equipo'!$A$5:$A$29,0))),0))),"")</f>
        <v/>
      </c>
      <c r="H150" s="25">
        <f>IFERROR(IF(OR($B150="",$C150=""),"",IF(MATCH($C150,'Ajustes'!$A$5:$A$8,0)=4,$D150/INDEX('Equipo'!$B$5:$B$29,MATCH($B150,'Equipo'!$A$5:$A$29,0))+$E150,0)),"")</f>
        <v/>
      </c>
      <c r="I150" s="26">
        <f>IF($B150='Perfil'!$B$3,COUNTIF($B$4:$B150,'Perfil'!$B$3),"")</f>
        <v/>
      </c>
    </row>
    <row r="151">
      <c r="A151" s="22" t="n"/>
      <c r="B151" s="23" t="n"/>
      <c r="C151" s="23" t="n"/>
      <c r="D151" s="24" t="n"/>
      <c r="E151" s="24" t="n"/>
      <c r="F151" s="23" t="n"/>
      <c r="G151" s="19">
        <f>IFERROR(IF(OR($B151="",$C151=""),"",IF(MATCH($C151,'Ajustes'!$A$5:$A$8,0)&lt;=2,$D151*INDEX('Ajustes'!$C$5:$C$6,MATCH($C151,'Ajustes'!$A$5:$A$8,0)),IF(MATCH($C151,'Ajustes'!$A$5:$A$8,0)=3,-($D151+$E151*INDEX('Equipo'!$B$5:$B$29,MATCH($B151,'Equipo'!$A$5:$A$29,0))),0))),"")</f>
        <v/>
      </c>
      <c r="H151" s="25">
        <f>IFERROR(IF(OR($B151="",$C151=""),"",IF(MATCH($C151,'Ajustes'!$A$5:$A$8,0)=4,$D151/INDEX('Equipo'!$B$5:$B$29,MATCH($B151,'Equipo'!$A$5:$A$29,0))+$E151,0)),"")</f>
        <v/>
      </c>
      <c r="I151" s="26">
        <f>IF($B151='Perfil'!$B$3,COUNTIF($B$4:$B151,'Perfil'!$B$3),"")</f>
        <v/>
      </c>
    </row>
    <row r="152">
      <c r="A152" s="22" t="n"/>
      <c r="B152" s="23" t="n"/>
      <c r="C152" s="23" t="n"/>
      <c r="D152" s="24" t="n"/>
      <c r="E152" s="24" t="n"/>
      <c r="F152" s="23" t="n"/>
      <c r="G152" s="19">
        <f>IFERROR(IF(OR($B152="",$C152=""),"",IF(MATCH($C152,'Ajustes'!$A$5:$A$8,0)&lt;=2,$D152*INDEX('Ajustes'!$C$5:$C$6,MATCH($C152,'Ajustes'!$A$5:$A$8,0)),IF(MATCH($C152,'Ajustes'!$A$5:$A$8,0)=3,-($D152+$E152*INDEX('Equipo'!$B$5:$B$29,MATCH($B152,'Equipo'!$A$5:$A$29,0))),0))),"")</f>
        <v/>
      </c>
      <c r="H152" s="25">
        <f>IFERROR(IF(OR($B152="",$C152=""),"",IF(MATCH($C152,'Ajustes'!$A$5:$A$8,0)=4,$D152/INDEX('Equipo'!$B$5:$B$29,MATCH($B152,'Equipo'!$A$5:$A$29,0))+$E152,0)),"")</f>
        <v/>
      </c>
      <c r="I152" s="26">
        <f>IF($B152='Perfil'!$B$3,COUNTIF($B$4:$B152,'Perfil'!$B$3),"")</f>
        <v/>
      </c>
    </row>
    <row r="153">
      <c r="A153" s="22" t="n"/>
      <c r="B153" s="23" t="n"/>
      <c r="C153" s="23" t="n"/>
      <c r="D153" s="24" t="n"/>
      <c r="E153" s="24" t="n"/>
      <c r="F153" s="23" t="n"/>
      <c r="G153" s="19">
        <f>IFERROR(IF(OR($B153="",$C153=""),"",IF(MATCH($C153,'Ajustes'!$A$5:$A$8,0)&lt;=2,$D153*INDEX('Ajustes'!$C$5:$C$6,MATCH($C153,'Ajustes'!$A$5:$A$8,0)),IF(MATCH($C153,'Ajustes'!$A$5:$A$8,0)=3,-($D153+$E153*INDEX('Equipo'!$B$5:$B$29,MATCH($B153,'Equipo'!$A$5:$A$29,0))),0))),"")</f>
        <v/>
      </c>
      <c r="H153" s="25">
        <f>IFERROR(IF(OR($B153="",$C153=""),"",IF(MATCH($C153,'Ajustes'!$A$5:$A$8,0)=4,$D153/INDEX('Equipo'!$B$5:$B$29,MATCH($B153,'Equipo'!$A$5:$A$29,0))+$E153,0)),"")</f>
        <v/>
      </c>
      <c r="I153" s="26">
        <f>IF($B153='Perfil'!$B$3,COUNTIF($B$4:$B153,'Perfil'!$B$3),"")</f>
        <v/>
      </c>
    </row>
    <row r="154">
      <c r="A154" s="22" t="n"/>
      <c r="B154" s="23" t="n"/>
      <c r="C154" s="23" t="n"/>
      <c r="D154" s="24" t="n"/>
      <c r="E154" s="24" t="n"/>
      <c r="F154" s="23" t="n"/>
      <c r="G154" s="19">
        <f>IFERROR(IF(OR($B154="",$C154=""),"",IF(MATCH($C154,'Ajustes'!$A$5:$A$8,0)&lt;=2,$D154*INDEX('Ajustes'!$C$5:$C$6,MATCH($C154,'Ajustes'!$A$5:$A$8,0)),IF(MATCH($C154,'Ajustes'!$A$5:$A$8,0)=3,-($D154+$E154*INDEX('Equipo'!$B$5:$B$29,MATCH($B154,'Equipo'!$A$5:$A$29,0))),0))),"")</f>
        <v/>
      </c>
      <c r="H154" s="25">
        <f>IFERROR(IF(OR($B154="",$C154=""),"",IF(MATCH($C154,'Ajustes'!$A$5:$A$8,0)=4,$D154/INDEX('Equipo'!$B$5:$B$29,MATCH($B154,'Equipo'!$A$5:$A$29,0))+$E154,0)),"")</f>
        <v/>
      </c>
      <c r="I154" s="26">
        <f>IF($B154='Perfil'!$B$3,COUNTIF($B$4:$B154,'Perfil'!$B$3),"")</f>
        <v/>
      </c>
    </row>
    <row r="155">
      <c r="A155" s="22" t="n"/>
      <c r="B155" s="23" t="n"/>
      <c r="C155" s="23" t="n"/>
      <c r="D155" s="24" t="n"/>
      <c r="E155" s="24" t="n"/>
      <c r="F155" s="23" t="n"/>
      <c r="G155" s="19">
        <f>IFERROR(IF(OR($B155="",$C155=""),"",IF(MATCH($C155,'Ajustes'!$A$5:$A$8,0)&lt;=2,$D155*INDEX('Ajustes'!$C$5:$C$6,MATCH($C155,'Ajustes'!$A$5:$A$8,0)),IF(MATCH($C155,'Ajustes'!$A$5:$A$8,0)=3,-($D155+$E155*INDEX('Equipo'!$B$5:$B$29,MATCH($B155,'Equipo'!$A$5:$A$29,0))),0))),"")</f>
        <v/>
      </c>
      <c r="H155" s="25">
        <f>IFERROR(IF(OR($B155="",$C155=""),"",IF(MATCH($C155,'Ajustes'!$A$5:$A$8,0)=4,$D155/INDEX('Equipo'!$B$5:$B$29,MATCH($B155,'Equipo'!$A$5:$A$29,0))+$E155,0)),"")</f>
        <v/>
      </c>
      <c r="I155" s="26">
        <f>IF($B155='Perfil'!$B$3,COUNTIF($B$4:$B155,'Perfil'!$B$3),"")</f>
        <v/>
      </c>
    </row>
    <row r="156">
      <c r="A156" s="22" t="n"/>
      <c r="B156" s="23" t="n"/>
      <c r="C156" s="23" t="n"/>
      <c r="D156" s="24" t="n"/>
      <c r="E156" s="24" t="n"/>
      <c r="F156" s="23" t="n"/>
      <c r="G156" s="19">
        <f>IFERROR(IF(OR($B156="",$C156=""),"",IF(MATCH($C156,'Ajustes'!$A$5:$A$8,0)&lt;=2,$D156*INDEX('Ajustes'!$C$5:$C$6,MATCH($C156,'Ajustes'!$A$5:$A$8,0)),IF(MATCH($C156,'Ajustes'!$A$5:$A$8,0)=3,-($D156+$E156*INDEX('Equipo'!$B$5:$B$29,MATCH($B156,'Equipo'!$A$5:$A$29,0))),0))),"")</f>
        <v/>
      </c>
      <c r="H156" s="25">
        <f>IFERROR(IF(OR($B156="",$C156=""),"",IF(MATCH($C156,'Ajustes'!$A$5:$A$8,0)=4,$D156/INDEX('Equipo'!$B$5:$B$29,MATCH($B156,'Equipo'!$A$5:$A$29,0))+$E156,0)),"")</f>
        <v/>
      </c>
      <c r="I156" s="26">
        <f>IF($B156='Perfil'!$B$3,COUNTIF($B$4:$B156,'Perfil'!$B$3),"")</f>
        <v/>
      </c>
    </row>
    <row r="157">
      <c r="A157" s="22" t="n"/>
      <c r="B157" s="23" t="n"/>
      <c r="C157" s="23" t="n"/>
      <c r="D157" s="24" t="n"/>
      <c r="E157" s="24" t="n"/>
      <c r="F157" s="23" t="n"/>
      <c r="G157" s="19">
        <f>IFERROR(IF(OR($B157="",$C157=""),"",IF(MATCH($C157,'Ajustes'!$A$5:$A$8,0)&lt;=2,$D157*INDEX('Ajustes'!$C$5:$C$6,MATCH($C157,'Ajustes'!$A$5:$A$8,0)),IF(MATCH($C157,'Ajustes'!$A$5:$A$8,0)=3,-($D157+$E157*INDEX('Equipo'!$B$5:$B$29,MATCH($B157,'Equipo'!$A$5:$A$29,0))),0))),"")</f>
        <v/>
      </c>
      <c r="H157" s="25">
        <f>IFERROR(IF(OR($B157="",$C157=""),"",IF(MATCH($C157,'Ajustes'!$A$5:$A$8,0)=4,$D157/INDEX('Equipo'!$B$5:$B$29,MATCH($B157,'Equipo'!$A$5:$A$29,0))+$E157,0)),"")</f>
        <v/>
      </c>
      <c r="I157" s="26">
        <f>IF($B157='Perfil'!$B$3,COUNTIF($B$4:$B157,'Perfil'!$B$3),"")</f>
        <v/>
      </c>
    </row>
    <row r="158">
      <c r="A158" s="22" t="n"/>
      <c r="B158" s="23" t="n"/>
      <c r="C158" s="23" t="n"/>
      <c r="D158" s="24" t="n"/>
      <c r="E158" s="24" t="n"/>
      <c r="F158" s="23" t="n"/>
      <c r="G158" s="19">
        <f>IFERROR(IF(OR($B158="",$C158=""),"",IF(MATCH($C158,'Ajustes'!$A$5:$A$8,0)&lt;=2,$D158*INDEX('Ajustes'!$C$5:$C$6,MATCH($C158,'Ajustes'!$A$5:$A$8,0)),IF(MATCH($C158,'Ajustes'!$A$5:$A$8,0)=3,-($D158+$E158*INDEX('Equipo'!$B$5:$B$29,MATCH($B158,'Equipo'!$A$5:$A$29,0))),0))),"")</f>
        <v/>
      </c>
      <c r="H158" s="25">
        <f>IFERROR(IF(OR($B158="",$C158=""),"",IF(MATCH($C158,'Ajustes'!$A$5:$A$8,0)=4,$D158/INDEX('Equipo'!$B$5:$B$29,MATCH($B158,'Equipo'!$A$5:$A$29,0))+$E158,0)),"")</f>
        <v/>
      </c>
      <c r="I158" s="26">
        <f>IF($B158='Perfil'!$B$3,COUNTIF($B$4:$B158,'Perfil'!$B$3),"")</f>
        <v/>
      </c>
    </row>
    <row r="159">
      <c r="A159" s="22" t="n"/>
      <c r="B159" s="23" t="n"/>
      <c r="C159" s="23" t="n"/>
      <c r="D159" s="24" t="n"/>
      <c r="E159" s="24" t="n"/>
      <c r="F159" s="23" t="n"/>
      <c r="G159" s="19">
        <f>IFERROR(IF(OR($B159="",$C159=""),"",IF(MATCH($C159,'Ajustes'!$A$5:$A$8,0)&lt;=2,$D159*INDEX('Ajustes'!$C$5:$C$6,MATCH($C159,'Ajustes'!$A$5:$A$8,0)),IF(MATCH($C159,'Ajustes'!$A$5:$A$8,0)=3,-($D159+$E159*INDEX('Equipo'!$B$5:$B$29,MATCH($B159,'Equipo'!$A$5:$A$29,0))),0))),"")</f>
        <v/>
      </c>
      <c r="H159" s="25">
        <f>IFERROR(IF(OR($B159="",$C159=""),"",IF(MATCH($C159,'Ajustes'!$A$5:$A$8,0)=4,$D159/INDEX('Equipo'!$B$5:$B$29,MATCH($B159,'Equipo'!$A$5:$A$29,0))+$E159,0)),"")</f>
        <v/>
      </c>
      <c r="I159" s="26">
        <f>IF($B159='Perfil'!$B$3,COUNTIF($B$4:$B159,'Perfil'!$B$3),"")</f>
        <v/>
      </c>
    </row>
    <row r="160">
      <c r="A160" s="22" t="n"/>
      <c r="B160" s="23" t="n"/>
      <c r="C160" s="23" t="n"/>
      <c r="D160" s="24" t="n"/>
      <c r="E160" s="24" t="n"/>
      <c r="F160" s="23" t="n"/>
      <c r="G160" s="19">
        <f>IFERROR(IF(OR($B160="",$C160=""),"",IF(MATCH($C160,'Ajustes'!$A$5:$A$8,0)&lt;=2,$D160*INDEX('Ajustes'!$C$5:$C$6,MATCH($C160,'Ajustes'!$A$5:$A$8,0)),IF(MATCH($C160,'Ajustes'!$A$5:$A$8,0)=3,-($D160+$E160*INDEX('Equipo'!$B$5:$B$29,MATCH($B160,'Equipo'!$A$5:$A$29,0))),0))),"")</f>
        <v/>
      </c>
      <c r="H160" s="25">
        <f>IFERROR(IF(OR($B160="",$C160=""),"",IF(MATCH($C160,'Ajustes'!$A$5:$A$8,0)=4,$D160/INDEX('Equipo'!$B$5:$B$29,MATCH($B160,'Equipo'!$A$5:$A$29,0))+$E160,0)),"")</f>
        <v/>
      </c>
      <c r="I160" s="26">
        <f>IF($B160='Perfil'!$B$3,COUNTIF($B$4:$B160,'Perfil'!$B$3),"")</f>
        <v/>
      </c>
    </row>
    <row r="161">
      <c r="A161" s="22" t="n"/>
      <c r="B161" s="23" t="n"/>
      <c r="C161" s="23" t="n"/>
      <c r="D161" s="24" t="n"/>
      <c r="E161" s="24" t="n"/>
      <c r="F161" s="23" t="n"/>
      <c r="G161" s="19">
        <f>IFERROR(IF(OR($B161="",$C161=""),"",IF(MATCH($C161,'Ajustes'!$A$5:$A$8,0)&lt;=2,$D161*INDEX('Ajustes'!$C$5:$C$6,MATCH($C161,'Ajustes'!$A$5:$A$8,0)),IF(MATCH($C161,'Ajustes'!$A$5:$A$8,0)=3,-($D161+$E161*INDEX('Equipo'!$B$5:$B$29,MATCH($B161,'Equipo'!$A$5:$A$29,0))),0))),"")</f>
        <v/>
      </c>
      <c r="H161" s="25">
        <f>IFERROR(IF(OR($B161="",$C161=""),"",IF(MATCH($C161,'Ajustes'!$A$5:$A$8,0)=4,$D161/INDEX('Equipo'!$B$5:$B$29,MATCH($B161,'Equipo'!$A$5:$A$29,0))+$E161,0)),"")</f>
        <v/>
      </c>
      <c r="I161" s="26">
        <f>IF($B161='Perfil'!$B$3,COUNTIF($B$4:$B161,'Perfil'!$B$3),"")</f>
        <v/>
      </c>
    </row>
    <row r="162">
      <c r="A162" s="22" t="n"/>
      <c r="B162" s="23" t="n"/>
      <c r="C162" s="23" t="n"/>
      <c r="D162" s="24" t="n"/>
      <c r="E162" s="24" t="n"/>
      <c r="F162" s="23" t="n"/>
      <c r="G162" s="19">
        <f>IFERROR(IF(OR($B162="",$C162=""),"",IF(MATCH($C162,'Ajustes'!$A$5:$A$8,0)&lt;=2,$D162*INDEX('Ajustes'!$C$5:$C$6,MATCH($C162,'Ajustes'!$A$5:$A$8,0)),IF(MATCH($C162,'Ajustes'!$A$5:$A$8,0)=3,-($D162+$E162*INDEX('Equipo'!$B$5:$B$29,MATCH($B162,'Equipo'!$A$5:$A$29,0))),0))),"")</f>
        <v/>
      </c>
      <c r="H162" s="25">
        <f>IFERROR(IF(OR($B162="",$C162=""),"",IF(MATCH($C162,'Ajustes'!$A$5:$A$8,0)=4,$D162/INDEX('Equipo'!$B$5:$B$29,MATCH($B162,'Equipo'!$A$5:$A$29,0))+$E162,0)),"")</f>
        <v/>
      </c>
      <c r="I162" s="26">
        <f>IF($B162='Perfil'!$B$3,COUNTIF($B$4:$B162,'Perfil'!$B$3),"")</f>
        <v/>
      </c>
    </row>
    <row r="163">
      <c r="A163" s="22" t="n"/>
      <c r="B163" s="23" t="n"/>
      <c r="C163" s="23" t="n"/>
      <c r="D163" s="24" t="n"/>
      <c r="E163" s="24" t="n"/>
      <c r="F163" s="23" t="n"/>
      <c r="G163" s="19">
        <f>IFERROR(IF(OR($B163="",$C163=""),"",IF(MATCH($C163,'Ajustes'!$A$5:$A$8,0)&lt;=2,$D163*INDEX('Ajustes'!$C$5:$C$6,MATCH($C163,'Ajustes'!$A$5:$A$8,0)),IF(MATCH($C163,'Ajustes'!$A$5:$A$8,0)=3,-($D163+$E163*INDEX('Equipo'!$B$5:$B$29,MATCH($B163,'Equipo'!$A$5:$A$29,0))),0))),"")</f>
        <v/>
      </c>
      <c r="H163" s="25">
        <f>IFERROR(IF(OR($B163="",$C163=""),"",IF(MATCH($C163,'Ajustes'!$A$5:$A$8,0)=4,$D163/INDEX('Equipo'!$B$5:$B$29,MATCH($B163,'Equipo'!$A$5:$A$29,0))+$E163,0)),"")</f>
        <v/>
      </c>
      <c r="I163" s="26">
        <f>IF($B163='Perfil'!$B$3,COUNTIF($B$4:$B163,'Perfil'!$B$3),"")</f>
        <v/>
      </c>
    </row>
    <row r="164">
      <c r="A164" s="22" t="n"/>
      <c r="B164" s="23" t="n"/>
      <c r="C164" s="23" t="n"/>
      <c r="D164" s="24" t="n"/>
      <c r="E164" s="24" t="n"/>
      <c r="F164" s="23" t="n"/>
      <c r="G164" s="19">
        <f>IFERROR(IF(OR($B164="",$C164=""),"",IF(MATCH($C164,'Ajustes'!$A$5:$A$8,0)&lt;=2,$D164*INDEX('Ajustes'!$C$5:$C$6,MATCH($C164,'Ajustes'!$A$5:$A$8,0)),IF(MATCH($C164,'Ajustes'!$A$5:$A$8,0)=3,-($D164+$E164*INDEX('Equipo'!$B$5:$B$29,MATCH($B164,'Equipo'!$A$5:$A$29,0))),0))),"")</f>
        <v/>
      </c>
      <c r="H164" s="25">
        <f>IFERROR(IF(OR($B164="",$C164=""),"",IF(MATCH($C164,'Ajustes'!$A$5:$A$8,0)=4,$D164/INDEX('Equipo'!$B$5:$B$29,MATCH($B164,'Equipo'!$A$5:$A$29,0))+$E164,0)),"")</f>
        <v/>
      </c>
      <c r="I164" s="26">
        <f>IF($B164='Perfil'!$B$3,COUNTIF($B$4:$B164,'Perfil'!$B$3),"")</f>
        <v/>
      </c>
    </row>
    <row r="165">
      <c r="A165" s="22" t="n"/>
      <c r="B165" s="23" t="n"/>
      <c r="C165" s="23" t="n"/>
      <c r="D165" s="24" t="n"/>
      <c r="E165" s="24" t="n"/>
      <c r="F165" s="23" t="n"/>
      <c r="G165" s="19">
        <f>IFERROR(IF(OR($B165="",$C165=""),"",IF(MATCH($C165,'Ajustes'!$A$5:$A$8,0)&lt;=2,$D165*INDEX('Ajustes'!$C$5:$C$6,MATCH($C165,'Ajustes'!$A$5:$A$8,0)),IF(MATCH($C165,'Ajustes'!$A$5:$A$8,0)=3,-($D165+$E165*INDEX('Equipo'!$B$5:$B$29,MATCH($B165,'Equipo'!$A$5:$A$29,0))),0))),"")</f>
        <v/>
      </c>
      <c r="H165" s="25">
        <f>IFERROR(IF(OR($B165="",$C165=""),"",IF(MATCH($C165,'Ajustes'!$A$5:$A$8,0)=4,$D165/INDEX('Equipo'!$B$5:$B$29,MATCH($B165,'Equipo'!$A$5:$A$29,0))+$E165,0)),"")</f>
        <v/>
      </c>
      <c r="I165" s="26">
        <f>IF($B165='Perfil'!$B$3,COUNTIF($B$4:$B165,'Perfil'!$B$3),"")</f>
        <v/>
      </c>
    </row>
    <row r="166">
      <c r="A166" s="22" t="n"/>
      <c r="B166" s="23" t="n"/>
      <c r="C166" s="23" t="n"/>
      <c r="D166" s="24" t="n"/>
      <c r="E166" s="24" t="n"/>
      <c r="F166" s="23" t="n"/>
      <c r="G166" s="19">
        <f>IFERROR(IF(OR($B166="",$C166=""),"",IF(MATCH($C166,'Ajustes'!$A$5:$A$8,0)&lt;=2,$D166*INDEX('Ajustes'!$C$5:$C$6,MATCH($C166,'Ajustes'!$A$5:$A$8,0)),IF(MATCH($C166,'Ajustes'!$A$5:$A$8,0)=3,-($D166+$E166*INDEX('Equipo'!$B$5:$B$29,MATCH($B166,'Equipo'!$A$5:$A$29,0))),0))),"")</f>
        <v/>
      </c>
      <c r="H166" s="25">
        <f>IFERROR(IF(OR($B166="",$C166=""),"",IF(MATCH($C166,'Ajustes'!$A$5:$A$8,0)=4,$D166/INDEX('Equipo'!$B$5:$B$29,MATCH($B166,'Equipo'!$A$5:$A$29,0))+$E166,0)),"")</f>
        <v/>
      </c>
      <c r="I166" s="26">
        <f>IF($B166='Perfil'!$B$3,COUNTIF($B$4:$B166,'Perfil'!$B$3),"")</f>
        <v/>
      </c>
    </row>
    <row r="167">
      <c r="A167" s="22" t="n"/>
      <c r="B167" s="23" t="n"/>
      <c r="C167" s="23" t="n"/>
      <c r="D167" s="24" t="n"/>
      <c r="E167" s="24" t="n"/>
      <c r="F167" s="23" t="n"/>
      <c r="G167" s="19">
        <f>IFERROR(IF(OR($B167="",$C167=""),"",IF(MATCH($C167,'Ajustes'!$A$5:$A$8,0)&lt;=2,$D167*INDEX('Ajustes'!$C$5:$C$6,MATCH($C167,'Ajustes'!$A$5:$A$8,0)),IF(MATCH($C167,'Ajustes'!$A$5:$A$8,0)=3,-($D167+$E167*INDEX('Equipo'!$B$5:$B$29,MATCH($B167,'Equipo'!$A$5:$A$29,0))),0))),"")</f>
        <v/>
      </c>
      <c r="H167" s="25">
        <f>IFERROR(IF(OR($B167="",$C167=""),"",IF(MATCH($C167,'Ajustes'!$A$5:$A$8,0)=4,$D167/INDEX('Equipo'!$B$5:$B$29,MATCH($B167,'Equipo'!$A$5:$A$29,0))+$E167,0)),"")</f>
        <v/>
      </c>
      <c r="I167" s="26">
        <f>IF($B167='Perfil'!$B$3,COUNTIF($B$4:$B167,'Perfil'!$B$3),"")</f>
        <v/>
      </c>
    </row>
    <row r="168">
      <c r="A168" s="22" t="n"/>
      <c r="B168" s="23" t="n"/>
      <c r="C168" s="23" t="n"/>
      <c r="D168" s="24" t="n"/>
      <c r="E168" s="24" t="n"/>
      <c r="F168" s="23" t="n"/>
      <c r="G168" s="19">
        <f>IFERROR(IF(OR($B168="",$C168=""),"",IF(MATCH($C168,'Ajustes'!$A$5:$A$8,0)&lt;=2,$D168*INDEX('Ajustes'!$C$5:$C$6,MATCH($C168,'Ajustes'!$A$5:$A$8,0)),IF(MATCH($C168,'Ajustes'!$A$5:$A$8,0)=3,-($D168+$E168*INDEX('Equipo'!$B$5:$B$29,MATCH($B168,'Equipo'!$A$5:$A$29,0))),0))),"")</f>
        <v/>
      </c>
      <c r="H168" s="25">
        <f>IFERROR(IF(OR($B168="",$C168=""),"",IF(MATCH($C168,'Ajustes'!$A$5:$A$8,0)=4,$D168/INDEX('Equipo'!$B$5:$B$29,MATCH($B168,'Equipo'!$A$5:$A$29,0))+$E168,0)),"")</f>
        <v/>
      </c>
      <c r="I168" s="26">
        <f>IF($B168='Perfil'!$B$3,COUNTIF($B$4:$B168,'Perfil'!$B$3),"")</f>
        <v/>
      </c>
    </row>
    <row r="169">
      <c r="A169" s="22" t="n"/>
      <c r="B169" s="23" t="n"/>
      <c r="C169" s="23" t="n"/>
      <c r="D169" s="24" t="n"/>
      <c r="E169" s="24" t="n"/>
      <c r="F169" s="23" t="n"/>
      <c r="G169" s="19">
        <f>IFERROR(IF(OR($B169="",$C169=""),"",IF(MATCH($C169,'Ajustes'!$A$5:$A$8,0)&lt;=2,$D169*INDEX('Ajustes'!$C$5:$C$6,MATCH($C169,'Ajustes'!$A$5:$A$8,0)),IF(MATCH($C169,'Ajustes'!$A$5:$A$8,0)=3,-($D169+$E169*INDEX('Equipo'!$B$5:$B$29,MATCH($B169,'Equipo'!$A$5:$A$29,0))),0))),"")</f>
        <v/>
      </c>
      <c r="H169" s="25">
        <f>IFERROR(IF(OR($B169="",$C169=""),"",IF(MATCH($C169,'Ajustes'!$A$5:$A$8,0)=4,$D169/INDEX('Equipo'!$B$5:$B$29,MATCH($B169,'Equipo'!$A$5:$A$29,0))+$E169,0)),"")</f>
        <v/>
      </c>
      <c r="I169" s="26">
        <f>IF($B169='Perfil'!$B$3,COUNTIF($B$4:$B169,'Perfil'!$B$3),"")</f>
        <v/>
      </c>
    </row>
    <row r="170">
      <c r="A170" s="22" t="n"/>
      <c r="B170" s="23" t="n"/>
      <c r="C170" s="23" t="n"/>
      <c r="D170" s="24" t="n"/>
      <c r="E170" s="24" t="n"/>
      <c r="F170" s="23" t="n"/>
      <c r="G170" s="19">
        <f>IFERROR(IF(OR($B170="",$C170=""),"",IF(MATCH($C170,'Ajustes'!$A$5:$A$8,0)&lt;=2,$D170*INDEX('Ajustes'!$C$5:$C$6,MATCH($C170,'Ajustes'!$A$5:$A$8,0)),IF(MATCH($C170,'Ajustes'!$A$5:$A$8,0)=3,-($D170+$E170*INDEX('Equipo'!$B$5:$B$29,MATCH($B170,'Equipo'!$A$5:$A$29,0))),0))),"")</f>
        <v/>
      </c>
      <c r="H170" s="25">
        <f>IFERROR(IF(OR($B170="",$C170=""),"",IF(MATCH($C170,'Ajustes'!$A$5:$A$8,0)=4,$D170/INDEX('Equipo'!$B$5:$B$29,MATCH($B170,'Equipo'!$A$5:$A$29,0))+$E170,0)),"")</f>
        <v/>
      </c>
      <c r="I170" s="26">
        <f>IF($B170='Perfil'!$B$3,COUNTIF($B$4:$B170,'Perfil'!$B$3),"")</f>
        <v/>
      </c>
    </row>
    <row r="171">
      <c r="A171" s="22" t="n"/>
      <c r="B171" s="23" t="n"/>
      <c r="C171" s="23" t="n"/>
      <c r="D171" s="24" t="n"/>
      <c r="E171" s="24" t="n"/>
      <c r="F171" s="23" t="n"/>
      <c r="G171" s="19">
        <f>IFERROR(IF(OR($B171="",$C171=""),"",IF(MATCH($C171,'Ajustes'!$A$5:$A$8,0)&lt;=2,$D171*INDEX('Ajustes'!$C$5:$C$6,MATCH($C171,'Ajustes'!$A$5:$A$8,0)),IF(MATCH($C171,'Ajustes'!$A$5:$A$8,0)=3,-($D171+$E171*INDEX('Equipo'!$B$5:$B$29,MATCH($B171,'Equipo'!$A$5:$A$29,0))),0))),"")</f>
        <v/>
      </c>
      <c r="H171" s="25">
        <f>IFERROR(IF(OR($B171="",$C171=""),"",IF(MATCH($C171,'Ajustes'!$A$5:$A$8,0)=4,$D171/INDEX('Equipo'!$B$5:$B$29,MATCH($B171,'Equipo'!$A$5:$A$29,0))+$E171,0)),"")</f>
        <v/>
      </c>
      <c r="I171" s="26">
        <f>IF($B171='Perfil'!$B$3,COUNTIF($B$4:$B171,'Perfil'!$B$3),"")</f>
        <v/>
      </c>
    </row>
    <row r="172">
      <c r="A172" s="22" t="n"/>
      <c r="B172" s="23" t="n"/>
      <c r="C172" s="23" t="n"/>
      <c r="D172" s="24" t="n"/>
      <c r="E172" s="24" t="n"/>
      <c r="F172" s="23" t="n"/>
      <c r="G172" s="19">
        <f>IFERROR(IF(OR($B172="",$C172=""),"",IF(MATCH($C172,'Ajustes'!$A$5:$A$8,0)&lt;=2,$D172*INDEX('Ajustes'!$C$5:$C$6,MATCH($C172,'Ajustes'!$A$5:$A$8,0)),IF(MATCH($C172,'Ajustes'!$A$5:$A$8,0)=3,-($D172+$E172*INDEX('Equipo'!$B$5:$B$29,MATCH($B172,'Equipo'!$A$5:$A$29,0))),0))),"")</f>
        <v/>
      </c>
      <c r="H172" s="25">
        <f>IFERROR(IF(OR($B172="",$C172=""),"",IF(MATCH($C172,'Ajustes'!$A$5:$A$8,0)=4,$D172/INDEX('Equipo'!$B$5:$B$29,MATCH($B172,'Equipo'!$A$5:$A$29,0))+$E172,0)),"")</f>
        <v/>
      </c>
      <c r="I172" s="26">
        <f>IF($B172='Perfil'!$B$3,COUNTIF($B$4:$B172,'Perfil'!$B$3),"")</f>
        <v/>
      </c>
    </row>
    <row r="173">
      <c r="A173" s="22" t="n"/>
      <c r="B173" s="23" t="n"/>
      <c r="C173" s="23" t="n"/>
      <c r="D173" s="24" t="n"/>
      <c r="E173" s="24" t="n"/>
      <c r="F173" s="23" t="n"/>
      <c r="G173" s="19">
        <f>IFERROR(IF(OR($B173="",$C173=""),"",IF(MATCH($C173,'Ajustes'!$A$5:$A$8,0)&lt;=2,$D173*INDEX('Ajustes'!$C$5:$C$6,MATCH($C173,'Ajustes'!$A$5:$A$8,0)),IF(MATCH($C173,'Ajustes'!$A$5:$A$8,0)=3,-($D173+$E173*INDEX('Equipo'!$B$5:$B$29,MATCH($B173,'Equipo'!$A$5:$A$29,0))),0))),"")</f>
        <v/>
      </c>
      <c r="H173" s="25">
        <f>IFERROR(IF(OR($B173="",$C173=""),"",IF(MATCH($C173,'Ajustes'!$A$5:$A$8,0)=4,$D173/INDEX('Equipo'!$B$5:$B$29,MATCH($B173,'Equipo'!$A$5:$A$29,0))+$E173,0)),"")</f>
        <v/>
      </c>
      <c r="I173" s="26">
        <f>IF($B173='Perfil'!$B$3,COUNTIF($B$4:$B173,'Perfil'!$B$3),"")</f>
        <v/>
      </c>
    </row>
    <row r="174">
      <c r="A174" s="22" t="n"/>
      <c r="B174" s="23" t="n"/>
      <c r="C174" s="23" t="n"/>
      <c r="D174" s="24" t="n"/>
      <c r="E174" s="24" t="n"/>
      <c r="F174" s="23" t="n"/>
      <c r="G174" s="19">
        <f>IFERROR(IF(OR($B174="",$C174=""),"",IF(MATCH($C174,'Ajustes'!$A$5:$A$8,0)&lt;=2,$D174*INDEX('Ajustes'!$C$5:$C$6,MATCH($C174,'Ajustes'!$A$5:$A$8,0)),IF(MATCH($C174,'Ajustes'!$A$5:$A$8,0)=3,-($D174+$E174*INDEX('Equipo'!$B$5:$B$29,MATCH($B174,'Equipo'!$A$5:$A$29,0))),0))),"")</f>
        <v/>
      </c>
      <c r="H174" s="25">
        <f>IFERROR(IF(OR($B174="",$C174=""),"",IF(MATCH($C174,'Ajustes'!$A$5:$A$8,0)=4,$D174/INDEX('Equipo'!$B$5:$B$29,MATCH($B174,'Equipo'!$A$5:$A$29,0))+$E174,0)),"")</f>
        <v/>
      </c>
      <c r="I174" s="26">
        <f>IF($B174='Perfil'!$B$3,COUNTIF($B$4:$B174,'Perfil'!$B$3),"")</f>
        <v/>
      </c>
    </row>
    <row r="175">
      <c r="A175" s="22" t="n"/>
      <c r="B175" s="23" t="n"/>
      <c r="C175" s="23" t="n"/>
      <c r="D175" s="24" t="n"/>
      <c r="E175" s="24" t="n"/>
      <c r="F175" s="23" t="n"/>
      <c r="G175" s="19">
        <f>IFERROR(IF(OR($B175="",$C175=""),"",IF(MATCH($C175,'Ajustes'!$A$5:$A$8,0)&lt;=2,$D175*INDEX('Ajustes'!$C$5:$C$6,MATCH($C175,'Ajustes'!$A$5:$A$8,0)),IF(MATCH($C175,'Ajustes'!$A$5:$A$8,0)=3,-($D175+$E175*INDEX('Equipo'!$B$5:$B$29,MATCH($B175,'Equipo'!$A$5:$A$29,0))),0))),"")</f>
        <v/>
      </c>
      <c r="H175" s="25">
        <f>IFERROR(IF(OR($B175="",$C175=""),"",IF(MATCH($C175,'Ajustes'!$A$5:$A$8,0)=4,$D175/INDEX('Equipo'!$B$5:$B$29,MATCH($B175,'Equipo'!$A$5:$A$29,0))+$E175,0)),"")</f>
        <v/>
      </c>
      <c r="I175" s="26">
        <f>IF($B175='Perfil'!$B$3,COUNTIF($B$4:$B175,'Perfil'!$B$3),"")</f>
        <v/>
      </c>
    </row>
    <row r="176">
      <c r="A176" s="22" t="n"/>
      <c r="B176" s="23" t="n"/>
      <c r="C176" s="23" t="n"/>
      <c r="D176" s="24" t="n"/>
      <c r="E176" s="24" t="n"/>
      <c r="F176" s="23" t="n"/>
      <c r="G176" s="19">
        <f>IFERROR(IF(OR($B176="",$C176=""),"",IF(MATCH($C176,'Ajustes'!$A$5:$A$8,0)&lt;=2,$D176*INDEX('Ajustes'!$C$5:$C$6,MATCH($C176,'Ajustes'!$A$5:$A$8,0)),IF(MATCH($C176,'Ajustes'!$A$5:$A$8,0)=3,-($D176+$E176*INDEX('Equipo'!$B$5:$B$29,MATCH($B176,'Equipo'!$A$5:$A$29,0))),0))),"")</f>
        <v/>
      </c>
      <c r="H176" s="25">
        <f>IFERROR(IF(OR($B176="",$C176=""),"",IF(MATCH($C176,'Ajustes'!$A$5:$A$8,0)=4,$D176/INDEX('Equipo'!$B$5:$B$29,MATCH($B176,'Equipo'!$A$5:$A$29,0))+$E176,0)),"")</f>
        <v/>
      </c>
      <c r="I176" s="26">
        <f>IF($B176='Perfil'!$B$3,COUNTIF($B$4:$B176,'Perfil'!$B$3),"")</f>
        <v/>
      </c>
    </row>
    <row r="177">
      <c r="A177" s="22" t="n"/>
      <c r="B177" s="23" t="n"/>
      <c r="C177" s="23" t="n"/>
      <c r="D177" s="24" t="n"/>
      <c r="E177" s="24" t="n"/>
      <c r="F177" s="23" t="n"/>
      <c r="G177" s="19">
        <f>IFERROR(IF(OR($B177="",$C177=""),"",IF(MATCH($C177,'Ajustes'!$A$5:$A$8,0)&lt;=2,$D177*INDEX('Ajustes'!$C$5:$C$6,MATCH($C177,'Ajustes'!$A$5:$A$8,0)),IF(MATCH($C177,'Ajustes'!$A$5:$A$8,0)=3,-($D177+$E177*INDEX('Equipo'!$B$5:$B$29,MATCH($B177,'Equipo'!$A$5:$A$29,0))),0))),"")</f>
        <v/>
      </c>
      <c r="H177" s="25">
        <f>IFERROR(IF(OR($B177="",$C177=""),"",IF(MATCH($C177,'Ajustes'!$A$5:$A$8,0)=4,$D177/INDEX('Equipo'!$B$5:$B$29,MATCH($B177,'Equipo'!$A$5:$A$29,0))+$E177,0)),"")</f>
        <v/>
      </c>
      <c r="I177" s="26">
        <f>IF($B177='Perfil'!$B$3,COUNTIF($B$4:$B177,'Perfil'!$B$3),"")</f>
        <v/>
      </c>
    </row>
    <row r="178">
      <c r="A178" s="22" t="n"/>
      <c r="B178" s="23" t="n"/>
      <c r="C178" s="23" t="n"/>
      <c r="D178" s="24" t="n"/>
      <c r="E178" s="24" t="n"/>
      <c r="F178" s="23" t="n"/>
      <c r="G178" s="19">
        <f>IFERROR(IF(OR($B178="",$C178=""),"",IF(MATCH($C178,'Ajustes'!$A$5:$A$8,0)&lt;=2,$D178*INDEX('Ajustes'!$C$5:$C$6,MATCH($C178,'Ajustes'!$A$5:$A$8,0)),IF(MATCH($C178,'Ajustes'!$A$5:$A$8,0)=3,-($D178+$E178*INDEX('Equipo'!$B$5:$B$29,MATCH($B178,'Equipo'!$A$5:$A$29,0))),0))),"")</f>
        <v/>
      </c>
      <c r="H178" s="25">
        <f>IFERROR(IF(OR($B178="",$C178=""),"",IF(MATCH($C178,'Ajustes'!$A$5:$A$8,0)=4,$D178/INDEX('Equipo'!$B$5:$B$29,MATCH($B178,'Equipo'!$A$5:$A$29,0))+$E178,0)),"")</f>
        <v/>
      </c>
      <c r="I178" s="26">
        <f>IF($B178='Perfil'!$B$3,COUNTIF($B$4:$B178,'Perfil'!$B$3),"")</f>
        <v/>
      </c>
    </row>
    <row r="179">
      <c r="A179" s="22" t="n"/>
      <c r="B179" s="23" t="n"/>
      <c r="C179" s="23" t="n"/>
      <c r="D179" s="24" t="n"/>
      <c r="E179" s="24" t="n"/>
      <c r="F179" s="23" t="n"/>
      <c r="G179" s="19">
        <f>IFERROR(IF(OR($B179="",$C179=""),"",IF(MATCH($C179,'Ajustes'!$A$5:$A$8,0)&lt;=2,$D179*INDEX('Ajustes'!$C$5:$C$6,MATCH($C179,'Ajustes'!$A$5:$A$8,0)),IF(MATCH($C179,'Ajustes'!$A$5:$A$8,0)=3,-($D179+$E179*INDEX('Equipo'!$B$5:$B$29,MATCH($B179,'Equipo'!$A$5:$A$29,0))),0))),"")</f>
        <v/>
      </c>
      <c r="H179" s="25">
        <f>IFERROR(IF(OR($B179="",$C179=""),"",IF(MATCH($C179,'Ajustes'!$A$5:$A$8,0)=4,$D179/INDEX('Equipo'!$B$5:$B$29,MATCH($B179,'Equipo'!$A$5:$A$29,0))+$E179,0)),"")</f>
        <v/>
      </c>
      <c r="I179" s="26">
        <f>IF($B179='Perfil'!$B$3,COUNTIF($B$4:$B179,'Perfil'!$B$3),"")</f>
        <v/>
      </c>
    </row>
    <row r="180">
      <c r="A180" s="22" t="n"/>
      <c r="B180" s="23" t="n"/>
      <c r="C180" s="23" t="n"/>
      <c r="D180" s="24" t="n"/>
      <c r="E180" s="24" t="n"/>
      <c r="F180" s="23" t="n"/>
      <c r="G180" s="19">
        <f>IFERROR(IF(OR($B180="",$C180=""),"",IF(MATCH($C180,'Ajustes'!$A$5:$A$8,0)&lt;=2,$D180*INDEX('Ajustes'!$C$5:$C$6,MATCH($C180,'Ajustes'!$A$5:$A$8,0)),IF(MATCH($C180,'Ajustes'!$A$5:$A$8,0)=3,-($D180+$E180*INDEX('Equipo'!$B$5:$B$29,MATCH($B180,'Equipo'!$A$5:$A$29,0))),0))),"")</f>
        <v/>
      </c>
      <c r="H180" s="25">
        <f>IFERROR(IF(OR($B180="",$C180=""),"",IF(MATCH($C180,'Ajustes'!$A$5:$A$8,0)=4,$D180/INDEX('Equipo'!$B$5:$B$29,MATCH($B180,'Equipo'!$A$5:$A$29,0))+$E180,0)),"")</f>
        <v/>
      </c>
      <c r="I180" s="26">
        <f>IF($B180='Perfil'!$B$3,COUNTIF($B$4:$B180,'Perfil'!$B$3),"")</f>
        <v/>
      </c>
    </row>
    <row r="181">
      <c r="A181" s="22" t="n"/>
      <c r="B181" s="23" t="n"/>
      <c r="C181" s="23" t="n"/>
      <c r="D181" s="24" t="n"/>
      <c r="E181" s="24" t="n"/>
      <c r="F181" s="23" t="n"/>
      <c r="G181" s="19">
        <f>IFERROR(IF(OR($B181="",$C181=""),"",IF(MATCH($C181,'Ajustes'!$A$5:$A$8,0)&lt;=2,$D181*INDEX('Ajustes'!$C$5:$C$6,MATCH($C181,'Ajustes'!$A$5:$A$8,0)),IF(MATCH($C181,'Ajustes'!$A$5:$A$8,0)=3,-($D181+$E181*INDEX('Equipo'!$B$5:$B$29,MATCH($B181,'Equipo'!$A$5:$A$29,0))),0))),"")</f>
        <v/>
      </c>
      <c r="H181" s="25">
        <f>IFERROR(IF(OR($B181="",$C181=""),"",IF(MATCH($C181,'Ajustes'!$A$5:$A$8,0)=4,$D181/INDEX('Equipo'!$B$5:$B$29,MATCH($B181,'Equipo'!$A$5:$A$29,0))+$E181,0)),"")</f>
        <v/>
      </c>
      <c r="I181" s="26">
        <f>IF($B181='Perfil'!$B$3,COUNTIF($B$4:$B181,'Perfil'!$B$3),"")</f>
        <v/>
      </c>
    </row>
    <row r="182">
      <c r="A182" s="22" t="n"/>
      <c r="B182" s="23" t="n"/>
      <c r="C182" s="23" t="n"/>
      <c r="D182" s="24" t="n"/>
      <c r="E182" s="24" t="n"/>
      <c r="F182" s="23" t="n"/>
      <c r="G182" s="19">
        <f>IFERROR(IF(OR($B182="",$C182=""),"",IF(MATCH($C182,'Ajustes'!$A$5:$A$8,0)&lt;=2,$D182*INDEX('Ajustes'!$C$5:$C$6,MATCH($C182,'Ajustes'!$A$5:$A$8,0)),IF(MATCH($C182,'Ajustes'!$A$5:$A$8,0)=3,-($D182+$E182*INDEX('Equipo'!$B$5:$B$29,MATCH($B182,'Equipo'!$A$5:$A$29,0))),0))),"")</f>
        <v/>
      </c>
      <c r="H182" s="25">
        <f>IFERROR(IF(OR($B182="",$C182=""),"",IF(MATCH($C182,'Ajustes'!$A$5:$A$8,0)=4,$D182/INDEX('Equipo'!$B$5:$B$29,MATCH($B182,'Equipo'!$A$5:$A$29,0))+$E182,0)),"")</f>
        <v/>
      </c>
      <c r="I182" s="26">
        <f>IF($B182='Perfil'!$B$3,COUNTIF($B$4:$B182,'Perfil'!$B$3),"")</f>
        <v/>
      </c>
    </row>
    <row r="183">
      <c r="A183" s="22" t="n"/>
      <c r="B183" s="23" t="n"/>
      <c r="C183" s="23" t="n"/>
      <c r="D183" s="24" t="n"/>
      <c r="E183" s="24" t="n"/>
      <c r="F183" s="23" t="n"/>
      <c r="G183" s="19">
        <f>IFERROR(IF(OR($B183="",$C183=""),"",IF(MATCH($C183,'Ajustes'!$A$5:$A$8,0)&lt;=2,$D183*INDEX('Ajustes'!$C$5:$C$6,MATCH($C183,'Ajustes'!$A$5:$A$8,0)),IF(MATCH($C183,'Ajustes'!$A$5:$A$8,0)=3,-($D183+$E183*INDEX('Equipo'!$B$5:$B$29,MATCH($B183,'Equipo'!$A$5:$A$29,0))),0))),"")</f>
        <v/>
      </c>
      <c r="H183" s="25">
        <f>IFERROR(IF(OR($B183="",$C183=""),"",IF(MATCH($C183,'Ajustes'!$A$5:$A$8,0)=4,$D183/INDEX('Equipo'!$B$5:$B$29,MATCH($B183,'Equipo'!$A$5:$A$29,0))+$E183,0)),"")</f>
        <v/>
      </c>
      <c r="I183" s="26">
        <f>IF($B183='Perfil'!$B$3,COUNTIF($B$4:$B183,'Perfil'!$B$3),"")</f>
        <v/>
      </c>
    </row>
    <row r="184">
      <c r="A184" s="22" t="n"/>
      <c r="B184" s="23" t="n"/>
      <c r="C184" s="23" t="n"/>
      <c r="D184" s="24" t="n"/>
      <c r="E184" s="24" t="n"/>
      <c r="F184" s="23" t="n"/>
      <c r="G184" s="19">
        <f>IFERROR(IF(OR($B184="",$C184=""),"",IF(MATCH($C184,'Ajustes'!$A$5:$A$8,0)&lt;=2,$D184*INDEX('Ajustes'!$C$5:$C$6,MATCH($C184,'Ajustes'!$A$5:$A$8,0)),IF(MATCH($C184,'Ajustes'!$A$5:$A$8,0)=3,-($D184+$E184*INDEX('Equipo'!$B$5:$B$29,MATCH($B184,'Equipo'!$A$5:$A$29,0))),0))),"")</f>
        <v/>
      </c>
      <c r="H184" s="25">
        <f>IFERROR(IF(OR($B184="",$C184=""),"",IF(MATCH($C184,'Ajustes'!$A$5:$A$8,0)=4,$D184/INDEX('Equipo'!$B$5:$B$29,MATCH($B184,'Equipo'!$A$5:$A$29,0))+$E184,0)),"")</f>
        <v/>
      </c>
      <c r="I184" s="26">
        <f>IF($B184='Perfil'!$B$3,COUNTIF($B$4:$B184,'Perfil'!$B$3),"")</f>
        <v/>
      </c>
    </row>
    <row r="185">
      <c r="A185" s="22" t="n"/>
      <c r="B185" s="23" t="n"/>
      <c r="C185" s="23" t="n"/>
      <c r="D185" s="24" t="n"/>
      <c r="E185" s="24" t="n"/>
      <c r="F185" s="23" t="n"/>
      <c r="G185" s="19">
        <f>IFERROR(IF(OR($B185="",$C185=""),"",IF(MATCH($C185,'Ajustes'!$A$5:$A$8,0)&lt;=2,$D185*INDEX('Ajustes'!$C$5:$C$6,MATCH($C185,'Ajustes'!$A$5:$A$8,0)),IF(MATCH($C185,'Ajustes'!$A$5:$A$8,0)=3,-($D185+$E185*INDEX('Equipo'!$B$5:$B$29,MATCH($B185,'Equipo'!$A$5:$A$29,0))),0))),"")</f>
        <v/>
      </c>
      <c r="H185" s="25">
        <f>IFERROR(IF(OR($B185="",$C185=""),"",IF(MATCH($C185,'Ajustes'!$A$5:$A$8,0)=4,$D185/INDEX('Equipo'!$B$5:$B$29,MATCH($B185,'Equipo'!$A$5:$A$29,0))+$E185,0)),"")</f>
        <v/>
      </c>
      <c r="I185" s="26">
        <f>IF($B185='Perfil'!$B$3,COUNTIF($B$4:$B185,'Perfil'!$B$3),"")</f>
        <v/>
      </c>
    </row>
    <row r="186">
      <c r="A186" s="22" t="n"/>
      <c r="B186" s="23" t="n"/>
      <c r="C186" s="23" t="n"/>
      <c r="D186" s="24" t="n"/>
      <c r="E186" s="24" t="n"/>
      <c r="F186" s="23" t="n"/>
      <c r="G186" s="19">
        <f>IFERROR(IF(OR($B186="",$C186=""),"",IF(MATCH($C186,'Ajustes'!$A$5:$A$8,0)&lt;=2,$D186*INDEX('Ajustes'!$C$5:$C$6,MATCH($C186,'Ajustes'!$A$5:$A$8,0)),IF(MATCH($C186,'Ajustes'!$A$5:$A$8,0)=3,-($D186+$E186*INDEX('Equipo'!$B$5:$B$29,MATCH($B186,'Equipo'!$A$5:$A$29,0))),0))),"")</f>
        <v/>
      </c>
      <c r="H186" s="25">
        <f>IFERROR(IF(OR($B186="",$C186=""),"",IF(MATCH($C186,'Ajustes'!$A$5:$A$8,0)=4,$D186/INDEX('Equipo'!$B$5:$B$29,MATCH($B186,'Equipo'!$A$5:$A$29,0))+$E186,0)),"")</f>
        <v/>
      </c>
      <c r="I186" s="26">
        <f>IF($B186='Perfil'!$B$3,COUNTIF($B$4:$B186,'Perfil'!$B$3),"")</f>
        <v/>
      </c>
    </row>
    <row r="187">
      <c r="A187" s="22" t="n"/>
      <c r="B187" s="23" t="n"/>
      <c r="C187" s="23" t="n"/>
      <c r="D187" s="24" t="n"/>
      <c r="E187" s="24" t="n"/>
      <c r="F187" s="23" t="n"/>
      <c r="G187" s="19">
        <f>IFERROR(IF(OR($B187="",$C187=""),"",IF(MATCH($C187,'Ajustes'!$A$5:$A$8,0)&lt;=2,$D187*INDEX('Ajustes'!$C$5:$C$6,MATCH($C187,'Ajustes'!$A$5:$A$8,0)),IF(MATCH($C187,'Ajustes'!$A$5:$A$8,0)=3,-($D187+$E187*INDEX('Equipo'!$B$5:$B$29,MATCH($B187,'Equipo'!$A$5:$A$29,0))),0))),"")</f>
        <v/>
      </c>
      <c r="H187" s="25">
        <f>IFERROR(IF(OR($B187="",$C187=""),"",IF(MATCH($C187,'Ajustes'!$A$5:$A$8,0)=4,$D187/INDEX('Equipo'!$B$5:$B$29,MATCH($B187,'Equipo'!$A$5:$A$29,0))+$E187,0)),"")</f>
        <v/>
      </c>
      <c r="I187" s="26">
        <f>IF($B187='Perfil'!$B$3,COUNTIF($B$4:$B187,'Perfil'!$B$3),"")</f>
        <v/>
      </c>
    </row>
    <row r="188">
      <c r="A188" s="22" t="n"/>
      <c r="B188" s="23" t="n"/>
      <c r="C188" s="23" t="n"/>
      <c r="D188" s="24" t="n"/>
      <c r="E188" s="24" t="n"/>
      <c r="F188" s="23" t="n"/>
      <c r="G188" s="19">
        <f>IFERROR(IF(OR($B188="",$C188=""),"",IF(MATCH($C188,'Ajustes'!$A$5:$A$8,0)&lt;=2,$D188*INDEX('Ajustes'!$C$5:$C$6,MATCH($C188,'Ajustes'!$A$5:$A$8,0)),IF(MATCH($C188,'Ajustes'!$A$5:$A$8,0)=3,-($D188+$E188*INDEX('Equipo'!$B$5:$B$29,MATCH($B188,'Equipo'!$A$5:$A$29,0))),0))),"")</f>
        <v/>
      </c>
      <c r="H188" s="25">
        <f>IFERROR(IF(OR($B188="",$C188=""),"",IF(MATCH($C188,'Ajustes'!$A$5:$A$8,0)=4,$D188/INDEX('Equipo'!$B$5:$B$29,MATCH($B188,'Equipo'!$A$5:$A$29,0))+$E188,0)),"")</f>
        <v/>
      </c>
      <c r="I188" s="26">
        <f>IF($B188='Perfil'!$B$3,COUNTIF($B$4:$B188,'Perfil'!$B$3),"")</f>
        <v/>
      </c>
    </row>
    <row r="189">
      <c r="A189" s="22" t="n"/>
      <c r="B189" s="23" t="n"/>
      <c r="C189" s="23" t="n"/>
      <c r="D189" s="24" t="n"/>
      <c r="E189" s="24" t="n"/>
      <c r="F189" s="23" t="n"/>
      <c r="G189" s="19">
        <f>IFERROR(IF(OR($B189="",$C189=""),"",IF(MATCH($C189,'Ajustes'!$A$5:$A$8,0)&lt;=2,$D189*INDEX('Ajustes'!$C$5:$C$6,MATCH($C189,'Ajustes'!$A$5:$A$8,0)),IF(MATCH($C189,'Ajustes'!$A$5:$A$8,0)=3,-($D189+$E189*INDEX('Equipo'!$B$5:$B$29,MATCH($B189,'Equipo'!$A$5:$A$29,0))),0))),"")</f>
        <v/>
      </c>
      <c r="H189" s="25">
        <f>IFERROR(IF(OR($B189="",$C189=""),"",IF(MATCH($C189,'Ajustes'!$A$5:$A$8,0)=4,$D189/INDEX('Equipo'!$B$5:$B$29,MATCH($B189,'Equipo'!$A$5:$A$29,0))+$E189,0)),"")</f>
        <v/>
      </c>
      <c r="I189" s="26">
        <f>IF($B189='Perfil'!$B$3,COUNTIF($B$4:$B189,'Perfil'!$B$3),"")</f>
        <v/>
      </c>
    </row>
    <row r="190">
      <c r="A190" s="22" t="n"/>
      <c r="B190" s="23" t="n"/>
      <c r="C190" s="23" t="n"/>
      <c r="D190" s="24" t="n"/>
      <c r="E190" s="24" t="n"/>
      <c r="F190" s="23" t="n"/>
      <c r="G190" s="19">
        <f>IFERROR(IF(OR($B190="",$C190=""),"",IF(MATCH($C190,'Ajustes'!$A$5:$A$8,0)&lt;=2,$D190*INDEX('Ajustes'!$C$5:$C$6,MATCH($C190,'Ajustes'!$A$5:$A$8,0)),IF(MATCH($C190,'Ajustes'!$A$5:$A$8,0)=3,-($D190+$E190*INDEX('Equipo'!$B$5:$B$29,MATCH($B190,'Equipo'!$A$5:$A$29,0))),0))),"")</f>
        <v/>
      </c>
      <c r="H190" s="25">
        <f>IFERROR(IF(OR($B190="",$C190=""),"",IF(MATCH($C190,'Ajustes'!$A$5:$A$8,0)=4,$D190/INDEX('Equipo'!$B$5:$B$29,MATCH($B190,'Equipo'!$A$5:$A$29,0))+$E190,0)),"")</f>
        <v/>
      </c>
      <c r="I190" s="26">
        <f>IF($B190='Perfil'!$B$3,COUNTIF($B$4:$B190,'Perfil'!$B$3),"")</f>
        <v/>
      </c>
    </row>
    <row r="191">
      <c r="A191" s="22" t="n"/>
      <c r="B191" s="23" t="n"/>
      <c r="C191" s="23" t="n"/>
      <c r="D191" s="24" t="n"/>
      <c r="E191" s="24" t="n"/>
      <c r="F191" s="23" t="n"/>
      <c r="G191" s="19">
        <f>IFERROR(IF(OR($B191="",$C191=""),"",IF(MATCH($C191,'Ajustes'!$A$5:$A$8,0)&lt;=2,$D191*INDEX('Ajustes'!$C$5:$C$6,MATCH($C191,'Ajustes'!$A$5:$A$8,0)),IF(MATCH($C191,'Ajustes'!$A$5:$A$8,0)=3,-($D191+$E191*INDEX('Equipo'!$B$5:$B$29,MATCH($B191,'Equipo'!$A$5:$A$29,0))),0))),"")</f>
        <v/>
      </c>
      <c r="H191" s="25">
        <f>IFERROR(IF(OR($B191="",$C191=""),"",IF(MATCH($C191,'Ajustes'!$A$5:$A$8,0)=4,$D191/INDEX('Equipo'!$B$5:$B$29,MATCH($B191,'Equipo'!$A$5:$A$29,0))+$E191,0)),"")</f>
        <v/>
      </c>
      <c r="I191" s="26">
        <f>IF($B191='Perfil'!$B$3,COUNTIF($B$4:$B191,'Perfil'!$B$3),"")</f>
        <v/>
      </c>
    </row>
    <row r="192">
      <c r="A192" s="22" t="n"/>
      <c r="B192" s="23" t="n"/>
      <c r="C192" s="23" t="n"/>
      <c r="D192" s="24" t="n"/>
      <c r="E192" s="24" t="n"/>
      <c r="F192" s="23" t="n"/>
      <c r="G192" s="19">
        <f>IFERROR(IF(OR($B192="",$C192=""),"",IF(MATCH($C192,'Ajustes'!$A$5:$A$8,0)&lt;=2,$D192*INDEX('Ajustes'!$C$5:$C$6,MATCH($C192,'Ajustes'!$A$5:$A$8,0)),IF(MATCH($C192,'Ajustes'!$A$5:$A$8,0)=3,-($D192+$E192*INDEX('Equipo'!$B$5:$B$29,MATCH($B192,'Equipo'!$A$5:$A$29,0))),0))),"")</f>
        <v/>
      </c>
      <c r="H192" s="25">
        <f>IFERROR(IF(OR($B192="",$C192=""),"",IF(MATCH($C192,'Ajustes'!$A$5:$A$8,0)=4,$D192/INDEX('Equipo'!$B$5:$B$29,MATCH($B192,'Equipo'!$A$5:$A$29,0))+$E192,0)),"")</f>
        <v/>
      </c>
      <c r="I192" s="26">
        <f>IF($B192='Perfil'!$B$3,COUNTIF($B$4:$B192,'Perfil'!$B$3),"")</f>
        <v/>
      </c>
    </row>
    <row r="193">
      <c r="A193" s="22" t="n"/>
      <c r="B193" s="23" t="n"/>
      <c r="C193" s="23" t="n"/>
      <c r="D193" s="24" t="n"/>
      <c r="E193" s="24" t="n"/>
      <c r="F193" s="23" t="n"/>
      <c r="G193" s="19">
        <f>IFERROR(IF(OR($B193="",$C193=""),"",IF(MATCH($C193,'Ajustes'!$A$5:$A$8,0)&lt;=2,$D193*INDEX('Ajustes'!$C$5:$C$6,MATCH($C193,'Ajustes'!$A$5:$A$8,0)),IF(MATCH($C193,'Ajustes'!$A$5:$A$8,0)=3,-($D193+$E193*INDEX('Equipo'!$B$5:$B$29,MATCH($B193,'Equipo'!$A$5:$A$29,0))),0))),"")</f>
        <v/>
      </c>
      <c r="H193" s="25">
        <f>IFERROR(IF(OR($B193="",$C193=""),"",IF(MATCH($C193,'Ajustes'!$A$5:$A$8,0)=4,$D193/INDEX('Equipo'!$B$5:$B$29,MATCH($B193,'Equipo'!$A$5:$A$29,0))+$E193,0)),"")</f>
        <v/>
      </c>
      <c r="I193" s="26">
        <f>IF($B193='Perfil'!$B$3,COUNTIF($B$4:$B193,'Perfil'!$B$3),"")</f>
        <v/>
      </c>
    </row>
    <row r="194">
      <c r="A194" s="22" t="n"/>
      <c r="B194" s="23" t="n"/>
      <c r="C194" s="23" t="n"/>
      <c r="D194" s="24" t="n"/>
      <c r="E194" s="24" t="n"/>
      <c r="F194" s="23" t="n"/>
      <c r="G194" s="19">
        <f>IFERROR(IF(OR($B194="",$C194=""),"",IF(MATCH($C194,'Ajustes'!$A$5:$A$8,0)&lt;=2,$D194*INDEX('Ajustes'!$C$5:$C$6,MATCH($C194,'Ajustes'!$A$5:$A$8,0)),IF(MATCH($C194,'Ajustes'!$A$5:$A$8,0)=3,-($D194+$E194*INDEX('Equipo'!$B$5:$B$29,MATCH($B194,'Equipo'!$A$5:$A$29,0))),0))),"")</f>
        <v/>
      </c>
      <c r="H194" s="25">
        <f>IFERROR(IF(OR($B194="",$C194=""),"",IF(MATCH($C194,'Ajustes'!$A$5:$A$8,0)=4,$D194/INDEX('Equipo'!$B$5:$B$29,MATCH($B194,'Equipo'!$A$5:$A$29,0))+$E194,0)),"")</f>
        <v/>
      </c>
      <c r="I194" s="26">
        <f>IF($B194='Perfil'!$B$3,COUNTIF($B$4:$B194,'Perfil'!$B$3),"")</f>
        <v/>
      </c>
    </row>
    <row r="195">
      <c r="A195" s="22" t="n"/>
      <c r="B195" s="23" t="n"/>
      <c r="C195" s="23" t="n"/>
      <c r="D195" s="24" t="n"/>
      <c r="E195" s="24" t="n"/>
      <c r="F195" s="23" t="n"/>
      <c r="G195" s="19">
        <f>IFERROR(IF(OR($B195="",$C195=""),"",IF(MATCH($C195,'Ajustes'!$A$5:$A$8,0)&lt;=2,$D195*INDEX('Ajustes'!$C$5:$C$6,MATCH($C195,'Ajustes'!$A$5:$A$8,0)),IF(MATCH($C195,'Ajustes'!$A$5:$A$8,0)=3,-($D195+$E195*INDEX('Equipo'!$B$5:$B$29,MATCH($B195,'Equipo'!$A$5:$A$29,0))),0))),"")</f>
        <v/>
      </c>
      <c r="H195" s="25">
        <f>IFERROR(IF(OR($B195="",$C195=""),"",IF(MATCH($C195,'Ajustes'!$A$5:$A$8,0)=4,$D195/INDEX('Equipo'!$B$5:$B$29,MATCH($B195,'Equipo'!$A$5:$A$29,0))+$E195,0)),"")</f>
        <v/>
      </c>
      <c r="I195" s="26">
        <f>IF($B195='Perfil'!$B$3,COUNTIF($B$4:$B195,'Perfil'!$B$3),"")</f>
        <v/>
      </c>
    </row>
    <row r="196">
      <c r="A196" s="22" t="n"/>
      <c r="B196" s="23" t="n"/>
      <c r="C196" s="23" t="n"/>
      <c r="D196" s="24" t="n"/>
      <c r="E196" s="24" t="n"/>
      <c r="F196" s="23" t="n"/>
      <c r="G196" s="19">
        <f>IFERROR(IF(OR($B196="",$C196=""),"",IF(MATCH($C196,'Ajustes'!$A$5:$A$8,0)&lt;=2,$D196*INDEX('Ajustes'!$C$5:$C$6,MATCH($C196,'Ajustes'!$A$5:$A$8,0)),IF(MATCH($C196,'Ajustes'!$A$5:$A$8,0)=3,-($D196+$E196*INDEX('Equipo'!$B$5:$B$29,MATCH($B196,'Equipo'!$A$5:$A$29,0))),0))),"")</f>
        <v/>
      </c>
      <c r="H196" s="25">
        <f>IFERROR(IF(OR($B196="",$C196=""),"",IF(MATCH($C196,'Ajustes'!$A$5:$A$8,0)=4,$D196/INDEX('Equipo'!$B$5:$B$29,MATCH($B196,'Equipo'!$A$5:$A$29,0))+$E196,0)),"")</f>
        <v/>
      </c>
      <c r="I196" s="26">
        <f>IF($B196='Perfil'!$B$3,COUNTIF($B$4:$B196,'Perfil'!$B$3),"")</f>
        <v/>
      </c>
    </row>
    <row r="197">
      <c r="A197" s="22" t="n"/>
      <c r="B197" s="23" t="n"/>
      <c r="C197" s="23" t="n"/>
      <c r="D197" s="24" t="n"/>
      <c r="E197" s="24" t="n"/>
      <c r="F197" s="23" t="n"/>
      <c r="G197" s="19">
        <f>IFERROR(IF(OR($B197="",$C197=""),"",IF(MATCH($C197,'Ajustes'!$A$5:$A$8,0)&lt;=2,$D197*INDEX('Ajustes'!$C$5:$C$6,MATCH($C197,'Ajustes'!$A$5:$A$8,0)),IF(MATCH($C197,'Ajustes'!$A$5:$A$8,0)=3,-($D197+$E197*INDEX('Equipo'!$B$5:$B$29,MATCH($B197,'Equipo'!$A$5:$A$29,0))),0))),"")</f>
        <v/>
      </c>
      <c r="H197" s="25">
        <f>IFERROR(IF(OR($B197="",$C197=""),"",IF(MATCH($C197,'Ajustes'!$A$5:$A$8,0)=4,$D197/INDEX('Equipo'!$B$5:$B$29,MATCH($B197,'Equipo'!$A$5:$A$29,0))+$E197,0)),"")</f>
        <v/>
      </c>
      <c r="I197" s="26">
        <f>IF($B197='Perfil'!$B$3,COUNTIF($B$4:$B197,'Perfil'!$B$3),"")</f>
        <v/>
      </c>
    </row>
    <row r="198">
      <c r="A198" s="22" t="n"/>
      <c r="B198" s="23" t="n"/>
      <c r="C198" s="23" t="n"/>
      <c r="D198" s="24" t="n"/>
      <c r="E198" s="24" t="n"/>
      <c r="F198" s="23" t="n"/>
      <c r="G198" s="19">
        <f>IFERROR(IF(OR($B198="",$C198=""),"",IF(MATCH($C198,'Ajustes'!$A$5:$A$8,0)&lt;=2,$D198*INDEX('Ajustes'!$C$5:$C$6,MATCH($C198,'Ajustes'!$A$5:$A$8,0)),IF(MATCH($C198,'Ajustes'!$A$5:$A$8,0)=3,-($D198+$E198*INDEX('Equipo'!$B$5:$B$29,MATCH($B198,'Equipo'!$A$5:$A$29,0))),0))),"")</f>
        <v/>
      </c>
      <c r="H198" s="25">
        <f>IFERROR(IF(OR($B198="",$C198=""),"",IF(MATCH($C198,'Ajustes'!$A$5:$A$8,0)=4,$D198/INDEX('Equipo'!$B$5:$B$29,MATCH($B198,'Equipo'!$A$5:$A$29,0))+$E198,0)),"")</f>
        <v/>
      </c>
      <c r="I198" s="26">
        <f>IF($B198='Perfil'!$B$3,COUNTIF($B$4:$B198,'Perfil'!$B$3),"")</f>
        <v/>
      </c>
    </row>
    <row r="199">
      <c r="A199" s="22" t="n"/>
      <c r="B199" s="23" t="n"/>
      <c r="C199" s="23" t="n"/>
      <c r="D199" s="24" t="n"/>
      <c r="E199" s="24" t="n"/>
      <c r="F199" s="23" t="n"/>
      <c r="G199" s="19">
        <f>IFERROR(IF(OR($B199="",$C199=""),"",IF(MATCH($C199,'Ajustes'!$A$5:$A$8,0)&lt;=2,$D199*INDEX('Ajustes'!$C$5:$C$6,MATCH($C199,'Ajustes'!$A$5:$A$8,0)),IF(MATCH($C199,'Ajustes'!$A$5:$A$8,0)=3,-($D199+$E199*INDEX('Equipo'!$B$5:$B$29,MATCH($B199,'Equipo'!$A$5:$A$29,0))),0))),"")</f>
        <v/>
      </c>
      <c r="H199" s="25">
        <f>IFERROR(IF(OR($B199="",$C199=""),"",IF(MATCH($C199,'Ajustes'!$A$5:$A$8,0)=4,$D199/INDEX('Equipo'!$B$5:$B$29,MATCH($B199,'Equipo'!$A$5:$A$29,0))+$E199,0)),"")</f>
        <v/>
      </c>
      <c r="I199" s="26">
        <f>IF($B199='Perfil'!$B$3,COUNTIF($B$4:$B199,'Perfil'!$B$3),"")</f>
        <v/>
      </c>
    </row>
    <row r="200">
      <c r="A200" s="22" t="n"/>
      <c r="B200" s="23" t="n"/>
      <c r="C200" s="23" t="n"/>
      <c r="D200" s="24" t="n"/>
      <c r="E200" s="24" t="n"/>
      <c r="F200" s="23" t="n"/>
      <c r="G200" s="19">
        <f>IFERROR(IF(OR($B200="",$C200=""),"",IF(MATCH($C200,'Ajustes'!$A$5:$A$8,0)&lt;=2,$D200*INDEX('Ajustes'!$C$5:$C$6,MATCH($C200,'Ajustes'!$A$5:$A$8,0)),IF(MATCH($C200,'Ajustes'!$A$5:$A$8,0)=3,-($D200+$E200*INDEX('Equipo'!$B$5:$B$29,MATCH($B200,'Equipo'!$A$5:$A$29,0))),0))),"")</f>
        <v/>
      </c>
      <c r="H200" s="25">
        <f>IFERROR(IF(OR($B200="",$C200=""),"",IF(MATCH($C200,'Ajustes'!$A$5:$A$8,0)=4,$D200/INDEX('Equipo'!$B$5:$B$29,MATCH($B200,'Equipo'!$A$5:$A$29,0))+$E200,0)),"")</f>
        <v/>
      </c>
      <c r="I200" s="26">
        <f>IF($B200='Perfil'!$B$3,COUNTIF($B$4:$B200,'Perfil'!$B$3),"")</f>
        <v/>
      </c>
    </row>
    <row r="201">
      <c r="A201" s="22" t="n"/>
      <c r="B201" s="23" t="n"/>
      <c r="C201" s="23" t="n"/>
      <c r="D201" s="24" t="n"/>
      <c r="E201" s="24" t="n"/>
      <c r="F201" s="23" t="n"/>
      <c r="G201" s="19">
        <f>IFERROR(IF(OR($B201="",$C201=""),"",IF(MATCH($C201,'Ajustes'!$A$5:$A$8,0)&lt;=2,$D201*INDEX('Ajustes'!$C$5:$C$6,MATCH($C201,'Ajustes'!$A$5:$A$8,0)),IF(MATCH($C201,'Ajustes'!$A$5:$A$8,0)=3,-($D201+$E201*INDEX('Equipo'!$B$5:$B$29,MATCH($B201,'Equipo'!$A$5:$A$29,0))),0))),"")</f>
        <v/>
      </c>
      <c r="H201" s="25">
        <f>IFERROR(IF(OR($B201="",$C201=""),"",IF(MATCH($C201,'Ajustes'!$A$5:$A$8,0)=4,$D201/INDEX('Equipo'!$B$5:$B$29,MATCH($B201,'Equipo'!$A$5:$A$29,0))+$E201,0)),"")</f>
        <v/>
      </c>
      <c r="I201" s="26">
        <f>IF($B201='Perfil'!$B$3,COUNTIF($B$4:$B201,'Perfil'!$B$3),"")</f>
        <v/>
      </c>
    </row>
    <row r="202">
      <c r="A202" s="22" t="n"/>
      <c r="B202" s="23" t="n"/>
      <c r="C202" s="23" t="n"/>
      <c r="D202" s="24" t="n"/>
      <c r="E202" s="24" t="n"/>
      <c r="F202" s="23" t="n"/>
      <c r="G202" s="19">
        <f>IFERROR(IF(OR($B202="",$C202=""),"",IF(MATCH($C202,'Ajustes'!$A$5:$A$8,0)&lt;=2,$D202*INDEX('Ajustes'!$C$5:$C$6,MATCH($C202,'Ajustes'!$A$5:$A$8,0)),IF(MATCH($C202,'Ajustes'!$A$5:$A$8,0)=3,-($D202+$E202*INDEX('Equipo'!$B$5:$B$29,MATCH($B202,'Equipo'!$A$5:$A$29,0))),0))),"")</f>
        <v/>
      </c>
      <c r="H202" s="25">
        <f>IFERROR(IF(OR($B202="",$C202=""),"",IF(MATCH($C202,'Ajustes'!$A$5:$A$8,0)=4,$D202/INDEX('Equipo'!$B$5:$B$29,MATCH($B202,'Equipo'!$A$5:$A$29,0))+$E202,0)),"")</f>
        <v/>
      </c>
      <c r="I202" s="26">
        <f>IF($B202='Perfil'!$B$3,COUNTIF($B$4:$B202,'Perfil'!$B$3),"")</f>
        <v/>
      </c>
    </row>
    <row r="203">
      <c r="A203" s="22" t="n"/>
      <c r="B203" s="23" t="n"/>
      <c r="C203" s="23" t="n"/>
      <c r="D203" s="24" t="n"/>
      <c r="E203" s="24" t="n"/>
      <c r="F203" s="23" t="n"/>
      <c r="G203" s="19">
        <f>IFERROR(IF(OR($B203="",$C203=""),"",IF(MATCH($C203,'Ajustes'!$A$5:$A$8,0)&lt;=2,$D203*INDEX('Ajustes'!$C$5:$C$6,MATCH($C203,'Ajustes'!$A$5:$A$8,0)),IF(MATCH($C203,'Ajustes'!$A$5:$A$8,0)=3,-($D203+$E203*INDEX('Equipo'!$B$5:$B$29,MATCH($B203,'Equipo'!$A$5:$A$29,0))),0))),"")</f>
        <v/>
      </c>
      <c r="H203" s="25">
        <f>IFERROR(IF(OR($B203="",$C203=""),"",IF(MATCH($C203,'Ajustes'!$A$5:$A$8,0)=4,$D203/INDEX('Equipo'!$B$5:$B$29,MATCH($B203,'Equipo'!$A$5:$A$29,0))+$E203,0)),"")</f>
        <v/>
      </c>
      <c r="I203" s="26">
        <f>IF($B203='Perfil'!$B$3,COUNTIF($B$4:$B203,'Perfil'!$B$3),"")</f>
        <v/>
      </c>
    </row>
    <row r="204">
      <c r="A204" s="22" t="n"/>
      <c r="B204" s="23" t="n"/>
      <c r="C204" s="23" t="n"/>
      <c r="D204" s="24" t="n"/>
      <c r="E204" s="24" t="n"/>
      <c r="F204" s="23" t="n"/>
      <c r="G204" s="19">
        <f>IFERROR(IF(OR($B204="",$C204=""),"",IF(MATCH($C204,'Ajustes'!$A$5:$A$8,0)&lt;=2,$D204*INDEX('Ajustes'!$C$5:$C$6,MATCH($C204,'Ajustes'!$A$5:$A$8,0)),IF(MATCH($C204,'Ajustes'!$A$5:$A$8,0)=3,-($D204+$E204*INDEX('Equipo'!$B$5:$B$29,MATCH($B204,'Equipo'!$A$5:$A$29,0))),0))),"")</f>
        <v/>
      </c>
      <c r="H204" s="25">
        <f>IFERROR(IF(OR($B204="",$C204=""),"",IF(MATCH($C204,'Ajustes'!$A$5:$A$8,0)=4,$D204/INDEX('Equipo'!$B$5:$B$29,MATCH($B204,'Equipo'!$A$5:$A$29,0))+$E204,0)),"")</f>
        <v/>
      </c>
      <c r="I204" s="26">
        <f>IF($B204='Perfil'!$B$3,COUNTIF($B$4:$B204,'Perfil'!$B$3),"")</f>
        <v/>
      </c>
    </row>
    <row r="205">
      <c r="A205" s="22" t="n"/>
      <c r="B205" s="23" t="n"/>
      <c r="C205" s="23" t="n"/>
      <c r="D205" s="24" t="n"/>
      <c r="E205" s="24" t="n"/>
      <c r="F205" s="23" t="n"/>
      <c r="G205" s="19">
        <f>IFERROR(IF(OR($B205="",$C205=""),"",IF(MATCH($C205,'Ajustes'!$A$5:$A$8,0)&lt;=2,$D205*INDEX('Ajustes'!$C$5:$C$6,MATCH($C205,'Ajustes'!$A$5:$A$8,0)),IF(MATCH($C205,'Ajustes'!$A$5:$A$8,0)=3,-($D205+$E205*INDEX('Equipo'!$B$5:$B$29,MATCH($B205,'Equipo'!$A$5:$A$29,0))),0))),"")</f>
        <v/>
      </c>
      <c r="H205" s="25">
        <f>IFERROR(IF(OR($B205="",$C205=""),"",IF(MATCH($C205,'Ajustes'!$A$5:$A$8,0)=4,$D205/INDEX('Equipo'!$B$5:$B$29,MATCH($B205,'Equipo'!$A$5:$A$29,0))+$E205,0)),"")</f>
        <v/>
      </c>
      <c r="I205" s="26">
        <f>IF($B205='Perfil'!$B$3,COUNTIF($B$4:$B205,'Perfil'!$B$3),"")</f>
        <v/>
      </c>
    </row>
    <row r="206">
      <c r="A206" s="22" t="n"/>
      <c r="B206" s="23" t="n"/>
      <c r="C206" s="23" t="n"/>
      <c r="D206" s="24" t="n"/>
      <c r="E206" s="24" t="n"/>
      <c r="F206" s="23" t="n"/>
      <c r="G206" s="19">
        <f>IFERROR(IF(OR($B206="",$C206=""),"",IF(MATCH($C206,'Ajustes'!$A$5:$A$8,0)&lt;=2,$D206*INDEX('Ajustes'!$C$5:$C$6,MATCH($C206,'Ajustes'!$A$5:$A$8,0)),IF(MATCH($C206,'Ajustes'!$A$5:$A$8,0)=3,-($D206+$E206*INDEX('Equipo'!$B$5:$B$29,MATCH($B206,'Equipo'!$A$5:$A$29,0))),0))),"")</f>
        <v/>
      </c>
      <c r="H206" s="25">
        <f>IFERROR(IF(OR($B206="",$C206=""),"",IF(MATCH($C206,'Ajustes'!$A$5:$A$8,0)=4,$D206/INDEX('Equipo'!$B$5:$B$29,MATCH($B206,'Equipo'!$A$5:$A$29,0))+$E206,0)),"")</f>
        <v/>
      </c>
      <c r="I206" s="26">
        <f>IF($B206='Perfil'!$B$3,COUNTIF($B$4:$B206,'Perfil'!$B$3),"")</f>
        <v/>
      </c>
    </row>
    <row r="207">
      <c r="A207" s="22" t="n"/>
      <c r="B207" s="23" t="n"/>
      <c r="C207" s="23" t="n"/>
      <c r="D207" s="24" t="n"/>
      <c r="E207" s="24" t="n"/>
      <c r="F207" s="23" t="n"/>
      <c r="G207" s="19">
        <f>IFERROR(IF(OR($B207="",$C207=""),"",IF(MATCH($C207,'Ajustes'!$A$5:$A$8,0)&lt;=2,$D207*INDEX('Ajustes'!$C$5:$C$6,MATCH($C207,'Ajustes'!$A$5:$A$8,0)),IF(MATCH($C207,'Ajustes'!$A$5:$A$8,0)=3,-($D207+$E207*INDEX('Equipo'!$B$5:$B$29,MATCH($B207,'Equipo'!$A$5:$A$29,0))),0))),"")</f>
        <v/>
      </c>
      <c r="H207" s="25">
        <f>IFERROR(IF(OR($B207="",$C207=""),"",IF(MATCH($C207,'Ajustes'!$A$5:$A$8,0)=4,$D207/INDEX('Equipo'!$B$5:$B$29,MATCH($B207,'Equipo'!$A$5:$A$29,0))+$E207,0)),"")</f>
        <v/>
      </c>
      <c r="I207" s="26">
        <f>IF($B207='Perfil'!$B$3,COUNTIF($B$4:$B207,'Perfil'!$B$3),"")</f>
        <v/>
      </c>
    </row>
    <row r="208">
      <c r="A208" s="22" t="n"/>
      <c r="B208" s="23" t="n"/>
      <c r="C208" s="23" t="n"/>
      <c r="D208" s="24" t="n"/>
      <c r="E208" s="24" t="n"/>
      <c r="F208" s="23" t="n"/>
      <c r="G208" s="19">
        <f>IFERROR(IF(OR($B208="",$C208=""),"",IF(MATCH($C208,'Ajustes'!$A$5:$A$8,0)&lt;=2,$D208*INDEX('Ajustes'!$C$5:$C$6,MATCH($C208,'Ajustes'!$A$5:$A$8,0)),IF(MATCH($C208,'Ajustes'!$A$5:$A$8,0)=3,-($D208+$E208*INDEX('Equipo'!$B$5:$B$29,MATCH($B208,'Equipo'!$A$5:$A$29,0))),0))),"")</f>
        <v/>
      </c>
      <c r="H208" s="25">
        <f>IFERROR(IF(OR($B208="",$C208=""),"",IF(MATCH($C208,'Ajustes'!$A$5:$A$8,0)=4,$D208/INDEX('Equipo'!$B$5:$B$29,MATCH($B208,'Equipo'!$A$5:$A$29,0))+$E208,0)),"")</f>
        <v/>
      </c>
      <c r="I208" s="26">
        <f>IF($B208='Perfil'!$B$3,COUNTIF($B$4:$B208,'Perfil'!$B$3),"")</f>
        <v/>
      </c>
    </row>
    <row r="209">
      <c r="A209" s="22" t="n"/>
      <c r="B209" s="23" t="n"/>
      <c r="C209" s="23" t="n"/>
      <c r="D209" s="24" t="n"/>
      <c r="E209" s="24" t="n"/>
      <c r="F209" s="23" t="n"/>
      <c r="G209" s="19">
        <f>IFERROR(IF(OR($B209="",$C209=""),"",IF(MATCH($C209,'Ajustes'!$A$5:$A$8,0)&lt;=2,$D209*INDEX('Ajustes'!$C$5:$C$6,MATCH($C209,'Ajustes'!$A$5:$A$8,0)),IF(MATCH($C209,'Ajustes'!$A$5:$A$8,0)=3,-($D209+$E209*INDEX('Equipo'!$B$5:$B$29,MATCH($B209,'Equipo'!$A$5:$A$29,0))),0))),"")</f>
        <v/>
      </c>
      <c r="H209" s="25">
        <f>IFERROR(IF(OR($B209="",$C209=""),"",IF(MATCH($C209,'Ajustes'!$A$5:$A$8,0)=4,$D209/INDEX('Equipo'!$B$5:$B$29,MATCH($B209,'Equipo'!$A$5:$A$29,0))+$E209,0)),"")</f>
        <v/>
      </c>
      <c r="I209" s="26">
        <f>IF($B209='Perfil'!$B$3,COUNTIF($B$4:$B209,'Perfil'!$B$3),"")</f>
        <v/>
      </c>
    </row>
    <row r="210">
      <c r="A210" s="22" t="n"/>
      <c r="B210" s="23" t="n"/>
      <c r="C210" s="23" t="n"/>
      <c r="D210" s="24" t="n"/>
      <c r="E210" s="24" t="n"/>
      <c r="F210" s="23" t="n"/>
      <c r="G210" s="19">
        <f>IFERROR(IF(OR($B210="",$C210=""),"",IF(MATCH($C210,'Ajustes'!$A$5:$A$8,0)&lt;=2,$D210*INDEX('Ajustes'!$C$5:$C$6,MATCH($C210,'Ajustes'!$A$5:$A$8,0)),IF(MATCH($C210,'Ajustes'!$A$5:$A$8,0)=3,-($D210+$E210*INDEX('Equipo'!$B$5:$B$29,MATCH($B210,'Equipo'!$A$5:$A$29,0))),0))),"")</f>
        <v/>
      </c>
      <c r="H210" s="25">
        <f>IFERROR(IF(OR($B210="",$C210=""),"",IF(MATCH($C210,'Ajustes'!$A$5:$A$8,0)=4,$D210/INDEX('Equipo'!$B$5:$B$29,MATCH($B210,'Equipo'!$A$5:$A$29,0))+$E210,0)),"")</f>
        <v/>
      </c>
      <c r="I210" s="26">
        <f>IF($B210='Perfil'!$B$3,COUNTIF($B$4:$B210,'Perfil'!$B$3),"")</f>
        <v/>
      </c>
    </row>
    <row r="211">
      <c r="A211" s="22" t="n"/>
      <c r="B211" s="23" t="n"/>
      <c r="C211" s="23" t="n"/>
      <c r="D211" s="24" t="n"/>
      <c r="E211" s="24" t="n"/>
      <c r="F211" s="23" t="n"/>
      <c r="G211" s="19">
        <f>IFERROR(IF(OR($B211="",$C211=""),"",IF(MATCH($C211,'Ajustes'!$A$5:$A$8,0)&lt;=2,$D211*INDEX('Ajustes'!$C$5:$C$6,MATCH($C211,'Ajustes'!$A$5:$A$8,0)),IF(MATCH($C211,'Ajustes'!$A$5:$A$8,0)=3,-($D211+$E211*INDEX('Equipo'!$B$5:$B$29,MATCH($B211,'Equipo'!$A$5:$A$29,0))),0))),"")</f>
        <v/>
      </c>
      <c r="H211" s="25">
        <f>IFERROR(IF(OR($B211="",$C211=""),"",IF(MATCH($C211,'Ajustes'!$A$5:$A$8,0)=4,$D211/INDEX('Equipo'!$B$5:$B$29,MATCH($B211,'Equipo'!$A$5:$A$29,0))+$E211,0)),"")</f>
        <v/>
      </c>
      <c r="I211" s="26">
        <f>IF($B211='Perfil'!$B$3,COUNTIF($B$4:$B211,'Perfil'!$B$3),"")</f>
        <v/>
      </c>
    </row>
    <row r="212">
      <c r="A212" s="22" t="n"/>
      <c r="B212" s="23" t="n"/>
      <c r="C212" s="23" t="n"/>
      <c r="D212" s="24" t="n"/>
      <c r="E212" s="24" t="n"/>
      <c r="F212" s="23" t="n"/>
      <c r="G212" s="19">
        <f>IFERROR(IF(OR($B212="",$C212=""),"",IF(MATCH($C212,'Ajustes'!$A$5:$A$8,0)&lt;=2,$D212*INDEX('Ajustes'!$C$5:$C$6,MATCH($C212,'Ajustes'!$A$5:$A$8,0)),IF(MATCH($C212,'Ajustes'!$A$5:$A$8,0)=3,-($D212+$E212*INDEX('Equipo'!$B$5:$B$29,MATCH($B212,'Equipo'!$A$5:$A$29,0))),0))),"")</f>
        <v/>
      </c>
      <c r="H212" s="25">
        <f>IFERROR(IF(OR($B212="",$C212=""),"",IF(MATCH($C212,'Ajustes'!$A$5:$A$8,0)=4,$D212/INDEX('Equipo'!$B$5:$B$29,MATCH($B212,'Equipo'!$A$5:$A$29,0))+$E212,0)),"")</f>
        <v/>
      </c>
      <c r="I212" s="26">
        <f>IF($B212='Perfil'!$B$3,COUNTIF($B$4:$B212,'Perfil'!$B$3),"")</f>
        <v/>
      </c>
    </row>
    <row r="213">
      <c r="A213" s="22" t="n"/>
      <c r="B213" s="23" t="n"/>
      <c r="C213" s="23" t="n"/>
      <c r="D213" s="24" t="n"/>
      <c r="E213" s="24" t="n"/>
      <c r="F213" s="23" t="n"/>
      <c r="G213" s="19">
        <f>IFERROR(IF(OR($B213="",$C213=""),"",IF(MATCH($C213,'Ajustes'!$A$5:$A$8,0)&lt;=2,$D213*INDEX('Ajustes'!$C$5:$C$6,MATCH($C213,'Ajustes'!$A$5:$A$8,0)),IF(MATCH($C213,'Ajustes'!$A$5:$A$8,0)=3,-($D213+$E213*INDEX('Equipo'!$B$5:$B$29,MATCH($B213,'Equipo'!$A$5:$A$29,0))),0))),"")</f>
        <v/>
      </c>
      <c r="H213" s="25">
        <f>IFERROR(IF(OR($B213="",$C213=""),"",IF(MATCH($C213,'Ajustes'!$A$5:$A$8,0)=4,$D213/INDEX('Equipo'!$B$5:$B$29,MATCH($B213,'Equipo'!$A$5:$A$29,0))+$E213,0)),"")</f>
        <v/>
      </c>
      <c r="I213" s="26">
        <f>IF($B213='Perfil'!$B$3,COUNTIF($B$4:$B213,'Perfil'!$B$3),"")</f>
        <v/>
      </c>
    </row>
    <row r="214">
      <c r="A214" s="22" t="n"/>
      <c r="B214" s="23" t="n"/>
      <c r="C214" s="23" t="n"/>
      <c r="D214" s="24" t="n"/>
      <c r="E214" s="24" t="n"/>
      <c r="F214" s="23" t="n"/>
      <c r="G214" s="19">
        <f>IFERROR(IF(OR($B214="",$C214=""),"",IF(MATCH($C214,'Ajustes'!$A$5:$A$8,0)&lt;=2,$D214*INDEX('Ajustes'!$C$5:$C$6,MATCH($C214,'Ajustes'!$A$5:$A$8,0)),IF(MATCH($C214,'Ajustes'!$A$5:$A$8,0)=3,-($D214+$E214*INDEX('Equipo'!$B$5:$B$29,MATCH($B214,'Equipo'!$A$5:$A$29,0))),0))),"")</f>
        <v/>
      </c>
      <c r="H214" s="25">
        <f>IFERROR(IF(OR($B214="",$C214=""),"",IF(MATCH($C214,'Ajustes'!$A$5:$A$8,0)=4,$D214/INDEX('Equipo'!$B$5:$B$29,MATCH($B214,'Equipo'!$A$5:$A$29,0))+$E214,0)),"")</f>
        <v/>
      </c>
      <c r="I214" s="26">
        <f>IF($B214='Perfil'!$B$3,COUNTIF($B$4:$B214,'Perfil'!$B$3),"")</f>
        <v/>
      </c>
    </row>
    <row r="215">
      <c r="A215" s="22" t="n"/>
      <c r="B215" s="23" t="n"/>
      <c r="C215" s="23" t="n"/>
      <c r="D215" s="24" t="n"/>
      <c r="E215" s="24" t="n"/>
      <c r="F215" s="23" t="n"/>
      <c r="G215" s="19">
        <f>IFERROR(IF(OR($B215="",$C215=""),"",IF(MATCH($C215,'Ajustes'!$A$5:$A$8,0)&lt;=2,$D215*INDEX('Ajustes'!$C$5:$C$6,MATCH($C215,'Ajustes'!$A$5:$A$8,0)),IF(MATCH($C215,'Ajustes'!$A$5:$A$8,0)=3,-($D215+$E215*INDEX('Equipo'!$B$5:$B$29,MATCH($B215,'Equipo'!$A$5:$A$29,0))),0))),"")</f>
        <v/>
      </c>
      <c r="H215" s="25">
        <f>IFERROR(IF(OR($B215="",$C215=""),"",IF(MATCH($C215,'Ajustes'!$A$5:$A$8,0)=4,$D215/INDEX('Equipo'!$B$5:$B$29,MATCH($B215,'Equipo'!$A$5:$A$29,0))+$E215,0)),"")</f>
        <v/>
      </c>
      <c r="I215" s="26">
        <f>IF($B215='Perfil'!$B$3,COUNTIF($B$4:$B215,'Perfil'!$B$3),"")</f>
        <v/>
      </c>
    </row>
    <row r="216">
      <c r="A216" s="22" t="n"/>
      <c r="B216" s="23" t="n"/>
      <c r="C216" s="23" t="n"/>
      <c r="D216" s="24" t="n"/>
      <c r="E216" s="24" t="n"/>
      <c r="F216" s="23" t="n"/>
      <c r="G216" s="19">
        <f>IFERROR(IF(OR($B216="",$C216=""),"",IF(MATCH($C216,'Ajustes'!$A$5:$A$8,0)&lt;=2,$D216*INDEX('Ajustes'!$C$5:$C$6,MATCH($C216,'Ajustes'!$A$5:$A$8,0)),IF(MATCH($C216,'Ajustes'!$A$5:$A$8,0)=3,-($D216+$E216*INDEX('Equipo'!$B$5:$B$29,MATCH($B216,'Equipo'!$A$5:$A$29,0))),0))),"")</f>
        <v/>
      </c>
      <c r="H216" s="25">
        <f>IFERROR(IF(OR($B216="",$C216=""),"",IF(MATCH($C216,'Ajustes'!$A$5:$A$8,0)=4,$D216/INDEX('Equipo'!$B$5:$B$29,MATCH($B216,'Equipo'!$A$5:$A$29,0))+$E216,0)),"")</f>
        <v/>
      </c>
      <c r="I216" s="26">
        <f>IF($B216='Perfil'!$B$3,COUNTIF($B$4:$B216,'Perfil'!$B$3),"")</f>
        <v/>
      </c>
    </row>
    <row r="217">
      <c r="A217" s="22" t="n"/>
      <c r="B217" s="23" t="n"/>
      <c r="C217" s="23" t="n"/>
      <c r="D217" s="24" t="n"/>
      <c r="E217" s="24" t="n"/>
      <c r="F217" s="23" t="n"/>
      <c r="G217" s="19">
        <f>IFERROR(IF(OR($B217="",$C217=""),"",IF(MATCH($C217,'Ajustes'!$A$5:$A$8,0)&lt;=2,$D217*INDEX('Ajustes'!$C$5:$C$6,MATCH($C217,'Ajustes'!$A$5:$A$8,0)),IF(MATCH($C217,'Ajustes'!$A$5:$A$8,0)=3,-($D217+$E217*INDEX('Equipo'!$B$5:$B$29,MATCH($B217,'Equipo'!$A$5:$A$29,0))),0))),"")</f>
        <v/>
      </c>
      <c r="H217" s="25">
        <f>IFERROR(IF(OR($B217="",$C217=""),"",IF(MATCH($C217,'Ajustes'!$A$5:$A$8,0)=4,$D217/INDEX('Equipo'!$B$5:$B$29,MATCH($B217,'Equipo'!$A$5:$A$29,0))+$E217,0)),"")</f>
        <v/>
      </c>
      <c r="I217" s="26">
        <f>IF($B217='Perfil'!$B$3,COUNTIF($B$4:$B217,'Perfil'!$B$3),"")</f>
        <v/>
      </c>
    </row>
    <row r="218">
      <c r="A218" s="22" t="n"/>
      <c r="B218" s="23" t="n"/>
      <c r="C218" s="23" t="n"/>
      <c r="D218" s="24" t="n"/>
      <c r="E218" s="24" t="n"/>
      <c r="F218" s="23" t="n"/>
      <c r="G218" s="19">
        <f>IFERROR(IF(OR($B218="",$C218=""),"",IF(MATCH($C218,'Ajustes'!$A$5:$A$8,0)&lt;=2,$D218*INDEX('Ajustes'!$C$5:$C$6,MATCH($C218,'Ajustes'!$A$5:$A$8,0)),IF(MATCH($C218,'Ajustes'!$A$5:$A$8,0)=3,-($D218+$E218*INDEX('Equipo'!$B$5:$B$29,MATCH($B218,'Equipo'!$A$5:$A$29,0))),0))),"")</f>
        <v/>
      </c>
      <c r="H218" s="25">
        <f>IFERROR(IF(OR($B218="",$C218=""),"",IF(MATCH($C218,'Ajustes'!$A$5:$A$8,0)=4,$D218/INDEX('Equipo'!$B$5:$B$29,MATCH($B218,'Equipo'!$A$5:$A$29,0))+$E218,0)),"")</f>
        <v/>
      </c>
      <c r="I218" s="26">
        <f>IF($B218='Perfil'!$B$3,COUNTIF($B$4:$B218,'Perfil'!$B$3),"")</f>
        <v/>
      </c>
    </row>
    <row r="219">
      <c r="A219" s="22" t="n"/>
      <c r="B219" s="23" t="n"/>
      <c r="C219" s="23" t="n"/>
      <c r="D219" s="24" t="n"/>
      <c r="E219" s="24" t="n"/>
      <c r="F219" s="23" t="n"/>
      <c r="G219" s="19">
        <f>IFERROR(IF(OR($B219="",$C219=""),"",IF(MATCH($C219,'Ajustes'!$A$5:$A$8,0)&lt;=2,$D219*INDEX('Ajustes'!$C$5:$C$6,MATCH($C219,'Ajustes'!$A$5:$A$8,0)),IF(MATCH($C219,'Ajustes'!$A$5:$A$8,0)=3,-($D219+$E219*INDEX('Equipo'!$B$5:$B$29,MATCH($B219,'Equipo'!$A$5:$A$29,0))),0))),"")</f>
        <v/>
      </c>
      <c r="H219" s="25">
        <f>IFERROR(IF(OR($B219="",$C219=""),"",IF(MATCH($C219,'Ajustes'!$A$5:$A$8,0)=4,$D219/INDEX('Equipo'!$B$5:$B$29,MATCH($B219,'Equipo'!$A$5:$A$29,0))+$E219,0)),"")</f>
        <v/>
      </c>
      <c r="I219" s="26">
        <f>IF($B219='Perfil'!$B$3,COUNTIF($B$4:$B219,'Perfil'!$B$3),"")</f>
        <v/>
      </c>
    </row>
    <row r="220">
      <c r="A220" s="22" t="n"/>
      <c r="B220" s="23" t="n"/>
      <c r="C220" s="23" t="n"/>
      <c r="D220" s="24" t="n"/>
      <c r="E220" s="24" t="n"/>
      <c r="F220" s="23" t="n"/>
      <c r="G220" s="19">
        <f>IFERROR(IF(OR($B220="",$C220=""),"",IF(MATCH($C220,'Ajustes'!$A$5:$A$8,0)&lt;=2,$D220*INDEX('Ajustes'!$C$5:$C$6,MATCH($C220,'Ajustes'!$A$5:$A$8,0)),IF(MATCH($C220,'Ajustes'!$A$5:$A$8,0)=3,-($D220+$E220*INDEX('Equipo'!$B$5:$B$29,MATCH($B220,'Equipo'!$A$5:$A$29,0))),0))),"")</f>
        <v/>
      </c>
      <c r="H220" s="25">
        <f>IFERROR(IF(OR($B220="",$C220=""),"",IF(MATCH($C220,'Ajustes'!$A$5:$A$8,0)=4,$D220/INDEX('Equipo'!$B$5:$B$29,MATCH($B220,'Equipo'!$A$5:$A$29,0))+$E220,0)),"")</f>
        <v/>
      </c>
      <c r="I220" s="26">
        <f>IF($B220='Perfil'!$B$3,COUNTIF($B$4:$B220,'Perfil'!$B$3),"")</f>
        <v/>
      </c>
    </row>
    <row r="221">
      <c r="A221" s="22" t="n"/>
      <c r="B221" s="23" t="n"/>
      <c r="C221" s="23" t="n"/>
      <c r="D221" s="24" t="n"/>
      <c r="E221" s="24" t="n"/>
      <c r="F221" s="23" t="n"/>
      <c r="G221" s="19">
        <f>IFERROR(IF(OR($B221="",$C221=""),"",IF(MATCH($C221,'Ajustes'!$A$5:$A$8,0)&lt;=2,$D221*INDEX('Ajustes'!$C$5:$C$6,MATCH($C221,'Ajustes'!$A$5:$A$8,0)),IF(MATCH($C221,'Ajustes'!$A$5:$A$8,0)=3,-($D221+$E221*INDEX('Equipo'!$B$5:$B$29,MATCH($B221,'Equipo'!$A$5:$A$29,0))),0))),"")</f>
        <v/>
      </c>
      <c r="H221" s="25">
        <f>IFERROR(IF(OR($B221="",$C221=""),"",IF(MATCH($C221,'Ajustes'!$A$5:$A$8,0)=4,$D221/INDEX('Equipo'!$B$5:$B$29,MATCH($B221,'Equipo'!$A$5:$A$29,0))+$E221,0)),"")</f>
        <v/>
      </c>
      <c r="I221" s="26">
        <f>IF($B221='Perfil'!$B$3,COUNTIF($B$4:$B221,'Perfil'!$B$3),"")</f>
        <v/>
      </c>
    </row>
    <row r="222">
      <c r="A222" s="22" t="n"/>
      <c r="B222" s="23" t="n"/>
      <c r="C222" s="23" t="n"/>
      <c r="D222" s="24" t="n"/>
      <c r="E222" s="24" t="n"/>
      <c r="F222" s="23" t="n"/>
      <c r="G222" s="19">
        <f>IFERROR(IF(OR($B222="",$C222=""),"",IF(MATCH($C222,'Ajustes'!$A$5:$A$8,0)&lt;=2,$D222*INDEX('Ajustes'!$C$5:$C$6,MATCH($C222,'Ajustes'!$A$5:$A$8,0)),IF(MATCH($C222,'Ajustes'!$A$5:$A$8,0)=3,-($D222+$E222*INDEX('Equipo'!$B$5:$B$29,MATCH($B222,'Equipo'!$A$5:$A$29,0))),0))),"")</f>
        <v/>
      </c>
      <c r="H222" s="25">
        <f>IFERROR(IF(OR($B222="",$C222=""),"",IF(MATCH($C222,'Ajustes'!$A$5:$A$8,0)=4,$D222/INDEX('Equipo'!$B$5:$B$29,MATCH($B222,'Equipo'!$A$5:$A$29,0))+$E222,0)),"")</f>
        <v/>
      </c>
      <c r="I222" s="26">
        <f>IF($B222='Perfil'!$B$3,COUNTIF($B$4:$B222,'Perfil'!$B$3),"")</f>
        <v/>
      </c>
    </row>
    <row r="223">
      <c r="A223" s="22" t="n"/>
      <c r="B223" s="23" t="n"/>
      <c r="C223" s="23" t="n"/>
      <c r="D223" s="24" t="n"/>
      <c r="E223" s="24" t="n"/>
      <c r="F223" s="23" t="n"/>
      <c r="G223" s="19">
        <f>IFERROR(IF(OR($B223="",$C223=""),"",IF(MATCH($C223,'Ajustes'!$A$5:$A$8,0)&lt;=2,$D223*INDEX('Ajustes'!$C$5:$C$6,MATCH($C223,'Ajustes'!$A$5:$A$8,0)),IF(MATCH($C223,'Ajustes'!$A$5:$A$8,0)=3,-($D223+$E223*INDEX('Equipo'!$B$5:$B$29,MATCH($B223,'Equipo'!$A$5:$A$29,0))),0))),"")</f>
        <v/>
      </c>
      <c r="H223" s="25">
        <f>IFERROR(IF(OR($B223="",$C223=""),"",IF(MATCH($C223,'Ajustes'!$A$5:$A$8,0)=4,$D223/INDEX('Equipo'!$B$5:$B$29,MATCH($B223,'Equipo'!$A$5:$A$29,0))+$E223,0)),"")</f>
        <v/>
      </c>
      <c r="I223" s="26">
        <f>IF($B223='Perfil'!$B$3,COUNTIF($B$4:$B223,'Perfil'!$B$3),"")</f>
        <v/>
      </c>
    </row>
    <row r="224">
      <c r="A224" s="22" t="n"/>
      <c r="B224" s="23" t="n"/>
      <c r="C224" s="23" t="n"/>
      <c r="D224" s="24" t="n"/>
      <c r="E224" s="24" t="n"/>
      <c r="F224" s="23" t="n"/>
      <c r="G224" s="19">
        <f>IFERROR(IF(OR($B224="",$C224=""),"",IF(MATCH($C224,'Ajustes'!$A$5:$A$8,0)&lt;=2,$D224*INDEX('Ajustes'!$C$5:$C$6,MATCH($C224,'Ajustes'!$A$5:$A$8,0)),IF(MATCH($C224,'Ajustes'!$A$5:$A$8,0)=3,-($D224+$E224*INDEX('Equipo'!$B$5:$B$29,MATCH($B224,'Equipo'!$A$5:$A$29,0))),0))),"")</f>
        <v/>
      </c>
      <c r="H224" s="25">
        <f>IFERROR(IF(OR($B224="",$C224=""),"",IF(MATCH($C224,'Ajustes'!$A$5:$A$8,0)=4,$D224/INDEX('Equipo'!$B$5:$B$29,MATCH($B224,'Equipo'!$A$5:$A$29,0))+$E224,0)),"")</f>
        <v/>
      </c>
      <c r="I224" s="26">
        <f>IF($B224='Perfil'!$B$3,COUNTIF($B$4:$B224,'Perfil'!$B$3),"")</f>
        <v/>
      </c>
    </row>
    <row r="225">
      <c r="A225" s="22" t="n"/>
      <c r="B225" s="23" t="n"/>
      <c r="C225" s="23" t="n"/>
      <c r="D225" s="24" t="n"/>
      <c r="E225" s="24" t="n"/>
      <c r="F225" s="23" t="n"/>
      <c r="G225" s="19">
        <f>IFERROR(IF(OR($B225="",$C225=""),"",IF(MATCH($C225,'Ajustes'!$A$5:$A$8,0)&lt;=2,$D225*INDEX('Ajustes'!$C$5:$C$6,MATCH($C225,'Ajustes'!$A$5:$A$8,0)),IF(MATCH($C225,'Ajustes'!$A$5:$A$8,0)=3,-($D225+$E225*INDEX('Equipo'!$B$5:$B$29,MATCH($B225,'Equipo'!$A$5:$A$29,0))),0))),"")</f>
        <v/>
      </c>
      <c r="H225" s="25">
        <f>IFERROR(IF(OR($B225="",$C225=""),"",IF(MATCH($C225,'Ajustes'!$A$5:$A$8,0)=4,$D225/INDEX('Equipo'!$B$5:$B$29,MATCH($B225,'Equipo'!$A$5:$A$29,0))+$E225,0)),"")</f>
        <v/>
      </c>
      <c r="I225" s="26">
        <f>IF($B225='Perfil'!$B$3,COUNTIF($B$4:$B225,'Perfil'!$B$3),"")</f>
        <v/>
      </c>
    </row>
    <row r="226">
      <c r="A226" s="22" t="n"/>
      <c r="B226" s="23" t="n"/>
      <c r="C226" s="23" t="n"/>
      <c r="D226" s="24" t="n"/>
      <c r="E226" s="24" t="n"/>
      <c r="F226" s="23" t="n"/>
      <c r="G226" s="19">
        <f>IFERROR(IF(OR($B226="",$C226=""),"",IF(MATCH($C226,'Ajustes'!$A$5:$A$8,0)&lt;=2,$D226*INDEX('Ajustes'!$C$5:$C$6,MATCH($C226,'Ajustes'!$A$5:$A$8,0)),IF(MATCH($C226,'Ajustes'!$A$5:$A$8,0)=3,-($D226+$E226*INDEX('Equipo'!$B$5:$B$29,MATCH($B226,'Equipo'!$A$5:$A$29,0))),0))),"")</f>
        <v/>
      </c>
      <c r="H226" s="25">
        <f>IFERROR(IF(OR($B226="",$C226=""),"",IF(MATCH($C226,'Ajustes'!$A$5:$A$8,0)=4,$D226/INDEX('Equipo'!$B$5:$B$29,MATCH($B226,'Equipo'!$A$5:$A$29,0))+$E226,0)),"")</f>
        <v/>
      </c>
      <c r="I226" s="26">
        <f>IF($B226='Perfil'!$B$3,COUNTIF($B$4:$B226,'Perfil'!$B$3),"")</f>
        <v/>
      </c>
    </row>
    <row r="227">
      <c r="A227" s="22" t="n"/>
      <c r="B227" s="23" t="n"/>
      <c r="C227" s="23" t="n"/>
      <c r="D227" s="24" t="n"/>
      <c r="E227" s="24" t="n"/>
      <c r="F227" s="23" t="n"/>
      <c r="G227" s="19">
        <f>IFERROR(IF(OR($B227="",$C227=""),"",IF(MATCH($C227,'Ajustes'!$A$5:$A$8,0)&lt;=2,$D227*INDEX('Ajustes'!$C$5:$C$6,MATCH($C227,'Ajustes'!$A$5:$A$8,0)),IF(MATCH($C227,'Ajustes'!$A$5:$A$8,0)=3,-($D227+$E227*INDEX('Equipo'!$B$5:$B$29,MATCH($B227,'Equipo'!$A$5:$A$29,0))),0))),"")</f>
        <v/>
      </c>
      <c r="H227" s="25">
        <f>IFERROR(IF(OR($B227="",$C227=""),"",IF(MATCH($C227,'Ajustes'!$A$5:$A$8,0)=4,$D227/INDEX('Equipo'!$B$5:$B$29,MATCH($B227,'Equipo'!$A$5:$A$29,0))+$E227,0)),"")</f>
        <v/>
      </c>
      <c r="I227" s="26">
        <f>IF($B227='Perfil'!$B$3,COUNTIF($B$4:$B227,'Perfil'!$B$3),"")</f>
        <v/>
      </c>
    </row>
    <row r="228">
      <c r="A228" s="22" t="n"/>
      <c r="B228" s="23" t="n"/>
      <c r="C228" s="23" t="n"/>
      <c r="D228" s="24" t="n"/>
      <c r="E228" s="24" t="n"/>
      <c r="F228" s="23" t="n"/>
      <c r="G228" s="19">
        <f>IFERROR(IF(OR($B228="",$C228=""),"",IF(MATCH($C228,'Ajustes'!$A$5:$A$8,0)&lt;=2,$D228*INDEX('Ajustes'!$C$5:$C$6,MATCH($C228,'Ajustes'!$A$5:$A$8,0)),IF(MATCH($C228,'Ajustes'!$A$5:$A$8,0)=3,-($D228+$E228*INDEX('Equipo'!$B$5:$B$29,MATCH($B228,'Equipo'!$A$5:$A$29,0))),0))),"")</f>
        <v/>
      </c>
      <c r="H228" s="25">
        <f>IFERROR(IF(OR($B228="",$C228=""),"",IF(MATCH($C228,'Ajustes'!$A$5:$A$8,0)=4,$D228/INDEX('Equipo'!$B$5:$B$29,MATCH($B228,'Equipo'!$A$5:$A$29,0))+$E228,0)),"")</f>
        <v/>
      </c>
      <c r="I228" s="26">
        <f>IF($B228='Perfil'!$B$3,COUNTIF($B$4:$B228,'Perfil'!$B$3),"")</f>
        <v/>
      </c>
    </row>
    <row r="229">
      <c r="A229" s="22" t="n"/>
      <c r="B229" s="23" t="n"/>
      <c r="C229" s="23" t="n"/>
      <c r="D229" s="24" t="n"/>
      <c r="E229" s="24" t="n"/>
      <c r="F229" s="23" t="n"/>
      <c r="G229" s="19">
        <f>IFERROR(IF(OR($B229="",$C229=""),"",IF(MATCH($C229,'Ajustes'!$A$5:$A$8,0)&lt;=2,$D229*INDEX('Ajustes'!$C$5:$C$6,MATCH($C229,'Ajustes'!$A$5:$A$8,0)),IF(MATCH($C229,'Ajustes'!$A$5:$A$8,0)=3,-($D229+$E229*INDEX('Equipo'!$B$5:$B$29,MATCH($B229,'Equipo'!$A$5:$A$29,0))),0))),"")</f>
        <v/>
      </c>
      <c r="H229" s="25">
        <f>IFERROR(IF(OR($B229="",$C229=""),"",IF(MATCH($C229,'Ajustes'!$A$5:$A$8,0)=4,$D229/INDEX('Equipo'!$B$5:$B$29,MATCH($B229,'Equipo'!$A$5:$A$29,0))+$E229,0)),"")</f>
        <v/>
      </c>
      <c r="I229" s="26">
        <f>IF($B229='Perfil'!$B$3,COUNTIF($B$4:$B229,'Perfil'!$B$3),"")</f>
        <v/>
      </c>
    </row>
    <row r="230">
      <c r="A230" s="22" t="n"/>
      <c r="B230" s="23" t="n"/>
      <c r="C230" s="23" t="n"/>
      <c r="D230" s="24" t="n"/>
      <c r="E230" s="24" t="n"/>
      <c r="F230" s="23" t="n"/>
      <c r="G230" s="19">
        <f>IFERROR(IF(OR($B230="",$C230=""),"",IF(MATCH($C230,'Ajustes'!$A$5:$A$8,0)&lt;=2,$D230*INDEX('Ajustes'!$C$5:$C$6,MATCH($C230,'Ajustes'!$A$5:$A$8,0)),IF(MATCH($C230,'Ajustes'!$A$5:$A$8,0)=3,-($D230+$E230*INDEX('Equipo'!$B$5:$B$29,MATCH($B230,'Equipo'!$A$5:$A$29,0))),0))),"")</f>
        <v/>
      </c>
      <c r="H230" s="25">
        <f>IFERROR(IF(OR($B230="",$C230=""),"",IF(MATCH($C230,'Ajustes'!$A$5:$A$8,0)=4,$D230/INDEX('Equipo'!$B$5:$B$29,MATCH($B230,'Equipo'!$A$5:$A$29,0))+$E230,0)),"")</f>
        <v/>
      </c>
      <c r="I230" s="26">
        <f>IF($B230='Perfil'!$B$3,COUNTIF($B$4:$B230,'Perfil'!$B$3),"")</f>
        <v/>
      </c>
    </row>
    <row r="231">
      <c r="A231" s="22" t="n"/>
      <c r="B231" s="23" t="n"/>
      <c r="C231" s="23" t="n"/>
      <c r="D231" s="24" t="n"/>
      <c r="E231" s="24" t="n"/>
      <c r="F231" s="23" t="n"/>
      <c r="G231" s="19">
        <f>IFERROR(IF(OR($B231="",$C231=""),"",IF(MATCH($C231,'Ajustes'!$A$5:$A$8,0)&lt;=2,$D231*INDEX('Ajustes'!$C$5:$C$6,MATCH($C231,'Ajustes'!$A$5:$A$8,0)),IF(MATCH($C231,'Ajustes'!$A$5:$A$8,0)=3,-($D231+$E231*INDEX('Equipo'!$B$5:$B$29,MATCH($B231,'Equipo'!$A$5:$A$29,0))),0))),"")</f>
        <v/>
      </c>
      <c r="H231" s="25">
        <f>IFERROR(IF(OR($B231="",$C231=""),"",IF(MATCH($C231,'Ajustes'!$A$5:$A$8,0)=4,$D231/INDEX('Equipo'!$B$5:$B$29,MATCH($B231,'Equipo'!$A$5:$A$29,0))+$E231,0)),"")</f>
        <v/>
      </c>
      <c r="I231" s="26">
        <f>IF($B231='Perfil'!$B$3,COUNTIF($B$4:$B231,'Perfil'!$B$3),"")</f>
        <v/>
      </c>
    </row>
    <row r="232">
      <c r="A232" s="22" t="n"/>
      <c r="B232" s="23" t="n"/>
      <c r="C232" s="23" t="n"/>
      <c r="D232" s="24" t="n"/>
      <c r="E232" s="24" t="n"/>
      <c r="F232" s="23" t="n"/>
      <c r="G232" s="19">
        <f>IFERROR(IF(OR($B232="",$C232=""),"",IF(MATCH($C232,'Ajustes'!$A$5:$A$8,0)&lt;=2,$D232*INDEX('Ajustes'!$C$5:$C$6,MATCH($C232,'Ajustes'!$A$5:$A$8,0)),IF(MATCH($C232,'Ajustes'!$A$5:$A$8,0)=3,-($D232+$E232*INDEX('Equipo'!$B$5:$B$29,MATCH($B232,'Equipo'!$A$5:$A$29,0))),0))),"")</f>
        <v/>
      </c>
      <c r="H232" s="25">
        <f>IFERROR(IF(OR($B232="",$C232=""),"",IF(MATCH($C232,'Ajustes'!$A$5:$A$8,0)=4,$D232/INDEX('Equipo'!$B$5:$B$29,MATCH($B232,'Equipo'!$A$5:$A$29,0))+$E232,0)),"")</f>
        <v/>
      </c>
      <c r="I232" s="26">
        <f>IF($B232='Perfil'!$B$3,COUNTIF($B$4:$B232,'Perfil'!$B$3),"")</f>
        <v/>
      </c>
    </row>
    <row r="233">
      <c r="A233" s="22" t="n"/>
      <c r="B233" s="23" t="n"/>
      <c r="C233" s="23" t="n"/>
      <c r="D233" s="24" t="n"/>
      <c r="E233" s="24" t="n"/>
      <c r="F233" s="23" t="n"/>
      <c r="G233" s="19">
        <f>IFERROR(IF(OR($B233="",$C233=""),"",IF(MATCH($C233,'Ajustes'!$A$5:$A$8,0)&lt;=2,$D233*INDEX('Ajustes'!$C$5:$C$6,MATCH($C233,'Ajustes'!$A$5:$A$8,0)),IF(MATCH($C233,'Ajustes'!$A$5:$A$8,0)=3,-($D233+$E233*INDEX('Equipo'!$B$5:$B$29,MATCH($B233,'Equipo'!$A$5:$A$29,0))),0))),"")</f>
        <v/>
      </c>
      <c r="H233" s="25">
        <f>IFERROR(IF(OR($B233="",$C233=""),"",IF(MATCH($C233,'Ajustes'!$A$5:$A$8,0)=4,$D233/INDEX('Equipo'!$B$5:$B$29,MATCH($B233,'Equipo'!$A$5:$A$29,0))+$E233,0)),"")</f>
        <v/>
      </c>
      <c r="I233" s="26">
        <f>IF($B233='Perfil'!$B$3,COUNTIF($B$4:$B233,'Perfil'!$B$3),"")</f>
        <v/>
      </c>
    </row>
    <row r="234">
      <c r="A234" s="22" t="n"/>
      <c r="B234" s="23" t="n"/>
      <c r="C234" s="23" t="n"/>
      <c r="D234" s="24" t="n"/>
      <c r="E234" s="24" t="n"/>
      <c r="F234" s="23" t="n"/>
      <c r="G234" s="19">
        <f>IFERROR(IF(OR($B234="",$C234=""),"",IF(MATCH($C234,'Ajustes'!$A$5:$A$8,0)&lt;=2,$D234*INDEX('Ajustes'!$C$5:$C$6,MATCH($C234,'Ajustes'!$A$5:$A$8,0)),IF(MATCH($C234,'Ajustes'!$A$5:$A$8,0)=3,-($D234+$E234*INDEX('Equipo'!$B$5:$B$29,MATCH($B234,'Equipo'!$A$5:$A$29,0))),0))),"")</f>
        <v/>
      </c>
      <c r="H234" s="25">
        <f>IFERROR(IF(OR($B234="",$C234=""),"",IF(MATCH($C234,'Ajustes'!$A$5:$A$8,0)=4,$D234/INDEX('Equipo'!$B$5:$B$29,MATCH($B234,'Equipo'!$A$5:$A$29,0))+$E234,0)),"")</f>
        <v/>
      </c>
      <c r="I234" s="26">
        <f>IF($B234='Perfil'!$B$3,COUNTIF($B$4:$B234,'Perfil'!$B$3),"")</f>
        <v/>
      </c>
    </row>
    <row r="235">
      <c r="A235" s="22" t="n"/>
      <c r="B235" s="23" t="n"/>
      <c r="C235" s="23" t="n"/>
      <c r="D235" s="24" t="n"/>
      <c r="E235" s="24" t="n"/>
      <c r="F235" s="23" t="n"/>
      <c r="G235" s="19">
        <f>IFERROR(IF(OR($B235="",$C235=""),"",IF(MATCH($C235,'Ajustes'!$A$5:$A$8,0)&lt;=2,$D235*INDEX('Ajustes'!$C$5:$C$6,MATCH($C235,'Ajustes'!$A$5:$A$8,0)),IF(MATCH($C235,'Ajustes'!$A$5:$A$8,0)=3,-($D235+$E235*INDEX('Equipo'!$B$5:$B$29,MATCH($B235,'Equipo'!$A$5:$A$29,0))),0))),"")</f>
        <v/>
      </c>
      <c r="H235" s="25">
        <f>IFERROR(IF(OR($B235="",$C235=""),"",IF(MATCH($C235,'Ajustes'!$A$5:$A$8,0)=4,$D235/INDEX('Equipo'!$B$5:$B$29,MATCH($B235,'Equipo'!$A$5:$A$29,0))+$E235,0)),"")</f>
        <v/>
      </c>
      <c r="I235" s="26">
        <f>IF($B235='Perfil'!$B$3,COUNTIF($B$4:$B235,'Perfil'!$B$3),"")</f>
        <v/>
      </c>
    </row>
    <row r="236">
      <c r="A236" s="22" t="n"/>
      <c r="B236" s="23" t="n"/>
      <c r="C236" s="23" t="n"/>
      <c r="D236" s="24" t="n"/>
      <c r="E236" s="24" t="n"/>
      <c r="F236" s="23" t="n"/>
      <c r="G236" s="19">
        <f>IFERROR(IF(OR($B236="",$C236=""),"",IF(MATCH($C236,'Ajustes'!$A$5:$A$8,0)&lt;=2,$D236*INDEX('Ajustes'!$C$5:$C$6,MATCH($C236,'Ajustes'!$A$5:$A$8,0)),IF(MATCH($C236,'Ajustes'!$A$5:$A$8,0)=3,-($D236+$E236*INDEX('Equipo'!$B$5:$B$29,MATCH($B236,'Equipo'!$A$5:$A$29,0))),0))),"")</f>
        <v/>
      </c>
      <c r="H236" s="25">
        <f>IFERROR(IF(OR($B236="",$C236=""),"",IF(MATCH($C236,'Ajustes'!$A$5:$A$8,0)=4,$D236/INDEX('Equipo'!$B$5:$B$29,MATCH($B236,'Equipo'!$A$5:$A$29,0))+$E236,0)),"")</f>
        <v/>
      </c>
      <c r="I236" s="26">
        <f>IF($B236='Perfil'!$B$3,COUNTIF($B$4:$B236,'Perfil'!$B$3),"")</f>
        <v/>
      </c>
    </row>
    <row r="237">
      <c r="A237" s="22" t="n"/>
      <c r="B237" s="23" t="n"/>
      <c r="C237" s="23" t="n"/>
      <c r="D237" s="24" t="n"/>
      <c r="E237" s="24" t="n"/>
      <c r="F237" s="23" t="n"/>
      <c r="G237" s="19">
        <f>IFERROR(IF(OR($B237="",$C237=""),"",IF(MATCH($C237,'Ajustes'!$A$5:$A$8,0)&lt;=2,$D237*INDEX('Ajustes'!$C$5:$C$6,MATCH($C237,'Ajustes'!$A$5:$A$8,0)),IF(MATCH($C237,'Ajustes'!$A$5:$A$8,0)=3,-($D237+$E237*INDEX('Equipo'!$B$5:$B$29,MATCH($B237,'Equipo'!$A$5:$A$29,0))),0))),"")</f>
        <v/>
      </c>
      <c r="H237" s="25">
        <f>IFERROR(IF(OR($B237="",$C237=""),"",IF(MATCH($C237,'Ajustes'!$A$5:$A$8,0)=4,$D237/INDEX('Equipo'!$B$5:$B$29,MATCH($B237,'Equipo'!$A$5:$A$29,0))+$E237,0)),"")</f>
        <v/>
      </c>
      <c r="I237" s="26">
        <f>IF($B237='Perfil'!$B$3,COUNTIF($B$4:$B237,'Perfil'!$B$3),"")</f>
        <v/>
      </c>
    </row>
    <row r="238">
      <c r="A238" s="22" t="n"/>
      <c r="B238" s="23" t="n"/>
      <c r="C238" s="23" t="n"/>
      <c r="D238" s="24" t="n"/>
      <c r="E238" s="24" t="n"/>
      <c r="F238" s="23" t="n"/>
      <c r="G238" s="19">
        <f>IFERROR(IF(OR($B238="",$C238=""),"",IF(MATCH($C238,'Ajustes'!$A$5:$A$8,0)&lt;=2,$D238*INDEX('Ajustes'!$C$5:$C$6,MATCH($C238,'Ajustes'!$A$5:$A$8,0)),IF(MATCH($C238,'Ajustes'!$A$5:$A$8,0)=3,-($D238+$E238*INDEX('Equipo'!$B$5:$B$29,MATCH($B238,'Equipo'!$A$5:$A$29,0))),0))),"")</f>
        <v/>
      </c>
      <c r="H238" s="25">
        <f>IFERROR(IF(OR($B238="",$C238=""),"",IF(MATCH($C238,'Ajustes'!$A$5:$A$8,0)=4,$D238/INDEX('Equipo'!$B$5:$B$29,MATCH($B238,'Equipo'!$A$5:$A$29,0))+$E238,0)),"")</f>
        <v/>
      </c>
      <c r="I238" s="26">
        <f>IF($B238='Perfil'!$B$3,COUNTIF($B$4:$B238,'Perfil'!$B$3),"")</f>
        <v/>
      </c>
    </row>
    <row r="239">
      <c r="A239" s="22" t="n"/>
      <c r="B239" s="23" t="n"/>
      <c r="C239" s="23" t="n"/>
      <c r="D239" s="24" t="n"/>
      <c r="E239" s="24" t="n"/>
      <c r="F239" s="23" t="n"/>
      <c r="G239" s="19">
        <f>IFERROR(IF(OR($B239="",$C239=""),"",IF(MATCH($C239,'Ajustes'!$A$5:$A$8,0)&lt;=2,$D239*INDEX('Ajustes'!$C$5:$C$6,MATCH($C239,'Ajustes'!$A$5:$A$8,0)),IF(MATCH($C239,'Ajustes'!$A$5:$A$8,0)=3,-($D239+$E239*INDEX('Equipo'!$B$5:$B$29,MATCH($B239,'Equipo'!$A$5:$A$29,0))),0))),"")</f>
        <v/>
      </c>
      <c r="H239" s="25">
        <f>IFERROR(IF(OR($B239="",$C239=""),"",IF(MATCH($C239,'Ajustes'!$A$5:$A$8,0)=4,$D239/INDEX('Equipo'!$B$5:$B$29,MATCH($B239,'Equipo'!$A$5:$A$29,0))+$E239,0)),"")</f>
        <v/>
      </c>
      <c r="I239" s="26">
        <f>IF($B239='Perfil'!$B$3,COUNTIF($B$4:$B239,'Perfil'!$B$3),"")</f>
        <v/>
      </c>
    </row>
    <row r="240">
      <c r="A240" s="22" t="n"/>
      <c r="B240" s="23" t="n"/>
      <c r="C240" s="23" t="n"/>
      <c r="D240" s="24" t="n"/>
      <c r="E240" s="24" t="n"/>
      <c r="F240" s="23" t="n"/>
      <c r="G240" s="19">
        <f>IFERROR(IF(OR($B240="",$C240=""),"",IF(MATCH($C240,'Ajustes'!$A$5:$A$8,0)&lt;=2,$D240*INDEX('Ajustes'!$C$5:$C$6,MATCH($C240,'Ajustes'!$A$5:$A$8,0)),IF(MATCH($C240,'Ajustes'!$A$5:$A$8,0)=3,-($D240+$E240*INDEX('Equipo'!$B$5:$B$29,MATCH($B240,'Equipo'!$A$5:$A$29,0))),0))),"")</f>
        <v/>
      </c>
      <c r="H240" s="25">
        <f>IFERROR(IF(OR($B240="",$C240=""),"",IF(MATCH($C240,'Ajustes'!$A$5:$A$8,0)=4,$D240/INDEX('Equipo'!$B$5:$B$29,MATCH($B240,'Equipo'!$A$5:$A$29,0))+$E240,0)),"")</f>
        <v/>
      </c>
      <c r="I240" s="26">
        <f>IF($B240='Perfil'!$B$3,COUNTIF($B$4:$B240,'Perfil'!$B$3),"")</f>
        <v/>
      </c>
    </row>
    <row r="241">
      <c r="A241" s="22" t="n"/>
      <c r="B241" s="23" t="n"/>
      <c r="C241" s="23" t="n"/>
      <c r="D241" s="24" t="n"/>
      <c r="E241" s="24" t="n"/>
      <c r="F241" s="23" t="n"/>
      <c r="G241" s="19">
        <f>IFERROR(IF(OR($B241="",$C241=""),"",IF(MATCH($C241,'Ajustes'!$A$5:$A$8,0)&lt;=2,$D241*INDEX('Ajustes'!$C$5:$C$6,MATCH($C241,'Ajustes'!$A$5:$A$8,0)),IF(MATCH($C241,'Ajustes'!$A$5:$A$8,0)=3,-($D241+$E241*INDEX('Equipo'!$B$5:$B$29,MATCH($B241,'Equipo'!$A$5:$A$29,0))),0))),"")</f>
        <v/>
      </c>
      <c r="H241" s="25">
        <f>IFERROR(IF(OR($B241="",$C241=""),"",IF(MATCH($C241,'Ajustes'!$A$5:$A$8,0)=4,$D241/INDEX('Equipo'!$B$5:$B$29,MATCH($B241,'Equipo'!$A$5:$A$29,0))+$E241,0)),"")</f>
        <v/>
      </c>
      <c r="I241" s="26">
        <f>IF($B241='Perfil'!$B$3,COUNTIF($B$4:$B241,'Perfil'!$B$3),"")</f>
        <v/>
      </c>
    </row>
    <row r="242">
      <c r="A242" s="22" t="n"/>
      <c r="B242" s="23" t="n"/>
      <c r="C242" s="23" t="n"/>
      <c r="D242" s="24" t="n"/>
      <c r="E242" s="24" t="n"/>
      <c r="F242" s="23" t="n"/>
      <c r="G242" s="19">
        <f>IFERROR(IF(OR($B242="",$C242=""),"",IF(MATCH($C242,'Ajustes'!$A$5:$A$8,0)&lt;=2,$D242*INDEX('Ajustes'!$C$5:$C$6,MATCH($C242,'Ajustes'!$A$5:$A$8,0)),IF(MATCH($C242,'Ajustes'!$A$5:$A$8,0)=3,-($D242+$E242*INDEX('Equipo'!$B$5:$B$29,MATCH($B242,'Equipo'!$A$5:$A$29,0))),0))),"")</f>
        <v/>
      </c>
      <c r="H242" s="25">
        <f>IFERROR(IF(OR($B242="",$C242=""),"",IF(MATCH($C242,'Ajustes'!$A$5:$A$8,0)=4,$D242/INDEX('Equipo'!$B$5:$B$29,MATCH($B242,'Equipo'!$A$5:$A$29,0))+$E242,0)),"")</f>
        <v/>
      </c>
      <c r="I242" s="26">
        <f>IF($B242='Perfil'!$B$3,COUNTIF($B$4:$B242,'Perfil'!$B$3),"")</f>
        <v/>
      </c>
    </row>
    <row r="243">
      <c r="A243" s="22" t="n"/>
      <c r="B243" s="23" t="n"/>
      <c r="C243" s="23" t="n"/>
      <c r="D243" s="24" t="n"/>
      <c r="E243" s="24" t="n"/>
      <c r="F243" s="23" t="n"/>
      <c r="G243" s="19">
        <f>IFERROR(IF(OR($B243="",$C243=""),"",IF(MATCH($C243,'Ajustes'!$A$5:$A$8,0)&lt;=2,$D243*INDEX('Ajustes'!$C$5:$C$6,MATCH($C243,'Ajustes'!$A$5:$A$8,0)),IF(MATCH($C243,'Ajustes'!$A$5:$A$8,0)=3,-($D243+$E243*INDEX('Equipo'!$B$5:$B$29,MATCH($B243,'Equipo'!$A$5:$A$29,0))),0))),"")</f>
        <v/>
      </c>
      <c r="H243" s="25">
        <f>IFERROR(IF(OR($B243="",$C243=""),"",IF(MATCH($C243,'Ajustes'!$A$5:$A$8,0)=4,$D243/INDEX('Equipo'!$B$5:$B$29,MATCH($B243,'Equipo'!$A$5:$A$29,0))+$E243,0)),"")</f>
        <v/>
      </c>
      <c r="I243" s="26">
        <f>IF($B243='Perfil'!$B$3,COUNTIF($B$4:$B243,'Perfil'!$B$3),"")</f>
        <v/>
      </c>
    </row>
    <row r="244">
      <c r="A244" s="22" t="n"/>
      <c r="B244" s="23" t="n"/>
      <c r="C244" s="23" t="n"/>
      <c r="D244" s="24" t="n"/>
      <c r="E244" s="24" t="n"/>
      <c r="F244" s="23" t="n"/>
      <c r="G244" s="19">
        <f>IFERROR(IF(OR($B244="",$C244=""),"",IF(MATCH($C244,'Ajustes'!$A$5:$A$8,0)&lt;=2,$D244*INDEX('Ajustes'!$C$5:$C$6,MATCH($C244,'Ajustes'!$A$5:$A$8,0)),IF(MATCH($C244,'Ajustes'!$A$5:$A$8,0)=3,-($D244+$E244*INDEX('Equipo'!$B$5:$B$29,MATCH($B244,'Equipo'!$A$5:$A$29,0))),0))),"")</f>
        <v/>
      </c>
      <c r="H244" s="25">
        <f>IFERROR(IF(OR($B244="",$C244=""),"",IF(MATCH($C244,'Ajustes'!$A$5:$A$8,0)=4,$D244/INDEX('Equipo'!$B$5:$B$29,MATCH($B244,'Equipo'!$A$5:$A$29,0))+$E244,0)),"")</f>
        <v/>
      </c>
      <c r="I244" s="26">
        <f>IF($B244='Perfil'!$B$3,COUNTIF($B$4:$B244,'Perfil'!$B$3),"")</f>
        <v/>
      </c>
    </row>
    <row r="245">
      <c r="A245" s="22" t="n"/>
      <c r="B245" s="23" t="n"/>
      <c r="C245" s="23" t="n"/>
      <c r="D245" s="24" t="n"/>
      <c r="E245" s="24" t="n"/>
      <c r="F245" s="23" t="n"/>
      <c r="G245" s="19">
        <f>IFERROR(IF(OR($B245="",$C245=""),"",IF(MATCH($C245,'Ajustes'!$A$5:$A$8,0)&lt;=2,$D245*INDEX('Ajustes'!$C$5:$C$6,MATCH($C245,'Ajustes'!$A$5:$A$8,0)),IF(MATCH($C245,'Ajustes'!$A$5:$A$8,0)=3,-($D245+$E245*INDEX('Equipo'!$B$5:$B$29,MATCH($B245,'Equipo'!$A$5:$A$29,0))),0))),"")</f>
        <v/>
      </c>
      <c r="H245" s="25">
        <f>IFERROR(IF(OR($B245="",$C245=""),"",IF(MATCH($C245,'Ajustes'!$A$5:$A$8,0)=4,$D245/INDEX('Equipo'!$B$5:$B$29,MATCH($B245,'Equipo'!$A$5:$A$29,0))+$E245,0)),"")</f>
        <v/>
      </c>
      <c r="I245" s="26">
        <f>IF($B245='Perfil'!$B$3,COUNTIF($B$4:$B245,'Perfil'!$B$3),"")</f>
        <v/>
      </c>
    </row>
    <row r="246">
      <c r="A246" s="22" t="n"/>
      <c r="B246" s="23" t="n"/>
      <c r="C246" s="23" t="n"/>
      <c r="D246" s="24" t="n"/>
      <c r="E246" s="24" t="n"/>
      <c r="F246" s="23" t="n"/>
      <c r="G246" s="19">
        <f>IFERROR(IF(OR($B246="",$C246=""),"",IF(MATCH($C246,'Ajustes'!$A$5:$A$8,0)&lt;=2,$D246*INDEX('Ajustes'!$C$5:$C$6,MATCH($C246,'Ajustes'!$A$5:$A$8,0)),IF(MATCH($C246,'Ajustes'!$A$5:$A$8,0)=3,-($D246+$E246*INDEX('Equipo'!$B$5:$B$29,MATCH($B246,'Equipo'!$A$5:$A$29,0))),0))),"")</f>
        <v/>
      </c>
      <c r="H246" s="25">
        <f>IFERROR(IF(OR($B246="",$C246=""),"",IF(MATCH($C246,'Ajustes'!$A$5:$A$8,0)=4,$D246/INDEX('Equipo'!$B$5:$B$29,MATCH($B246,'Equipo'!$A$5:$A$29,0))+$E246,0)),"")</f>
        <v/>
      </c>
      <c r="I246" s="26">
        <f>IF($B246='Perfil'!$B$3,COUNTIF($B$4:$B246,'Perfil'!$B$3),"")</f>
        <v/>
      </c>
    </row>
    <row r="247">
      <c r="A247" s="22" t="n"/>
      <c r="B247" s="23" t="n"/>
      <c r="C247" s="23" t="n"/>
      <c r="D247" s="24" t="n"/>
      <c r="E247" s="24" t="n"/>
      <c r="F247" s="23" t="n"/>
      <c r="G247" s="19">
        <f>IFERROR(IF(OR($B247="",$C247=""),"",IF(MATCH($C247,'Ajustes'!$A$5:$A$8,0)&lt;=2,$D247*INDEX('Ajustes'!$C$5:$C$6,MATCH($C247,'Ajustes'!$A$5:$A$8,0)),IF(MATCH($C247,'Ajustes'!$A$5:$A$8,0)=3,-($D247+$E247*INDEX('Equipo'!$B$5:$B$29,MATCH($B247,'Equipo'!$A$5:$A$29,0))),0))),"")</f>
        <v/>
      </c>
      <c r="H247" s="25">
        <f>IFERROR(IF(OR($B247="",$C247=""),"",IF(MATCH($C247,'Ajustes'!$A$5:$A$8,0)=4,$D247/INDEX('Equipo'!$B$5:$B$29,MATCH($B247,'Equipo'!$A$5:$A$29,0))+$E247,0)),"")</f>
        <v/>
      </c>
      <c r="I247" s="26">
        <f>IF($B247='Perfil'!$B$3,COUNTIF($B$4:$B247,'Perfil'!$B$3),"")</f>
        <v/>
      </c>
    </row>
    <row r="248">
      <c r="A248" s="22" t="n"/>
      <c r="B248" s="23" t="n"/>
      <c r="C248" s="23" t="n"/>
      <c r="D248" s="24" t="n"/>
      <c r="E248" s="24" t="n"/>
      <c r="F248" s="23" t="n"/>
      <c r="G248" s="19">
        <f>IFERROR(IF(OR($B248="",$C248=""),"",IF(MATCH($C248,'Ajustes'!$A$5:$A$8,0)&lt;=2,$D248*INDEX('Ajustes'!$C$5:$C$6,MATCH($C248,'Ajustes'!$A$5:$A$8,0)),IF(MATCH($C248,'Ajustes'!$A$5:$A$8,0)=3,-($D248+$E248*INDEX('Equipo'!$B$5:$B$29,MATCH($B248,'Equipo'!$A$5:$A$29,0))),0))),"")</f>
        <v/>
      </c>
      <c r="H248" s="25">
        <f>IFERROR(IF(OR($B248="",$C248=""),"",IF(MATCH($C248,'Ajustes'!$A$5:$A$8,0)=4,$D248/INDEX('Equipo'!$B$5:$B$29,MATCH($B248,'Equipo'!$A$5:$A$29,0))+$E248,0)),"")</f>
        <v/>
      </c>
      <c r="I248" s="26">
        <f>IF($B248='Perfil'!$B$3,COUNTIF($B$4:$B248,'Perfil'!$B$3),"")</f>
        <v/>
      </c>
    </row>
    <row r="249">
      <c r="A249" s="22" t="n"/>
      <c r="B249" s="23" t="n"/>
      <c r="C249" s="23" t="n"/>
      <c r="D249" s="24" t="n"/>
      <c r="E249" s="24" t="n"/>
      <c r="F249" s="23" t="n"/>
      <c r="G249" s="19">
        <f>IFERROR(IF(OR($B249="",$C249=""),"",IF(MATCH($C249,'Ajustes'!$A$5:$A$8,0)&lt;=2,$D249*INDEX('Ajustes'!$C$5:$C$6,MATCH($C249,'Ajustes'!$A$5:$A$8,0)),IF(MATCH($C249,'Ajustes'!$A$5:$A$8,0)=3,-($D249+$E249*INDEX('Equipo'!$B$5:$B$29,MATCH($B249,'Equipo'!$A$5:$A$29,0))),0))),"")</f>
        <v/>
      </c>
      <c r="H249" s="25">
        <f>IFERROR(IF(OR($B249="",$C249=""),"",IF(MATCH($C249,'Ajustes'!$A$5:$A$8,0)=4,$D249/INDEX('Equipo'!$B$5:$B$29,MATCH($B249,'Equipo'!$A$5:$A$29,0))+$E249,0)),"")</f>
        <v/>
      </c>
      <c r="I249" s="26">
        <f>IF($B249='Perfil'!$B$3,COUNTIF($B$4:$B249,'Perfil'!$B$3),"")</f>
        <v/>
      </c>
    </row>
    <row r="250">
      <c r="A250" s="22" t="n"/>
      <c r="B250" s="23" t="n"/>
      <c r="C250" s="23" t="n"/>
      <c r="D250" s="24" t="n"/>
      <c r="E250" s="24" t="n"/>
      <c r="F250" s="23" t="n"/>
      <c r="G250" s="19">
        <f>IFERROR(IF(OR($B250="",$C250=""),"",IF(MATCH($C250,'Ajustes'!$A$5:$A$8,0)&lt;=2,$D250*INDEX('Ajustes'!$C$5:$C$6,MATCH($C250,'Ajustes'!$A$5:$A$8,0)),IF(MATCH($C250,'Ajustes'!$A$5:$A$8,0)=3,-($D250+$E250*INDEX('Equipo'!$B$5:$B$29,MATCH($B250,'Equipo'!$A$5:$A$29,0))),0))),"")</f>
        <v/>
      </c>
      <c r="H250" s="25">
        <f>IFERROR(IF(OR($B250="",$C250=""),"",IF(MATCH($C250,'Ajustes'!$A$5:$A$8,0)=4,$D250/INDEX('Equipo'!$B$5:$B$29,MATCH($B250,'Equipo'!$A$5:$A$29,0))+$E250,0)),"")</f>
        <v/>
      </c>
      <c r="I250" s="26">
        <f>IF($B250='Perfil'!$B$3,COUNTIF($B$4:$B250,'Perfil'!$B$3),"")</f>
        <v/>
      </c>
    </row>
    <row r="251">
      <c r="A251" s="22" t="n"/>
      <c r="B251" s="23" t="n"/>
      <c r="C251" s="23" t="n"/>
      <c r="D251" s="24" t="n"/>
      <c r="E251" s="24" t="n"/>
      <c r="F251" s="23" t="n"/>
      <c r="G251" s="19">
        <f>IFERROR(IF(OR($B251="",$C251=""),"",IF(MATCH($C251,'Ajustes'!$A$5:$A$8,0)&lt;=2,$D251*INDEX('Ajustes'!$C$5:$C$6,MATCH($C251,'Ajustes'!$A$5:$A$8,0)),IF(MATCH($C251,'Ajustes'!$A$5:$A$8,0)=3,-($D251+$E251*INDEX('Equipo'!$B$5:$B$29,MATCH($B251,'Equipo'!$A$5:$A$29,0))),0))),"")</f>
        <v/>
      </c>
      <c r="H251" s="25">
        <f>IFERROR(IF(OR($B251="",$C251=""),"",IF(MATCH($C251,'Ajustes'!$A$5:$A$8,0)=4,$D251/INDEX('Equipo'!$B$5:$B$29,MATCH($B251,'Equipo'!$A$5:$A$29,0))+$E251,0)),"")</f>
        <v/>
      </c>
      <c r="I251" s="26">
        <f>IF($B251='Perfil'!$B$3,COUNTIF($B$4:$B251,'Perfil'!$B$3),"")</f>
        <v/>
      </c>
    </row>
    <row r="252">
      <c r="A252" s="22" t="n"/>
      <c r="B252" s="23" t="n"/>
      <c r="C252" s="23" t="n"/>
      <c r="D252" s="24" t="n"/>
      <c r="E252" s="24" t="n"/>
      <c r="F252" s="23" t="n"/>
      <c r="G252" s="19">
        <f>IFERROR(IF(OR($B252="",$C252=""),"",IF(MATCH($C252,'Ajustes'!$A$5:$A$8,0)&lt;=2,$D252*INDEX('Ajustes'!$C$5:$C$6,MATCH($C252,'Ajustes'!$A$5:$A$8,0)),IF(MATCH($C252,'Ajustes'!$A$5:$A$8,0)=3,-($D252+$E252*INDEX('Equipo'!$B$5:$B$29,MATCH($B252,'Equipo'!$A$5:$A$29,0))),0))),"")</f>
        <v/>
      </c>
      <c r="H252" s="25">
        <f>IFERROR(IF(OR($B252="",$C252=""),"",IF(MATCH($C252,'Ajustes'!$A$5:$A$8,0)=4,$D252/INDEX('Equipo'!$B$5:$B$29,MATCH($B252,'Equipo'!$A$5:$A$29,0))+$E252,0)),"")</f>
        <v/>
      </c>
      <c r="I252" s="26">
        <f>IF($B252='Perfil'!$B$3,COUNTIF($B$4:$B252,'Perfil'!$B$3),"")</f>
        <v/>
      </c>
    </row>
    <row r="253">
      <c r="A253" s="22" t="n"/>
      <c r="B253" s="23" t="n"/>
      <c r="C253" s="23" t="n"/>
      <c r="D253" s="24" t="n"/>
      <c r="E253" s="24" t="n"/>
      <c r="F253" s="23" t="n"/>
      <c r="G253" s="19">
        <f>IFERROR(IF(OR($B253="",$C253=""),"",IF(MATCH($C253,'Ajustes'!$A$5:$A$8,0)&lt;=2,$D253*INDEX('Ajustes'!$C$5:$C$6,MATCH($C253,'Ajustes'!$A$5:$A$8,0)),IF(MATCH($C253,'Ajustes'!$A$5:$A$8,0)=3,-($D253+$E253*INDEX('Equipo'!$B$5:$B$29,MATCH($B253,'Equipo'!$A$5:$A$29,0))),0))),"")</f>
        <v/>
      </c>
      <c r="H253" s="25">
        <f>IFERROR(IF(OR($B253="",$C253=""),"",IF(MATCH($C253,'Ajustes'!$A$5:$A$8,0)=4,$D253/INDEX('Equipo'!$B$5:$B$29,MATCH($B253,'Equipo'!$A$5:$A$29,0))+$E253,0)),"")</f>
        <v/>
      </c>
      <c r="I253" s="26">
        <f>IF($B253='Perfil'!$B$3,COUNTIF($B$4:$B253,'Perfil'!$B$3),"")</f>
        <v/>
      </c>
    </row>
    <row r="254">
      <c r="A254" s="22" t="n"/>
      <c r="B254" s="23" t="n"/>
      <c r="C254" s="23" t="n"/>
      <c r="D254" s="24" t="n"/>
      <c r="E254" s="24" t="n"/>
      <c r="F254" s="23" t="n"/>
      <c r="G254" s="19">
        <f>IFERROR(IF(OR($B254="",$C254=""),"",IF(MATCH($C254,'Ajustes'!$A$5:$A$8,0)&lt;=2,$D254*INDEX('Ajustes'!$C$5:$C$6,MATCH($C254,'Ajustes'!$A$5:$A$8,0)),IF(MATCH($C254,'Ajustes'!$A$5:$A$8,0)=3,-($D254+$E254*INDEX('Equipo'!$B$5:$B$29,MATCH($B254,'Equipo'!$A$5:$A$29,0))),0))),"")</f>
        <v/>
      </c>
      <c r="H254" s="25">
        <f>IFERROR(IF(OR($B254="",$C254=""),"",IF(MATCH($C254,'Ajustes'!$A$5:$A$8,0)=4,$D254/INDEX('Equipo'!$B$5:$B$29,MATCH($B254,'Equipo'!$A$5:$A$29,0))+$E254,0)),"")</f>
        <v/>
      </c>
      <c r="I254" s="26">
        <f>IF($B254='Perfil'!$B$3,COUNTIF($B$4:$B254,'Perfil'!$B$3),"")</f>
        <v/>
      </c>
    </row>
    <row r="255">
      <c r="A255" s="22" t="n"/>
      <c r="B255" s="23" t="n"/>
      <c r="C255" s="23" t="n"/>
      <c r="D255" s="24" t="n"/>
      <c r="E255" s="24" t="n"/>
      <c r="F255" s="23" t="n"/>
      <c r="G255" s="19">
        <f>IFERROR(IF(OR($B255="",$C255=""),"",IF(MATCH($C255,'Ajustes'!$A$5:$A$8,0)&lt;=2,$D255*INDEX('Ajustes'!$C$5:$C$6,MATCH($C255,'Ajustes'!$A$5:$A$8,0)),IF(MATCH($C255,'Ajustes'!$A$5:$A$8,0)=3,-($D255+$E255*INDEX('Equipo'!$B$5:$B$29,MATCH($B255,'Equipo'!$A$5:$A$29,0))),0))),"")</f>
        <v/>
      </c>
      <c r="H255" s="25">
        <f>IFERROR(IF(OR($B255="",$C255=""),"",IF(MATCH($C255,'Ajustes'!$A$5:$A$8,0)=4,$D255/INDEX('Equipo'!$B$5:$B$29,MATCH($B255,'Equipo'!$A$5:$A$29,0))+$E255,0)),"")</f>
        <v/>
      </c>
      <c r="I255" s="26">
        <f>IF($B255='Perfil'!$B$3,COUNTIF($B$4:$B255,'Perfil'!$B$3),"")</f>
        <v/>
      </c>
    </row>
    <row r="256">
      <c r="A256" s="22" t="n"/>
      <c r="B256" s="23" t="n"/>
      <c r="C256" s="23" t="n"/>
      <c r="D256" s="24" t="n"/>
      <c r="E256" s="24" t="n"/>
      <c r="F256" s="23" t="n"/>
      <c r="G256" s="19">
        <f>IFERROR(IF(OR($B256="",$C256=""),"",IF(MATCH($C256,'Ajustes'!$A$5:$A$8,0)&lt;=2,$D256*INDEX('Ajustes'!$C$5:$C$6,MATCH($C256,'Ajustes'!$A$5:$A$8,0)),IF(MATCH($C256,'Ajustes'!$A$5:$A$8,0)=3,-($D256+$E256*INDEX('Equipo'!$B$5:$B$29,MATCH($B256,'Equipo'!$A$5:$A$29,0))),0))),"")</f>
        <v/>
      </c>
      <c r="H256" s="25">
        <f>IFERROR(IF(OR($B256="",$C256=""),"",IF(MATCH($C256,'Ajustes'!$A$5:$A$8,0)=4,$D256/INDEX('Equipo'!$B$5:$B$29,MATCH($B256,'Equipo'!$A$5:$A$29,0))+$E256,0)),"")</f>
        <v/>
      </c>
      <c r="I256" s="26">
        <f>IF($B256='Perfil'!$B$3,COUNTIF($B$4:$B256,'Perfil'!$B$3),"")</f>
        <v/>
      </c>
    </row>
    <row r="257">
      <c r="A257" s="22" t="n"/>
      <c r="B257" s="23" t="n"/>
      <c r="C257" s="23" t="n"/>
      <c r="D257" s="24" t="n"/>
      <c r="E257" s="24" t="n"/>
      <c r="F257" s="23" t="n"/>
      <c r="G257" s="19">
        <f>IFERROR(IF(OR($B257="",$C257=""),"",IF(MATCH($C257,'Ajustes'!$A$5:$A$8,0)&lt;=2,$D257*INDEX('Ajustes'!$C$5:$C$6,MATCH($C257,'Ajustes'!$A$5:$A$8,0)),IF(MATCH($C257,'Ajustes'!$A$5:$A$8,0)=3,-($D257+$E257*INDEX('Equipo'!$B$5:$B$29,MATCH($B257,'Equipo'!$A$5:$A$29,0))),0))),"")</f>
        <v/>
      </c>
      <c r="H257" s="25">
        <f>IFERROR(IF(OR($B257="",$C257=""),"",IF(MATCH($C257,'Ajustes'!$A$5:$A$8,0)=4,$D257/INDEX('Equipo'!$B$5:$B$29,MATCH($B257,'Equipo'!$A$5:$A$29,0))+$E257,0)),"")</f>
        <v/>
      </c>
      <c r="I257" s="26">
        <f>IF($B257='Perfil'!$B$3,COUNTIF($B$4:$B257,'Perfil'!$B$3),"")</f>
        <v/>
      </c>
    </row>
    <row r="258">
      <c r="A258" s="22" t="n"/>
      <c r="B258" s="23" t="n"/>
      <c r="C258" s="23" t="n"/>
      <c r="D258" s="24" t="n"/>
      <c r="E258" s="24" t="n"/>
      <c r="F258" s="23" t="n"/>
      <c r="G258" s="19">
        <f>IFERROR(IF(OR($B258="",$C258=""),"",IF(MATCH($C258,'Ajustes'!$A$5:$A$8,0)&lt;=2,$D258*INDEX('Ajustes'!$C$5:$C$6,MATCH($C258,'Ajustes'!$A$5:$A$8,0)),IF(MATCH($C258,'Ajustes'!$A$5:$A$8,0)=3,-($D258+$E258*INDEX('Equipo'!$B$5:$B$29,MATCH($B258,'Equipo'!$A$5:$A$29,0))),0))),"")</f>
        <v/>
      </c>
      <c r="H258" s="25">
        <f>IFERROR(IF(OR($B258="",$C258=""),"",IF(MATCH($C258,'Ajustes'!$A$5:$A$8,0)=4,$D258/INDEX('Equipo'!$B$5:$B$29,MATCH($B258,'Equipo'!$A$5:$A$29,0))+$E258,0)),"")</f>
        <v/>
      </c>
      <c r="I258" s="26">
        <f>IF($B258='Perfil'!$B$3,COUNTIF($B$4:$B258,'Perfil'!$B$3),"")</f>
        <v/>
      </c>
    </row>
    <row r="259">
      <c r="A259" s="22" t="n"/>
      <c r="B259" s="23" t="n"/>
      <c r="C259" s="23" t="n"/>
      <c r="D259" s="24" t="n"/>
      <c r="E259" s="24" t="n"/>
      <c r="F259" s="23" t="n"/>
      <c r="G259" s="19">
        <f>IFERROR(IF(OR($B259="",$C259=""),"",IF(MATCH($C259,'Ajustes'!$A$5:$A$8,0)&lt;=2,$D259*INDEX('Ajustes'!$C$5:$C$6,MATCH($C259,'Ajustes'!$A$5:$A$8,0)),IF(MATCH($C259,'Ajustes'!$A$5:$A$8,0)=3,-($D259+$E259*INDEX('Equipo'!$B$5:$B$29,MATCH($B259,'Equipo'!$A$5:$A$29,0))),0))),"")</f>
        <v/>
      </c>
      <c r="H259" s="25">
        <f>IFERROR(IF(OR($B259="",$C259=""),"",IF(MATCH($C259,'Ajustes'!$A$5:$A$8,0)=4,$D259/INDEX('Equipo'!$B$5:$B$29,MATCH($B259,'Equipo'!$A$5:$A$29,0))+$E259,0)),"")</f>
        <v/>
      </c>
      <c r="I259" s="26">
        <f>IF($B259='Perfil'!$B$3,COUNTIF($B$4:$B259,'Perfil'!$B$3),"")</f>
        <v/>
      </c>
    </row>
    <row r="260">
      <c r="A260" s="22" t="n"/>
      <c r="B260" s="23" t="n"/>
      <c r="C260" s="23" t="n"/>
      <c r="D260" s="24" t="n"/>
      <c r="E260" s="24" t="n"/>
      <c r="F260" s="23" t="n"/>
      <c r="G260" s="19">
        <f>IFERROR(IF(OR($B260="",$C260=""),"",IF(MATCH($C260,'Ajustes'!$A$5:$A$8,0)&lt;=2,$D260*INDEX('Ajustes'!$C$5:$C$6,MATCH($C260,'Ajustes'!$A$5:$A$8,0)),IF(MATCH($C260,'Ajustes'!$A$5:$A$8,0)=3,-($D260+$E260*INDEX('Equipo'!$B$5:$B$29,MATCH($B260,'Equipo'!$A$5:$A$29,0))),0))),"")</f>
        <v/>
      </c>
      <c r="H260" s="25">
        <f>IFERROR(IF(OR($B260="",$C260=""),"",IF(MATCH($C260,'Ajustes'!$A$5:$A$8,0)=4,$D260/INDEX('Equipo'!$B$5:$B$29,MATCH($B260,'Equipo'!$A$5:$A$29,0))+$E260,0)),"")</f>
        <v/>
      </c>
      <c r="I260" s="26">
        <f>IF($B260='Perfil'!$B$3,COUNTIF($B$4:$B260,'Perfil'!$B$3),"")</f>
        <v/>
      </c>
    </row>
    <row r="261">
      <c r="A261" s="22" t="n"/>
      <c r="B261" s="23" t="n"/>
      <c r="C261" s="23" t="n"/>
      <c r="D261" s="24" t="n"/>
      <c r="E261" s="24" t="n"/>
      <c r="F261" s="23" t="n"/>
      <c r="G261" s="19">
        <f>IFERROR(IF(OR($B261="",$C261=""),"",IF(MATCH($C261,'Ajustes'!$A$5:$A$8,0)&lt;=2,$D261*INDEX('Ajustes'!$C$5:$C$6,MATCH($C261,'Ajustes'!$A$5:$A$8,0)),IF(MATCH($C261,'Ajustes'!$A$5:$A$8,0)=3,-($D261+$E261*INDEX('Equipo'!$B$5:$B$29,MATCH($B261,'Equipo'!$A$5:$A$29,0))),0))),"")</f>
        <v/>
      </c>
      <c r="H261" s="25">
        <f>IFERROR(IF(OR($B261="",$C261=""),"",IF(MATCH($C261,'Ajustes'!$A$5:$A$8,0)=4,$D261/INDEX('Equipo'!$B$5:$B$29,MATCH($B261,'Equipo'!$A$5:$A$29,0))+$E261,0)),"")</f>
        <v/>
      </c>
      <c r="I261" s="26">
        <f>IF($B261='Perfil'!$B$3,COUNTIF($B$4:$B261,'Perfil'!$B$3),"")</f>
        <v/>
      </c>
    </row>
    <row r="262">
      <c r="A262" s="22" t="n"/>
      <c r="B262" s="23" t="n"/>
      <c r="C262" s="23" t="n"/>
      <c r="D262" s="24" t="n"/>
      <c r="E262" s="24" t="n"/>
      <c r="F262" s="23" t="n"/>
      <c r="G262" s="19">
        <f>IFERROR(IF(OR($B262="",$C262=""),"",IF(MATCH($C262,'Ajustes'!$A$5:$A$8,0)&lt;=2,$D262*INDEX('Ajustes'!$C$5:$C$6,MATCH($C262,'Ajustes'!$A$5:$A$8,0)),IF(MATCH($C262,'Ajustes'!$A$5:$A$8,0)=3,-($D262+$E262*INDEX('Equipo'!$B$5:$B$29,MATCH($B262,'Equipo'!$A$5:$A$29,0))),0))),"")</f>
        <v/>
      </c>
      <c r="H262" s="25">
        <f>IFERROR(IF(OR($B262="",$C262=""),"",IF(MATCH($C262,'Ajustes'!$A$5:$A$8,0)=4,$D262/INDEX('Equipo'!$B$5:$B$29,MATCH($B262,'Equipo'!$A$5:$A$29,0))+$E262,0)),"")</f>
        <v/>
      </c>
      <c r="I262" s="26">
        <f>IF($B262='Perfil'!$B$3,COUNTIF($B$4:$B262,'Perfil'!$B$3),"")</f>
        <v/>
      </c>
    </row>
    <row r="263">
      <c r="A263" s="22" t="n"/>
      <c r="B263" s="23" t="n"/>
      <c r="C263" s="23" t="n"/>
      <c r="D263" s="24" t="n"/>
      <c r="E263" s="24" t="n"/>
      <c r="F263" s="23" t="n"/>
      <c r="G263" s="19">
        <f>IFERROR(IF(OR($B263="",$C263=""),"",IF(MATCH($C263,'Ajustes'!$A$5:$A$8,0)&lt;=2,$D263*INDEX('Ajustes'!$C$5:$C$6,MATCH($C263,'Ajustes'!$A$5:$A$8,0)),IF(MATCH($C263,'Ajustes'!$A$5:$A$8,0)=3,-($D263+$E263*INDEX('Equipo'!$B$5:$B$29,MATCH($B263,'Equipo'!$A$5:$A$29,0))),0))),"")</f>
        <v/>
      </c>
      <c r="H263" s="25">
        <f>IFERROR(IF(OR($B263="",$C263=""),"",IF(MATCH($C263,'Ajustes'!$A$5:$A$8,0)=4,$D263/INDEX('Equipo'!$B$5:$B$29,MATCH($B263,'Equipo'!$A$5:$A$29,0))+$E263,0)),"")</f>
        <v/>
      </c>
      <c r="I263" s="26">
        <f>IF($B263='Perfil'!$B$3,COUNTIF($B$4:$B263,'Perfil'!$B$3),"")</f>
        <v/>
      </c>
    </row>
    <row r="264">
      <c r="A264" s="22" t="n"/>
      <c r="B264" s="23" t="n"/>
      <c r="C264" s="23" t="n"/>
      <c r="D264" s="24" t="n"/>
      <c r="E264" s="24" t="n"/>
      <c r="F264" s="23" t="n"/>
      <c r="G264" s="19">
        <f>IFERROR(IF(OR($B264="",$C264=""),"",IF(MATCH($C264,'Ajustes'!$A$5:$A$8,0)&lt;=2,$D264*INDEX('Ajustes'!$C$5:$C$6,MATCH($C264,'Ajustes'!$A$5:$A$8,0)),IF(MATCH($C264,'Ajustes'!$A$5:$A$8,0)=3,-($D264+$E264*INDEX('Equipo'!$B$5:$B$29,MATCH($B264,'Equipo'!$A$5:$A$29,0))),0))),"")</f>
        <v/>
      </c>
      <c r="H264" s="25">
        <f>IFERROR(IF(OR($B264="",$C264=""),"",IF(MATCH($C264,'Ajustes'!$A$5:$A$8,0)=4,$D264/INDEX('Equipo'!$B$5:$B$29,MATCH($B264,'Equipo'!$A$5:$A$29,0))+$E264,0)),"")</f>
        <v/>
      </c>
      <c r="I264" s="26">
        <f>IF($B264='Perfil'!$B$3,COUNTIF($B$4:$B264,'Perfil'!$B$3),"")</f>
        <v/>
      </c>
    </row>
    <row r="265">
      <c r="A265" s="22" t="n"/>
      <c r="B265" s="23" t="n"/>
      <c r="C265" s="23" t="n"/>
      <c r="D265" s="24" t="n"/>
      <c r="E265" s="24" t="n"/>
      <c r="F265" s="23" t="n"/>
      <c r="G265" s="19">
        <f>IFERROR(IF(OR($B265="",$C265=""),"",IF(MATCH($C265,'Ajustes'!$A$5:$A$8,0)&lt;=2,$D265*INDEX('Ajustes'!$C$5:$C$6,MATCH($C265,'Ajustes'!$A$5:$A$8,0)),IF(MATCH($C265,'Ajustes'!$A$5:$A$8,0)=3,-($D265+$E265*INDEX('Equipo'!$B$5:$B$29,MATCH($B265,'Equipo'!$A$5:$A$29,0))),0))),"")</f>
        <v/>
      </c>
      <c r="H265" s="25">
        <f>IFERROR(IF(OR($B265="",$C265=""),"",IF(MATCH($C265,'Ajustes'!$A$5:$A$8,0)=4,$D265/INDEX('Equipo'!$B$5:$B$29,MATCH($B265,'Equipo'!$A$5:$A$29,0))+$E265,0)),"")</f>
        <v/>
      </c>
      <c r="I265" s="26">
        <f>IF($B265='Perfil'!$B$3,COUNTIF($B$4:$B265,'Perfil'!$B$3),"")</f>
        <v/>
      </c>
    </row>
    <row r="266">
      <c r="A266" s="22" t="n"/>
      <c r="B266" s="23" t="n"/>
      <c r="C266" s="23" t="n"/>
      <c r="D266" s="24" t="n"/>
      <c r="E266" s="24" t="n"/>
      <c r="F266" s="23" t="n"/>
      <c r="G266" s="19">
        <f>IFERROR(IF(OR($B266="",$C266=""),"",IF(MATCH($C266,'Ajustes'!$A$5:$A$8,0)&lt;=2,$D266*INDEX('Ajustes'!$C$5:$C$6,MATCH($C266,'Ajustes'!$A$5:$A$8,0)),IF(MATCH($C266,'Ajustes'!$A$5:$A$8,0)=3,-($D266+$E266*INDEX('Equipo'!$B$5:$B$29,MATCH($B266,'Equipo'!$A$5:$A$29,0))),0))),"")</f>
        <v/>
      </c>
      <c r="H266" s="25">
        <f>IFERROR(IF(OR($B266="",$C266=""),"",IF(MATCH($C266,'Ajustes'!$A$5:$A$8,0)=4,$D266/INDEX('Equipo'!$B$5:$B$29,MATCH($B266,'Equipo'!$A$5:$A$29,0))+$E266,0)),"")</f>
        <v/>
      </c>
      <c r="I266" s="26">
        <f>IF($B266='Perfil'!$B$3,COUNTIF($B$4:$B266,'Perfil'!$B$3),"")</f>
        <v/>
      </c>
    </row>
    <row r="267">
      <c r="A267" s="22" t="n"/>
      <c r="B267" s="23" t="n"/>
      <c r="C267" s="23" t="n"/>
      <c r="D267" s="24" t="n"/>
      <c r="E267" s="24" t="n"/>
      <c r="F267" s="23" t="n"/>
      <c r="G267" s="19">
        <f>IFERROR(IF(OR($B267="",$C267=""),"",IF(MATCH($C267,'Ajustes'!$A$5:$A$8,0)&lt;=2,$D267*INDEX('Ajustes'!$C$5:$C$6,MATCH($C267,'Ajustes'!$A$5:$A$8,0)),IF(MATCH($C267,'Ajustes'!$A$5:$A$8,0)=3,-($D267+$E267*INDEX('Equipo'!$B$5:$B$29,MATCH($B267,'Equipo'!$A$5:$A$29,0))),0))),"")</f>
        <v/>
      </c>
      <c r="H267" s="25">
        <f>IFERROR(IF(OR($B267="",$C267=""),"",IF(MATCH($C267,'Ajustes'!$A$5:$A$8,0)=4,$D267/INDEX('Equipo'!$B$5:$B$29,MATCH($B267,'Equipo'!$A$5:$A$29,0))+$E267,0)),"")</f>
        <v/>
      </c>
      <c r="I267" s="26">
        <f>IF($B267='Perfil'!$B$3,COUNTIF($B$4:$B267,'Perfil'!$B$3),"")</f>
        <v/>
      </c>
    </row>
    <row r="268">
      <c r="A268" s="22" t="n"/>
      <c r="B268" s="23" t="n"/>
      <c r="C268" s="23" t="n"/>
      <c r="D268" s="24" t="n"/>
      <c r="E268" s="24" t="n"/>
      <c r="F268" s="23" t="n"/>
      <c r="G268" s="19">
        <f>IFERROR(IF(OR($B268="",$C268=""),"",IF(MATCH($C268,'Ajustes'!$A$5:$A$8,0)&lt;=2,$D268*INDEX('Ajustes'!$C$5:$C$6,MATCH($C268,'Ajustes'!$A$5:$A$8,0)),IF(MATCH($C268,'Ajustes'!$A$5:$A$8,0)=3,-($D268+$E268*INDEX('Equipo'!$B$5:$B$29,MATCH($B268,'Equipo'!$A$5:$A$29,0))),0))),"")</f>
        <v/>
      </c>
      <c r="H268" s="25">
        <f>IFERROR(IF(OR($B268="",$C268=""),"",IF(MATCH($C268,'Ajustes'!$A$5:$A$8,0)=4,$D268/INDEX('Equipo'!$B$5:$B$29,MATCH($B268,'Equipo'!$A$5:$A$29,0))+$E268,0)),"")</f>
        <v/>
      </c>
      <c r="I268" s="26">
        <f>IF($B268='Perfil'!$B$3,COUNTIF($B$4:$B268,'Perfil'!$B$3),"")</f>
        <v/>
      </c>
    </row>
    <row r="269">
      <c r="A269" s="22" t="n"/>
      <c r="B269" s="23" t="n"/>
      <c r="C269" s="23" t="n"/>
      <c r="D269" s="24" t="n"/>
      <c r="E269" s="24" t="n"/>
      <c r="F269" s="23" t="n"/>
      <c r="G269" s="19">
        <f>IFERROR(IF(OR($B269="",$C269=""),"",IF(MATCH($C269,'Ajustes'!$A$5:$A$8,0)&lt;=2,$D269*INDEX('Ajustes'!$C$5:$C$6,MATCH($C269,'Ajustes'!$A$5:$A$8,0)),IF(MATCH($C269,'Ajustes'!$A$5:$A$8,0)=3,-($D269+$E269*INDEX('Equipo'!$B$5:$B$29,MATCH($B269,'Equipo'!$A$5:$A$29,0))),0))),"")</f>
        <v/>
      </c>
      <c r="H269" s="25">
        <f>IFERROR(IF(OR($B269="",$C269=""),"",IF(MATCH($C269,'Ajustes'!$A$5:$A$8,0)=4,$D269/INDEX('Equipo'!$B$5:$B$29,MATCH($B269,'Equipo'!$A$5:$A$29,0))+$E269,0)),"")</f>
        <v/>
      </c>
      <c r="I269" s="26">
        <f>IF($B269='Perfil'!$B$3,COUNTIF($B$4:$B269,'Perfil'!$B$3),"")</f>
        <v/>
      </c>
    </row>
    <row r="270">
      <c r="A270" s="22" t="n"/>
      <c r="B270" s="23" t="n"/>
      <c r="C270" s="23" t="n"/>
      <c r="D270" s="24" t="n"/>
      <c r="E270" s="24" t="n"/>
      <c r="F270" s="23" t="n"/>
      <c r="G270" s="19">
        <f>IFERROR(IF(OR($B270="",$C270=""),"",IF(MATCH($C270,'Ajustes'!$A$5:$A$8,0)&lt;=2,$D270*INDEX('Ajustes'!$C$5:$C$6,MATCH($C270,'Ajustes'!$A$5:$A$8,0)),IF(MATCH($C270,'Ajustes'!$A$5:$A$8,0)=3,-($D270+$E270*INDEX('Equipo'!$B$5:$B$29,MATCH($B270,'Equipo'!$A$5:$A$29,0))),0))),"")</f>
        <v/>
      </c>
      <c r="H270" s="25">
        <f>IFERROR(IF(OR($B270="",$C270=""),"",IF(MATCH($C270,'Ajustes'!$A$5:$A$8,0)=4,$D270/INDEX('Equipo'!$B$5:$B$29,MATCH($B270,'Equipo'!$A$5:$A$29,0))+$E270,0)),"")</f>
        <v/>
      </c>
      <c r="I270" s="26">
        <f>IF($B270='Perfil'!$B$3,COUNTIF($B$4:$B270,'Perfil'!$B$3),"")</f>
        <v/>
      </c>
    </row>
    <row r="271">
      <c r="A271" s="22" t="n"/>
      <c r="B271" s="23" t="n"/>
      <c r="C271" s="23" t="n"/>
      <c r="D271" s="24" t="n"/>
      <c r="E271" s="24" t="n"/>
      <c r="F271" s="23" t="n"/>
      <c r="G271" s="19">
        <f>IFERROR(IF(OR($B271="",$C271=""),"",IF(MATCH($C271,'Ajustes'!$A$5:$A$8,0)&lt;=2,$D271*INDEX('Ajustes'!$C$5:$C$6,MATCH($C271,'Ajustes'!$A$5:$A$8,0)),IF(MATCH($C271,'Ajustes'!$A$5:$A$8,0)=3,-($D271+$E271*INDEX('Equipo'!$B$5:$B$29,MATCH($B271,'Equipo'!$A$5:$A$29,0))),0))),"")</f>
        <v/>
      </c>
      <c r="H271" s="25">
        <f>IFERROR(IF(OR($B271="",$C271=""),"",IF(MATCH($C271,'Ajustes'!$A$5:$A$8,0)=4,$D271/INDEX('Equipo'!$B$5:$B$29,MATCH($B271,'Equipo'!$A$5:$A$29,0))+$E271,0)),"")</f>
        <v/>
      </c>
      <c r="I271" s="26">
        <f>IF($B271='Perfil'!$B$3,COUNTIF($B$4:$B271,'Perfil'!$B$3),"")</f>
        <v/>
      </c>
    </row>
    <row r="272">
      <c r="A272" s="22" t="n"/>
      <c r="B272" s="23" t="n"/>
      <c r="C272" s="23" t="n"/>
      <c r="D272" s="24" t="n"/>
      <c r="E272" s="24" t="n"/>
      <c r="F272" s="23" t="n"/>
      <c r="G272" s="19">
        <f>IFERROR(IF(OR($B272="",$C272=""),"",IF(MATCH($C272,'Ajustes'!$A$5:$A$8,0)&lt;=2,$D272*INDEX('Ajustes'!$C$5:$C$6,MATCH($C272,'Ajustes'!$A$5:$A$8,0)),IF(MATCH($C272,'Ajustes'!$A$5:$A$8,0)=3,-($D272+$E272*INDEX('Equipo'!$B$5:$B$29,MATCH($B272,'Equipo'!$A$5:$A$29,0))),0))),"")</f>
        <v/>
      </c>
      <c r="H272" s="25">
        <f>IFERROR(IF(OR($B272="",$C272=""),"",IF(MATCH($C272,'Ajustes'!$A$5:$A$8,0)=4,$D272/INDEX('Equipo'!$B$5:$B$29,MATCH($B272,'Equipo'!$A$5:$A$29,0))+$E272,0)),"")</f>
        <v/>
      </c>
      <c r="I272" s="26">
        <f>IF($B272='Perfil'!$B$3,COUNTIF($B$4:$B272,'Perfil'!$B$3),"")</f>
        <v/>
      </c>
    </row>
    <row r="273">
      <c r="A273" s="22" t="n"/>
      <c r="B273" s="23" t="n"/>
      <c r="C273" s="23" t="n"/>
      <c r="D273" s="24" t="n"/>
      <c r="E273" s="24" t="n"/>
      <c r="F273" s="23" t="n"/>
      <c r="G273" s="19">
        <f>IFERROR(IF(OR($B273="",$C273=""),"",IF(MATCH($C273,'Ajustes'!$A$5:$A$8,0)&lt;=2,$D273*INDEX('Ajustes'!$C$5:$C$6,MATCH($C273,'Ajustes'!$A$5:$A$8,0)),IF(MATCH($C273,'Ajustes'!$A$5:$A$8,0)=3,-($D273+$E273*INDEX('Equipo'!$B$5:$B$29,MATCH($B273,'Equipo'!$A$5:$A$29,0))),0))),"")</f>
        <v/>
      </c>
      <c r="H273" s="25">
        <f>IFERROR(IF(OR($B273="",$C273=""),"",IF(MATCH($C273,'Ajustes'!$A$5:$A$8,0)=4,$D273/INDEX('Equipo'!$B$5:$B$29,MATCH($B273,'Equipo'!$A$5:$A$29,0))+$E273,0)),"")</f>
        <v/>
      </c>
      <c r="I273" s="26">
        <f>IF($B273='Perfil'!$B$3,COUNTIF($B$4:$B273,'Perfil'!$B$3),"")</f>
        <v/>
      </c>
    </row>
    <row r="274">
      <c r="A274" s="22" t="n"/>
      <c r="B274" s="23" t="n"/>
      <c r="C274" s="23" t="n"/>
      <c r="D274" s="24" t="n"/>
      <c r="E274" s="24" t="n"/>
      <c r="F274" s="23" t="n"/>
      <c r="G274" s="19">
        <f>IFERROR(IF(OR($B274="",$C274=""),"",IF(MATCH($C274,'Ajustes'!$A$5:$A$8,0)&lt;=2,$D274*INDEX('Ajustes'!$C$5:$C$6,MATCH($C274,'Ajustes'!$A$5:$A$8,0)),IF(MATCH($C274,'Ajustes'!$A$5:$A$8,0)=3,-($D274+$E274*INDEX('Equipo'!$B$5:$B$29,MATCH($B274,'Equipo'!$A$5:$A$29,0))),0))),"")</f>
        <v/>
      </c>
      <c r="H274" s="25">
        <f>IFERROR(IF(OR($B274="",$C274=""),"",IF(MATCH($C274,'Ajustes'!$A$5:$A$8,0)=4,$D274/INDEX('Equipo'!$B$5:$B$29,MATCH($B274,'Equipo'!$A$5:$A$29,0))+$E274,0)),"")</f>
        <v/>
      </c>
      <c r="I274" s="26">
        <f>IF($B274='Perfil'!$B$3,COUNTIF($B$4:$B274,'Perfil'!$B$3),"")</f>
        <v/>
      </c>
    </row>
    <row r="275">
      <c r="A275" s="22" t="n"/>
      <c r="B275" s="23" t="n"/>
      <c r="C275" s="23" t="n"/>
      <c r="D275" s="24" t="n"/>
      <c r="E275" s="24" t="n"/>
      <c r="F275" s="23" t="n"/>
      <c r="G275" s="19">
        <f>IFERROR(IF(OR($B275="",$C275=""),"",IF(MATCH($C275,'Ajustes'!$A$5:$A$8,0)&lt;=2,$D275*INDEX('Ajustes'!$C$5:$C$6,MATCH($C275,'Ajustes'!$A$5:$A$8,0)),IF(MATCH($C275,'Ajustes'!$A$5:$A$8,0)=3,-($D275+$E275*INDEX('Equipo'!$B$5:$B$29,MATCH($B275,'Equipo'!$A$5:$A$29,0))),0))),"")</f>
        <v/>
      </c>
      <c r="H275" s="25">
        <f>IFERROR(IF(OR($B275="",$C275=""),"",IF(MATCH($C275,'Ajustes'!$A$5:$A$8,0)=4,$D275/INDEX('Equipo'!$B$5:$B$29,MATCH($B275,'Equipo'!$A$5:$A$29,0))+$E275,0)),"")</f>
        <v/>
      </c>
      <c r="I275" s="26">
        <f>IF($B275='Perfil'!$B$3,COUNTIF($B$4:$B275,'Perfil'!$B$3),"")</f>
        <v/>
      </c>
    </row>
    <row r="276">
      <c r="A276" s="22" t="n"/>
      <c r="B276" s="23" t="n"/>
      <c r="C276" s="23" t="n"/>
      <c r="D276" s="24" t="n"/>
      <c r="E276" s="24" t="n"/>
      <c r="F276" s="23" t="n"/>
      <c r="G276" s="19">
        <f>IFERROR(IF(OR($B276="",$C276=""),"",IF(MATCH($C276,'Ajustes'!$A$5:$A$8,0)&lt;=2,$D276*INDEX('Ajustes'!$C$5:$C$6,MATCH($C276,'Ajustes'!$A$5:$A$8,0)),IF(MATCH($C276,'Ajustes'!$A$5:$A$8,0)=3,-($D276+$E276*INDEX('Equipo'!$B$5:$B$29,MATCH($B276,'Equipo'!$A$5:$A$29,0))),0))),"")</f>
        <v/>
      </c>
      <c r="H276" s="25">
        <f>IFERROR(IF(OR($B276="",$C276=""),"",IF(MATCH($C276,'Ajustes'!$A$5:$A$8,0)=4,$D276/INDEX('Equipo'!$B$5:$B$29,MATCH($B276,'Equipo'!$A$5:$A$29,0))+$E276,0)),"")</f>
        <v/>
      </c>
      <c r="I276" s="26">
        <f>IF($B276='Perfil'!$B$3,COUNTIF($B$4:$B276,'Perfil'!$B$3),"")</f>
        <v/>
      </c>
    </row>
    <row r="277">
      <c r="A277" s="22" t="n"/>
      <c r="B277" s="23" t="n"/>
      <c r="C277" s="23" t="n"/>
      <c r="D277" s="24" t="n"/>
      <c r="E277" s="24" t="n"/>
      <c r="F277" s="23" t="n"/>
      <c r="G277" s="19">
        <f>IFERROR(IF(OR($B277="",$C277=""),"",IF(MATCH($C277,'Ajustes'!$A$5:$A$8,0)&lt;=2,$D277*INDEX('Ajustes'!$C$5:$C$6,MATCH($C277,'Ajustes'!$A$5:$A$8,0)),IF(MATCH($C277,'Ajustes'!$A$5:$A$8,0)=3,-($D277+$E277*INDEX('Equipo'!$B$5:$B$29,MATCH($B277,'Equipo'!$A$5:$A$29,0))),0))),"")</f>
        <v/>
      </c>
      <c r="H277" s="25">
        <f>IFERROR(IF(OR($B277="",$C277=""),"",IF(MATCH($C277,'Ajustes'!$A$5:$A$8,0)=4,$D277/INDEX('Equipo'!$B$5:$B$29,MATCH($B277,'Equipo'!$A$5:$A$29,0))+$E277,0)),"")</f>
        <v/>
      </c>
      <c r="I277" s="26">
        <f>IF($B277='Perfil'!$B$3,COUNTIF($B$4:$B277,'Perfil'!$B$3),"")</f>
        <v/>
      </c>
    </row>
    <row r="278">
      <c r="A278" s="22" t="n"/>
      <c r="B278" s="23" t="n"/>
      <c r="C278" s="23" t="n"/>
      <c r="D278" s="24" t="n"/>
      <c r="E278" s="24" t="n"/>
      <c r="F278" s="23" t="n"/>
      <c r="G278" s="19">
        <f>IFERROR(IF(OR($B278="",$C278=""),"",IF(MATCH($C278,'Ajustes'!$A$5:$A$8,0)&lt;=2,$D278*INDEX('Ajustes'!$C$5:$C$6,MATCH($C278,'Ajustes'!$A$5:$A$8,0)),IF(MATCH($C278,'Ajustes'!$A$5:$A$8,0)=3,-($D278+$E278*INDEX('Equipo'!$B$5:$B$29,MATCH($B278,'Equipo'!$A$5:$A$29,0))),0))),"")</f>
        <v/>
      </c>
      <c r="H278" s="25">
        <f>IFERROR(IF(OR($B278="",$C278=""),"",IF(MATCH($C278,'Ajustes'!$A$5:$A$8,0)=4,$D278/INDEX('Equipo'!$B$5:$B$29,MATCH($B278,'Equipo'!$A$5:$A$29,0))+$E278,0)),"")</f>
        <v/>
      </c>
      <c r="I278" s="26">
        <f>IF($B278='Perfil'!$B$3,COUNTIF($B$4:$B278,'Perfil'!$B$3),"")</f>
        <v/>
      </c>
    </row>
    <row r="279">
      <c r="A279" s="22" t="n"/>
      <c r="B279" s="23" t="n"/>
      <c r="C279" s="23" t="n"/>
      <c r="D279" s="24" t="n"/>
      <c r="E279" s="24" t="n"/>
      <c r="F279" s="23" t="n"/>
      <c r="G279" s="19">
        <f>IFERROR(IF(OR($B279="",$C279=""),"",IF(MATCH($C279,'Ajustes'!$A$5:$A$8,0)&lt;=2,$D279*INDEX('Ajustes'!$C$5:$C$6,MATCH($C279,'Ajustes'!$A$5:$A$8,0)),IF(MATCH($C279,'Ajustes'!$A$5:$A$8,0)=3,-($D279+$E279*INDEX('Equipo'!$B$5:$B$29,MATCH($B279,'Equipo'!$A$5:$A$29,0))),0))),"")</f>
        <v/>
      </c>
      <c r="H279" s="25">
        <f>IFERROR(IF(OR($B279="",$C279=""),"",IF(MATCH($C279,'Ajustes'!$A$5:$A$8,0)=4,$D279/INDEX('Equipo'!$B$5:$B$29,MATCH($B279,'Equipo'!$A$5:$A$29,0))+$E279,0)),"")</f>
        <v/>
      </c>
      <c r="I279" s="26">
        <f>IF($B279='Perfil'!$B$3,COUNTIF($B$4:$B279,'Perfil'!$B$3),"")</f>
        <v/>
      </c>
    </row>
    <row r="280">
      <c r="A280" s="22" t="n"/>
      <c r="B280" s="23" t="n"/>
      <c r="C280" s="23" t="n"/>
      <c r="D280" s="24" t="n"/>
      <c r="E280" s="24" t="n"/>
      <c r="F280" s="23" t="n"/>
      <c r="G280" s="19">
        <f>IFERROR(IF(OR($B280="",$C280=""),"",IF(MATCH($C280,'Ajustes'!$A$5:$A$8,0)&lt;=2,$D280*INDEX('Ajustes'!$C$5:$C$6,MATCH($C280,'Ajustes'!$A$5:$A$8,0)),IF(MATCH($C280,'Ajustes'!$A$5:$A$8,0)=3,-($D280+$E280*INDEX('Equipo'!$B$5:$B$29,MATCH($B280,'Equipo'!$A$5:$A$29,0))),0))),"")</f>
        <v/>
      </c>
      <c r="H280" s="25">
        <f>IFERROR(IF(OR($B280="",$C280=""),"",IF(MATCH($C280,'Ajustes'!$A$5:$A$8,0)=4,$D280/INDEX('Equipo'!$B$5:$B$29,MATCH($B280,'Equipo'!$A$5:$A$29,0))+$E280,0)),"")</f>
        <v/>
      </c>
      <c r="I280" s="26">
        <f>IF($B280='Perfil'!$B$3,COUNTIF($B$4:$B280,'Perfil'!$B$3),"")</f>
        <v/>
      </c>
    </row>
    <row r="281">
      <c r="A281" s="22" t="n"/>
      <c r="B281" s="23" t="n"/>
      <c r="C281" s="23" t="n"/>
      <c r="D281" s="24" t="n"/>
      <c r="E281" s="24" t="n"/>
      <c r="F281" s="23" t="n"/>
      <c r="G281" s="19">
        <f>IFERROR(IF(OR($B281="",$C281=""),"",IF(MATCH($C281,'Ajustes'!$A$5:$A$8,0)&lt;=2,$D281*INDEX('Ajustes'!$C$5:$C$6,MATCH($C281,'Ajustes'!$A$5:$A$8,0)),IF(MATCH($C281,'Ajustes'!$A$5:$A$8,0)=3,-($D281+$E281*INDEX('Equipo'!$B$5:$B$29,MATCH($B281,'Equipo'!$A$5:$A$29,0))),0))),"")</f>
        <v/>
      </c>
      <c r="H281" s="25">
        <f>IFERROR(IF(OR($B281="",$C281=""),"",IF(MATCH($C281,'Ajustes'!$A$5:$A$8,0)=4,$D281/INDEX('Equipo'!$B$5:$B$29,MATCH($B281,'Equipo'!$A$5:$A$29,0))+$E281,0)),"")</f>
        <v/>
      </c>
      <c r="I281" s="26">
        <f>IF($B281='Perfil'!$B$3,COUNTIF($B$4:$B281,'Perfil'!$B$3),"")</f>
        <v/>
      </c>
    </row>
    <row r="282">
      <c r="A282" s="22" t="n"/>
      <c r="B282" s="23" t="n"/>
      <c r="C282" s="23" t="n"/>
      <c r="D282" s="24" t="n"/>
      <c r="E282" s="24" t="n"/>
      <c r="F282" s="23" t="n"/>
      <c r="G282" s="19">
        <f>IFERROR(IF(OR($B282="",$C282=""),"",IF(MATCH($C282,'Ajustes'!$A$5:$A$8,0)&lt;=2,$D282*INDEX('Ajustes'!$C$5:$C$6,MATCH($C282,'Ajustes'!$A$5:$A$8,0)),IF(MATCH($C282,'Ajustes'!$A$5:$A$8,0)=3,-($D282+$E282*INDEX('Equipo'!$B$5:$B$29,MATCH($B282,'Equipo'!$A$5:$A$29,0))),0))),"")</f>
        <v/>
      </c>
      <c r="H282" s="25">
        <f>IFERROR(IF(OR($B282="",$C282=""),"",IF(MATCH($C282,'Ajustes'!$A$5:$A$8,0)=4,$D282/INDEX('Equipo'!$B$5:$B$29,MATCH($B282,'Equipo'!$A$5:$A$29,0))+$E282,0)),"")</f>
        <v/>
      </c>
      <c r="I282" s="26">
        <f>IF($B282='Perfil'!$B$3,COUNTIF($B$4:$B282,'Perfil'!$B$3),"")</f>
        <v/>
      </c>
    </row>
    <row r="283">
      <c r="A283" s="22" t="n"/>
      <c r="B283" s="23" t="n"/>
      <c r="C283" s="23" t="n"/>
      <c r="D283" s="24" t="n"/>
      <c r="E283" s="24" t="n"/>
      <c r="F283" s="23" t="n"/>
      <c r="G283" s="19">
        <f>IFERROR(IF(OR($B283="",$C283=""),"",IF(MATCH($C283,'Ajustes'!$A$5:$A$8,0)&lt;=2,$D283*INDEX('Ajustes'!$C$5:$C$6,MATCH($C283,'Ajustes'!$A$5:$A$8,0)),IF(MATCH($C283,'Ajustes'!$A$5:$A$8,0)=3,-($D283+$E283*INDEX('Equipo'!$B$5:$B$29,MATCH($B283,'Equipo'!$A$5:$A$29,0))),0))),"")</f>
        <v/>
      </c>
      <c r="H283" s="25">
        <f>IFERROR(IF(OR($B283="",$C283=""),"",IF(MATCH($C283,'Ajustes'!$A$5:$A$8,0)=4,$D283/INDEX('Equipo'!$B$5:$B$29,MATCH($B283,'Equipo'!$A$5:$A$29,0))+$E283,0)),"")</f>
        <v/>
      </c>
      <c r="I283" s="26">
        <f>IF($B283='Perfil'!$B$3,COUNTIF($B$4:$B283,'Perfil'!$B$3),"")</f>
        <v/>
      </c>
    </row>
    <row r="284">
      <c r="A284" s="22" t="n"/>
      <c r="B284" s="23" t="n"/>
      <c r="C284" s="23" t="n"/>
      <c r="D284" s="24" t="n"/>
      <c r="E284" s="24" t="n"/>
      <c r="F284" s="23" t="n"/>
      <c r="G284" s="19">
        <f>IFERROR(IF(OR($B284="",$C284=""),"",IF(MATCH($C284,'Ajustes'!$A$5:$A$8,0)&lt;=2,$D284*INDEX('Ajustes'!$C$5:$C$6,MATCH($C284,'Ajustes'!$A$5:$A$8,0)),IF(MATCH($C284,'Ajustes'!$A$5:$A$8,0)=3,-($D284+$E284*INDEX('Equipo'!$B$5:$B$29,MATCH($B284,'Equipo'!$A$5:$A$29,0))),0))),"")</f>
        <v/>
      </c>
      <c r="H284" s="25">
        <f>IFERROR(IF(OR($B284="",$C284=""),"",IF(MATCH($C284,'Ajustes'!$A$5:$A$8,0)=4,$D284/INDEX('Equipo'!$B$5:$B$29,MATCH($B284,'Equipo'!$A$5:$A$29,0))+$E284,0)),"")</f>
        <v/>
      </c>
      <c r="I284" s="26">
        <f>IF($B284='Perfil'!$B$3,COUNTIF($B$4:$B284,'Perfil'!$B$3),"")</f>
        <v/>
      </c>
    </row>
    <row r="285">
      <c r="A285" s="22" t="n"/>
      <c r="B285" s="23" t="n"/>
      <c r="C285" s="23" t="n"/>
      <c r="D285" s="24" t="n"/>
      <c r="E285" s="24" t="n"/>
      <c r="F285" s="23" t="n"/>
      <c r="G285" s="19">
        <f>IFERROR(IF(OR($B285="",$C285=""),"",IF(MATCH($C285,'Ajustes'!$A$5:$A$8,0)&lt;=2,$D285*INDEX('Ajustes'!$C$5:$C$6,MATCH($C285,'Ajustes'!$A$5:$A$8,0)),IF(MATCH($C285,'Ajustes'!$A$5:$A$8,0)=3,-($D285+$E285*INDEX('Equipo'!$B$5:$B$29,MATCH($B285,'Equipo'!$A$5:$A$29,0))),0))),"")</f>
        <v/>
      </c>
      <c r="H285" s="25">
        <f>IFERROR(IF(OR($B285="",$C285=""),"",IF(MATCH($C285,'Ajustes'!$A$5:$A$8,0)=4,$D285/INDEX('Equipo'!$B$5:$B$29,MATCH($B285,'Equipo'!$A$5:$A$29,0))+$E285,0)),"")</f>
        <v/>
      </c>
      <c r="I285" s="26">
        <f>IF($B285='Perfil'!$B$3,COUNTIF($B$4:$B285,'Perfil'!$B$3),"")</f>
        <v/>
      </c>
    </row>
    <row r="286">
      <c r="A286" s="22" t="n"/>
      <c r="B286" s="23" t="n"/>
      <c r="C286" s="23" t="n"/>
      <c r="D286" s="24" t="n"/>
      <c r="E286" s="24" t="n"/>
      <c r="F286" s="23" t="n"/>
      <c r="G286" s="19">
        <f>IFERROR(IF(OR($B286="",$C286=""),"",IF(MATCH($C286,'Ajustes'!$A$5:$A$8,0)&lt;=2,$D286*INDEX('Ajustes'!$C$5:$C$6,MATCH($C286,'Ajustes'!$A$5:$A$8,0)),IF(MATCH($C286,'Ajustes'!$A$5:$A$8,0)=3,-($D286+$E286*INDEX('Equipo'!$B$5:$B$29,MATCH($B286,'Equipo'!$A$5:$A$29,0))),0))),"")</f>
        <v/>
      </c>
      <c r="H286" s="25">
        <f>IFERROR(IF(OR($B286="",$C286=""),"",IF(MATCH($C286,'Ajustes'!$A$5:$A$8,0)=4,$D286/INDEX('Equipo'!$B$5:$B$29,MATCH($B286,'Equipo'!$A$5:$A$29,0))+$E286,0)),"")</f>
        <v/>
      </c>
      <c r="I286" s="26">
        <f>IF($B286='Perfil'!$B$3,COUNTIF($B$4:$B286,'Perfil'!$B$3),"")</f>
        <v/>
      </c>
    </row>
    <row r="287">
      <c r="A287" s="22" t="n"/>
      <c r="B287" s="23" t="n"/>
      <c r="C287" s="23" t="n"/>
      <c r="D287" s="24" t="n"/>
      <c r="E287" s="24" t="n"/>
      <c r="F287" s="23" t="n"/>
      <c r="G287" s="19">
        <f>IFERROR(IF(OR($B287="",$C287=""),"",IF(MATCH($C287,'Ajustes'!$A$5:$A$8,0)&lt;=2,$D287*INDEX('Ajustes'!$C$5:$C$6,MATCH($C287,'Ajustes'!$A$5:$A$8,0)),IF(MATCH($C287,'Ajustes'!$A$5:$A$8,0)=3,-($D287+$E287*INDEX('Equipo'!$B$5:$B$29,MATCH($B287,'Equipo'!$A$5:$A$29,0))),0))),"")</f>
        <v/>
      </c>
      <c r="H287" s="25">
        <f>IFERROR(IF(OR($B287="",$C287=""),"",IF(MATCH($C287,'Ajustes'!$A$5:$A$8,0)=4,$D287/INDEX('Equipo'!$B$5:$B$29,MATCH($B287,'Equipo'!$A$5:$A$29,0))+$E287,0)),"")</f>
        <v/>
      </c>
      <c r="I287" s="26">
        <f>IF($B287='Perfil'!$B$3,COUNTIF($B$4:$B287,'Perfil'!$B$3),"")</f>
        <v/>
      </c>
    </row>
    <row r="288">
      <c r="A288" s="22" t="n"/>
      <c r="B288" s="23" t="n"/>
      <c r="C288" s="23" t="n"/>
      <c r="D288" s="24" t="n"/>
      <c r="E288" s="24" t="n"/>
      <c r="F288" s="23" t="n"/>
      <c r="G288" s="19">
        <f>IFERROR(IF(OR($B288="",$C288=""),"",IF(MATCH($C288,'Ajustes'!$A$5:$A$8,0)&lt;=2,$D288*INDEX('Ajustes'!$C$5:$C$6,MATCH($C288,'Ajustes'!$A$5:$A$8,0)),IF(MATCH($C288,'Ajustes'!$A$5:$A$8,0)=3,-($D288+$E288*INDEX('Equipo'!$B$5:$B$29,MATCH($B288,'Equipo'!$A$5:$A$29,0))),0))),"")</f>
        <v/>
      </c>
      <c r="H288" s="25">
        <f>IFERROR(IF(OR($B288="",$C288=""),"",IF(MATCH($C288,'Ajustes'!$A$5:$A$8,0)=4,$D288/INDEX('Equipo'!$B$5:$B$29,MATCH($B288,'Equipo'!$A$5:$A$29,0))+$E288,0)),"")</f>
        <v/>
      </c>
      <c r="I288" s="26">
        <f>IF($B288='Perfil'!$B$3,COUNTIF($B$4:$B288,'Perfil'!$B$3),"")</f>
        <v/>
      </c>
    </row>
    <row r="289">
      <c r="A289" s="22" t="n"/>
      <c r="B289" s="23" t="n"/>
      <c r="C289" s="23" t="n"/>
      <c r="D289" s="24" t="n"/>
      <c r="E289" s="24" t="n"/>
      <c r="F289" s="23" t="n"/>
      <c r="G289" s="19">
        <f>IFERROR(IF(OR($B289="",$C289=""),"",IF(MATCH($C289,'Ajustes'!$A$5:$A$8,0)&lt;=2,$D289*INDEX('Ajustes'!$C$5:$C$6,MATCH($C289,'Ajustes'!$A$5:$A$8,0)),IF(MATCH($C289,'Ajustes'!$A$5:$A$8,0)=3,-($D289+$E289*INDEX('Equipo'!$B$5:$B$29,MATCH($B289,'Equipo'!$A$5:$A$29,0))),0))),"")</f>
        <v/>
      </c>
      <c r="H289" s="25">
        <f>IFERROR(IF(OR($B289="",$C289=""),"",IF(MATCH($C289,'Ajustes'!$A$5:$A$8,0)=4,$D289/INDEX('Equipo'!$B$5:$B$29,MATCH($B289,'Equipo'!$A$5:$A$29,0))+$E289,0)),"")</f>
        <v/>
      </c>
      <c r="I289" s="26">
        <f>IF($B289='Perfil'!$B$3,COUNTIF($B$4:$B289,'Perfil'!$B$3),"")</f>
        <v/>
      </c>
    </row>
    <row r="290">
      <c r="A290" s="22" t="n"/>
      <c r="B290" s="23" t="n"/>
      <c r="C290" s="23" t="n"/>
      <c r="D290" s="24" t="n"/>
      <c r="E290" s="24" t="n"/>
      <c r="F290" s="23" t="n"/>
      <c r="G290" s="19">
        <f>IFERROR(IF(OR($B290="",$C290=""),"",IF(MATCH($C290,'Ajustes'!$A$5:$A$8,0)&lt;=2,$D290*INDEX('Ajustes'!$C$5:$C$6,MATCH($C290,'Ajustes'!$A$5:$A$8,0)),IF(MATCH($C290,'Ajustes'!$A$5:$A$8,0)=3,-($D290+$E290*INDEX('Equipo'!$B$5:$B$29,MATCH($B290,'Equipo'!$A$5:$A$29,0))),0))),"")</f>
        <v/>
      </c>
      <c r="H290" s="25">
        <f>IFERROR(IF(OR($B290="",$C290=""),"",IF(MATCH($C290,'Ajustes'!$A$5:$A$8,0)=4,$D290/INDEX('Equipo'!$B$5:$B$29,MATCH($B290,'Equipo'!$A$5:$A$29,0))+$E290,0)),"")</f>
        <v/>
      </c>
      <c r="I290" s="26">
        <f>IF($B290='Perfil'!$B$3,COUNTIF($B$4:$B290,'Perfil'!$B$3),"")</f>
        <v/>
      </c>
    </row>
    <row r="291">
      <c r="A291" s="22" t="n"/>
      <c r="B291" s="23" t="n"/>
      <c r="C291" s="23" t="n"/>
      <c r="D291" s="24" t="n"/>
      <c r="E291" s="24" t="n"/>
      <c r="F291" s="23" t="n"/>
      <c r="G291" s="19">
        <f>IFERROR(IF(OR($B291="",$C291=""),"",IF(MATCH($C291,'Ajustes'!$A$5:$A$8,0)&lt;=2,$D291*INDEX('Ajustes'!$C$5:$C$6,MATCH($C291,'Ajustes'!$A$5:$A$8,0)),IF(MATCH($C291,'Ajustes'!$A$5:$A$8,0)=3,-($D291+$E291*INDEX('Equipo'!$B$5:$B$29,MATCH($B291,'Equipo'!$A$5:$A$29,0))),0))),"")</f>
        <v/>
      </c>
      <c r="H291" s="25">
        <f>IFERROR(IF(OR($B291="",$C291=""),"",IF(MATCH($C291,'Ajustes'!$A$5:$A$8,0)=4,$D291/INDEX('Equipo'!$B$5:$B$29,MATCH($B291,'Equipo'!$A$5:$A$29,0))+$E291,0)),"")</f>
        <v/>
      </c>
      <c r="I291" s="26">
        <f>IF($B291='Perfil'!$B$3,COUNTIF($B$4:$B291,'Perfil'!$B$3),"")</f>
        <v/>
      </c>
    </row>
    <row r="292">
      <c r="A292" s="22" t="n"/>
      <c r="B292" s="23" t="n"/>
      <c r="C292" s="23" t="n"/>
      <c r="D292" s="24" t="n"/>
      <c r="E292" s="24" t="n"/>
      <c r="F292" s="23" t="n"/>
      <c r="G292" s="19">
        <f>IFERROR(IF(OR($B292="",$C292=""),"",IF(MATCH($C292,'Ajustes'!$A$5:$A$8,0)&lt;=2,$D292*INDEX('Ajustes'!$C$5:$C$6,MATCH($C292,'Ajustes'!$A$5:$A$8,0)),IF(MATCH($C292,'Ajustes'!$A$5:$A$8,0)=3,-($D292+$E292*INDEX('Equipo'!$B$5:$B$29,MATCH($B292,'Equipo'!$A$5:$A$29,0))),0))),"")</f>
        <v/>
      </c>
      <c r="H292" s="25">
        <f>IFERROR(IF(OR($B292="",$C292=""),"",IF(MATCH($C292,'Ajustes'!$A$5:$A$8,0)=4,$D292/INDEX('Equipo'!$B$5:$B$29,MATCH($B292,'Equipo'!$A$5:$A$29,0))+$E292,0)),"")</f>
        <v/>
      </c>
      <c r="I292" s="26">
        <f>IF($B292='Perfil'!$B$3,COUNTIF($B$4:$B292,'Perfil'!$B$3),"")</f>
        <v/>
      </c>
    </row>
    <row r="293">
      <c r="A293" s="22" t="n"/>
      <c r="B293" s="23" t="n"/>
      <c r="C293" s="23" t="n"/>
      <c r="D293" s="24" t="n"/>
      <c r="E293" s="24" t="n"/>
      <c r="F293" s="23" t="n"/>
      <c r="G293" s="19">
        <f>IFERROR(IF(OR($B293="",$C293=""),"",IF(MATCH($C293,'Ajustes'!$A$5:$A$8,0)&lt;=2,$D293*INDEX('Ajustes'!$C$5:$C$6,MATCH($C293,'Ajustes'!$A$5:$A$8,0)),IF(MATCH($C293,'Ajustes'!$A$5:$A$8,0)=3,-($D293+$E293*INDEX('Equipo'!$B$5:$B$29,MATCH($B293,'Equipo'!$A$5:$A$29,0))),0))),"")</f>
        <v/>
      </c>
      <c r="H293" s="25">
        <f>IFERROR(IF(OR($B293="",$C293=""),"",IF(MATCH($C293,'Ajustes'!$A$5:$A$8,0)=4,$D293/INDEX('Equipo'!$B$5:$B$29,MATCH($B293,'Equipo'!$A$5:$A$29,0))+$E293,0)),"")</f>
        <v/>
      </c>
      <c r="I293" s="26">
        <f>IF($B293='Perfil'!$B$3,COUNTIF($B$4:$B293,'Perfil'!$B$3),"")</f>
        <v/>
      </c>
    </row>
    <row r="294">
      <c r="A294" s="22" t="n"/>
      <c r="B294" s="23" t="n"/>
      <c r="C294" s="23" t="n"/>
      <c r="D294" s="24" t="n"/>
      <c r="E294" s="24" t="n"/>
      <c r="F294" s="23" t="n"/>
      <c r="G294" s="19">
        <f>IFERROR(IF(OR($B294="",$C294=""),"",IF(MATCH($C294,'Ajustes'!$A$5:$A$8,0)&lt;=2,$D294*INDEX('Ajustes'!$C$5:$C$6,MATCH($C294,'Ajustes'!$A$5:$A$8,0)),IF(MATCH($C294,'Ajustes'!$A$5:$A$8,0)=3,-($D294+$E294*INDEX('Equipo'!$B$5:$B$29,MATCH($B294,'Equipo'!$A$5:$A$29,0))),0))),"")</f>
        <v/>
      </c>
      <c r="H294" s="25">
        <f>IFERROR(IF(OR($B294="",$C294=""),"",IF(MATCH($C294,'Ajustes'!$A$5:$A$8,0)=4,$D294/INDEX('Equipo'!$B$5:$B$29,MATCH($B294,'Equipo'!$A$5:$A$29,0))+$E294,0)),"")</f>
        <v/>
      </c>
      <c r="I294" s="26">
        <f>IF($B294='Perfil'!$B$3,COUNTIF($B$4:$B294,'Perfil'!$B$3),"")</f>
        <v/>
      </c>
    </row>
    <row r="295">
      <c r="A295" s="22" t="n"/>
      <c r="B295" s="23" t="n"/>
      <c r="C295" s="23" t="n"/>
      <c r="D295" s="24" t="n"/>
      <c r="E295" s="24" t="n"/>
      <c r="F295" s="23" t="n"/>
      <c r="G295" s="19">
        <f>IFERROR(IF(OR($B295="",$C295=""),"",IF(MATCH($C295,'Ajustes'!$A$5:$A$8,0)&lt;=2,$D295*INDEX('Ajustes'!$C$5:$C$6,MATCH($C295,'Ajustes'!$A$5:$A$8,0)),IF(MATCH($C295,'Ajustes'!$A$5:$A$8,0)=3,-($D295+$E295*INDEX('Equipo'!$B$5:$B$29,MATCH($B295,'Equipo'!$A$5:$A$29,0))),0))),"")</f>
        <v/>
      </c>
      <c r="H295" s="25">
        <f>IFERROR(IF(OR($B295="",$C295=""),"",IF(MATCH($C295,'Ajustes'!$A$5:$A$8,0)=4,$D295/INDEX('Equipo'!$B$5:$B$29,MATCH($B295,'Equipo'!$A$5:$A$29,0))+$E295,0)),"")</f>
        <v/>
      </c>
      <c r="I295" s="26">
        <f>IF($B295='Perfil'!$B$3,COUNTIF($B$4:$B295,'Perfil'!$B$3),"")</f>
        <v/>
      </c>
    </row>
    <row r="296">
      <c r="A296" s="22" t="n"/>
      <c r="B296" s="23" t="n"/>
      <c r="C296" s="23" t="n"/>
      <c r="D296" s="24" t="n"/>
      <c r="E296" s="24" t="n"/>
      <c r="F296" s="23" t="n"/>
      <c r="G296" s="19">
        <f>IFERROR(IF(OR($B296="",$C296=""),"",IF(MATCH($C296,'Ajustes'!$A$5:$A$8,0)&lt;=2,$D296*INDEX('Ajustes'!$C$5:$C$6,MATCH($C296,'Ajustes'!$A$5:$A$8,0)),IF(MATCH($C296,'Ajustes'!$A$5:$A$8,0)=3,-($D296+$E296*INDEX('Equipo'!$B$5:$B$29,MATCH($B296,'Equipo'!$A$5:$A$29,0))),0))),"")</f>
        <v/>
      </c>
      <c r="H296" s="25">
        <f>IFERROR(IF(OR($B296="",$C296=""),"",IF(MATCH($C296,'Ajustes'!$A$5:$A$8,0)=4,$D296/INDEX('Equipo'!$B$5:$B$29,MATCH($B296,'Equipo'!$A$5:$A$29,0))+$E296,0)),"")</f>
        <v/>
      </c>
      <c r="I296" s="26">
        <f>IF($B296='Perfil'!$B$3,COUNTIF($B$4:$B296,'Perfil'!$B$3),"")</f>
        <v/>
      </c>
    </row>
    <row r="297">
      <c r="A297" s="22" t="n"/>
      <c r="B297" s="23" t="n"/>
      <c r="C297" s="23" t="n"/>
      <c r="D297" s="24" t="n"/>
      <c r="E297" s="24" t="n"/>
      <c r="F297" s="23" t="n"/>
      <c r="G297" s="19">
        <f>IFERROR(IF(OR($B297="",$C297=""),"",IF(MATCH($C297,'Ajustes'!$A$5:$A$8,0)&lt;=2,$D297*INDEX('Ajustes'!$C$5:$C$6,MATCH($C297,'Ajustes'!$A$5:$A$8,0)),IF(MATCH($C297,'Ajustes'!$A$5:$A$8,0)=3,-($D297+$E297*INDEX('Equipo'!$B$5:$B$29,MATCH($B297,'Equipo'!$A$5:$A$29,0))),0))),"")</f>
        <v/>
      </c>
      <c r="H297" s="25">
        <f>IFERROR(IF(OR($B297="",$C297=""),"",IF(MATCH($C297,'Ajustes'!$A$5:$A$8,0)=4,$D297/INDEX('Equipo'!$B$5:$B$29,MATCH($B297,'Equipo'!$A$5:$A$29,0))+$E297,0)),"")</f>
        <v/>
      </c>
      <c r="I297" s="26">
        <f>IF($B297='Perfil'!$B$3,COUNTIF($B$4:$B297,'Perfil'!$B$3),"")</f>
        <v/>
      </c>
    </row>
    <row r="298">
      <c r="A298" s="22" t="n"/>
      <c r="B298" s="23" t="n"/>
      <c r="C298" s="23" t="n"/>
      <c r="D298" s="24" t="n"/>
      <c r="E298" s="24" t="n"/>
      <c r="F298" s="23" t="n"/>
      <c r="G298" s="19">
        <f>IFERROR(IF(OR($B298="",$C298=""),"",IF(MATCH($C298,'Ajustes'!$A$5:$A$8,0)&lt;=2,$D298*INDEX('Ajustes'!$C$5:$C$6,MATCH($C298,'Ajustes'!$A$5:$A$8,0)),IF(MATCH($C298,'Ajustes'!$A$5:$A$8,0)=3,-($D298+$E298*INDEX('Equipo'!$B$5:$B$29,MATCH($B298,'Equipo'!$A$5:$A$29,0))),0))),"")</f>
        <v/>
      </c>
      <c r="H298" s="25">
        <f>IFERROR(IF(OR($B298="",$C298=""),"",IF(MATCH($C298,'Ajustes'!$A$5:$A$8,0)=4,$D298/INDEX('Equipo'!$B$5:$B$29,MATCH($B298,'Equipo'!$A$5:$A$29,0))+$E298,0)),"")</f>
        <v/>
      </c>
      <c r="I298" s="26">
        <f>IF($B298='Perfil'!$B$3,COUNTIF($B$4:$B298,'Perfil'!$B$3),"")</f>
        <v/>
      </c>
    </row>
    <row r="299">
      <c r="A299" s="22" t="n"/>
      <c r="B299" s="23" t="n"/>
      <c r="C299" s="23" t="n"/>
      <c r="D299" s="24" t="n"/>
      <c r="E299" s="24" t="n"/>
      <c r="F299" s="23" t="n"/>
      <c r="G299" s="19">
        <f>IFERROR(IF(OR($B299="",$C299=""),"",IF(MATCH($C299,'Ajustes'!$A$5:$A$8,0)&lt;=2,$D299*INDEX('Ajustes'!$C$5:$C$6,MATCH($C299,'Ajustes'!$A$5:$A$8,0)),IF(MATCH($C299,'Ajustes'!$A$5:$A$8,0)=3,-($D299+$E299*INDEX('Equipo'!$B$5:$B$29,MATCH($B299,'Equipo'!$A$5:$A$29,0))),0))),"")</f>
        <v/>
      </c>
      <c r="H299" s="25">
        <f>IFERROR(IF(OR($B299="",$C299=""),"",IF(MATCH($C299,'Ajustes'!$A$5:$A$8,0)=4,$D299/INDEX('Equipo'!$B$5:$B$29,MATCH($B299,'Equipo'!$A$5:$A$29,0))+$E299,0)),"")</f>
        <v/>
      </c>
      <c r="I299" s="26">
        <f>IF($B299='Perfil'!$B$3,COUNTIF($B$4:$B299,'Perfil'!$B$3),"")</f>
        <v/>
      </c>
    </row>
    <row r="300">
      <c r="A300" s="22" t="n"/>
      <c r="B300" s="23" t="n"/>
      <c r="C300" s="23" t="n"/>
      <c r="D300" s="24" t="n"/>
      <c r="E300" s="24" t="n"/>
      <c r="F300" s="23" t="n"/>
      <c r="G300" s="19">
        <f>IFERROR(IF(OR($B300="",$C300=""),"",IF(MATCH($C300,'Ajustes'!$A$5:$A$8,0)&lt;=2,$D300*INDEX('Ajustes'!$C$5:$C$6,MATCH($C300,'Ajustes'!$A$5:$A$8,0)),IF(MATCH($C300,'Ajustes'!$A$5:$A$8,0)=3,-($D300+$E300*INDEX('Equipo'!$B$5:$B$29,MATCH($B300,'Equipo'!$A$5:$A$29,0))),0))),"")</f>
        <v/>
      </c>
      <c r="H300" s="25">
        <f>IFERROR(IF(OR($B300="",$C300=""),"",IF(MATCH($C300,'Ajustes'!$A$5:$A$8,0)=4,$D300/INDEX('Equipo'!$B$5:$B$29,MATCH($B300,'Equipo'!$A$5:$A$29,0))+$E300,0)),"")</f>
        <v/>
      </c>
      <c r="I300" s="26">
        <f>IF($B300='Perfil'!$B$3,COUNTIF($B$4:$B300,'Perfil'!$B$3),"")</f>
        <v/>
      </c>
    </row>
    <row r="301">
      <c r="A301" s="22" t="n"/>
      <c r="B301" s="23" t="n"/>
      <c r="C301" s="23" t="n"/>
      <c r="D301" s="24" t="n"/>
      <c r="E301" s="24" t="n"/>
      <c r="F301" s="23" t="n"/>
      <c r="G301" s="19">
        <f>IFERROR(IF(OR($B301="",$C301=""),"",IF(MATCH($C301,'Ajustes'!$A$5:$A$8,0)&lt;=2,$D301*INDEX('Ajustes'!$C$5:$C$6,MATCH($C301,'Ajustes'!$A$5:$A$8,0)),IF(MATCH($C301,'Ajustes'!$A$5:$A$8,0)=3,-($D301+$E301*INDEX('Equipo'!$B$5:$B$29,MATCH($B301,'Equipo'!$A$5:$A$29,0))),0))),"")</f>
        <v/>
      </c>
      <c r="H301" s="25">
        <f>IFERROR(IF(OR($B301="",$C301=""),"",IF(MATCH($C301,'Ajustes'!$A$5:$A$8,0)=4,$D301/INDEX('Equipo'!$B$5:$B$29,MATCH($B301,'Equipo'!$A$5:$A$29,0))+$E301,0)),"")</f>
        <v/>
      </c>
      <c r="I301" s="26">
        <f>IF($B301='Perfil'!$B$3,COUNTIF($B$4:$B301,'Perfil'!$B$3),"")</f>
        <v/>
      </c>
    </row>
    <row r="302">
      <c r="A302" s="22" t="n"/>
      <c r="B302" s="23" t="n"/>
      <c r="C302" s="23" t="n"/>
      <c r="D302" s="24" t="n"/>
      <c r="E302" s="24" t="n"/>
      <c r="F302" s="23" t="n"/>
      <c r="G302" s="19">
        <f>IFERROR(IF(OR($B302="",$C302=""),"",IF(MATCH($C302,'Ajustes'!$A$5:$A$8,0)&lt;=2,$D302*INDEX('Ajustes'!$C$5:$C$6,MATCH($C302,'Ajustes'!$A$5:$A$8,0)),IF(MATCH($C302,'Ajustes'!$A$5:$A$8,0)=3,-($D302+$E302*INDEX('Equipo'!$B$5:$B$29,MATCH($B302,'Equipo'!$A$5:$A$29,0))),0))),"")</f>
        <v/>
      </c>
      <c r="H302" s="25">
        <f>IFERROR(IF(OR($B302="",$C302=""),"",IF(MATCH($C302,'Ajustes'!$A$5:$A$8,0)=4,$D302/INDEX('Equipo'!$B$5:$B$29,MATCH($B302,'Equipo'!$A$5:$A$29,0))+$E302,0)),"")</f>
        <v/>
      </c>
      <c r="I302" s="26">
        <f>IF($B302='Perfil'!$B$3,COUNTIF($B$4:$B302,'Perfil'!$B$3),"")</f>
        <v/>
      </c>
    </row>
    <row r="303">
      <c r="A303" s="22" t="n"/>
      <c r="B303" s="23" t="n"/>
      <c r="C303" s="23" t="n"/>
      <c r="D303" s="24" t="n"/>
      <c r="E303" s="24" t="n"/>
      <c r="F303" s="23" t="n"/>
      <c r="G303" s="19">
        <f>IFERROR(IF(OR($B303="",$C303=""),"",IF(MATCH($C303,'Ajustes'!$A$5:$A$8,0)&lt;=2,$D303*INDEX('Ajustes'!$C$5:$C$6,MATCH($C303,'Ajustes'!$A$5:$A$8,0)),IF(MATCH($C303,'Ajustes'!$A$5:$A$8,0)=3,-($D303+$E303*INDEX('Equipo'!$B$5:$B$29,MATCH($B303,'Equipo'!$A$5:$A$29,0))),0))),"")</f>
        <v/>
      </c>
      <c r="H303" s="25">
        <f>IFERROR(IF(OR($B303="",$C303=""),"",IF(MATCH($C303,'Ajustes'!$A$5:$A$8,0)=4,$D303/INDEX('Equipo'!$B$5:$B$29,MATCH($B303,'Equipo'!$A$5:$A$29,0))+$E303,0)),"")</f>
        <v/>
      </c>
      <c r="I303" s="26">
        <f>IF($B303='Perfil'!$B$3,COUNTIF($B$4:$B303,'Perfil'!$B$3),"")</f>
        <v/>
      </c>
    </row>
    <row r="304">
      <c r="A304" s="22" t="n"/>
      <c r="B304" s="23" t="n"/>
      <c r="C304" s="23" t="n"/>
      <c r="D304" s="24" t="n"/>
      <c r="E304" s="24" t="n"/>
      <c r="F304" s="23" t="n"/>
      <c r="G304" s="19">
        <f>IFERROR(IF(OR($B304="",$C304=""),"",IF(MATCH($C304,'Ajustes'!$A$5:$A$8,0)&lt;=2,$D304*INDEX('Ajustes'!$C$5:$C$6,MATCH($C304,'Ajustes'!$A$5:$A$8,0)),IF(MATCH($C304,'Ajustes'!$A$5:$A$8,0)=3,-($D304+$E304*INDEX('Equipo'!$B$5:$B$29,MATCH($B304,'Equipo'!$A$5:$A$29,0))),0))),"")</f>
        <v/>
      </c>
      <c r="H304" s="25">
        <f>IFERROR(IF(OR($B304="",$C304=""),"",IF(MATCH($C304,'Ajustes'!$A$5:$A$8,0)=4,$D304/INDEX('Equipo'!$B$5:$B$29,MATCH($B304,'Equipo'!$A$5:$A$29,0))+$E304,0)),"")</f>
        <v/>
      </c>
      <c r="I304" s="26">
        <f>IF($B304='Perfil'!$B$3,COUNTIF($B$4:$B304,'Perfil'!$B$3),"")</f>
        <v/>
      </c>
    </row>
    <row r="305">
      <c r="A305" s="22" t="n"/>
      <c r="B305" s="23" t="n"/>
      <c r="C305" s="23" t="n"/>
      <c r="D305" s="24" t="n"/>
      <c r="E305" s="24" t="n"/>
      <c r="F305" s="23" t="n"/>
      <c r="G305" s="19">
        <f>IFERROR(IF(OR($B305="",$C305=""),"",IF(MATCH($C305,'Ajustes'!$A$5:$A$8,0)&lt;=2,$D305*INDEX('Ajustes'!$C$5:$C$6,MATCH($C305,'Ajustes'!$A$5:$A$8,0)),IF(MATCH($C305,'Ajustes'!$A$5:$A$8,0)=3,-($D305+$E305*INDEX('Equipo'!$B$5:$B$29,MATCH($B305,'Equipo'!$A$5:$A$29,0))),0))),"")</f>
        <v/>
      </c>
      <c r="H305" s="25">
        <f>IFERROR(IF(OR($B305="",$C305=""),"",IF(MATCH($C305,'Ajustes'!$A$5:$A$8,0)=4,$D305/INDEX('Equipo'!$B$5:$B$29,MATCH($B305,'Equipo'!$A$5:$A$29,0))+$E305,0)),"")</f>
        <v/>
      </c>
      <c r="I305" s="26">
        <f>IF($B305='Perfil'!$B$3,COUNTIF($B$4:$B305,'Perfil'!$B$3),"")</f>
        <v/>
      </c>
    </row>
    <row r="306">
      <c r="A306" s="22" t="n"/>
      <c r="B306" s="23" t="n"/>
      <c r="C306" s="23" t="n"/>
      <c r="D306" s="24" t="n"/>
      <c r="E306" s="24" t="n"/>
      <c r="F306" s="23" t="n"/>
      <c r="G306" s="19">
        <f>IFERROR(IF(OR($B306="",$C306=""),"",IF(MATCH($C306,'Ajustes'!$A$5:$A$8,0)&lt;=2,$D306*INDEX('Ajustes'!$C$5:$C$6,MATCH($C306,'Ajustes'!$A$5:$A$8,0)),IF(MATCH($C306,'Ajustes'!$A$5:$A$8,0)=3,-($D306+$E306*INDEX('Equipo'!$B$5:$B$29,MATCH($B306,'Equipo'!$A$5:$A$29,0))),0))),"")</f>
        <v/>
      </c>
      <c r="H306" s="25">
        <f>IFERROR(IF(OR($B306="",$C306=""),"",IF(MATCH($C306,'Ajustes'!$A$5:$A$8,0)=4,$D306/INDEX('Equipo'!$B$5:$B$29,MATCH($B306,'Equipo'!$A$5:$A$29,0))+$E306,0)),"")</f>
        <v/>
      </c>
      <c r="I306" s="26">
        <f>IF($B306='Perfil'!$B$3,COUNTIF($B$4:$B306,'Perfil'!$B$3),"")</f>
        <v/>
      </c>
    </row>
    <row r="307">
      <c r="A307" s="22" t="n"/>
      <c r="B307" s="23" t="n"/>
      <c r="C307" s="23" t="n"/>
      <c r="D307" s="24" t="n"/>
      <c r="E307" s="24" t="n"/>
      <c r="F307" s="23" t="n"/>
      <c r="G307" s="19">
        <f>IFERROR(IF(OR($B307="",$C307=""),"",IF(MATCH($C307,'Ajustes'!$A$5:$A$8,0)&lt;=2,$D307*INDEX('Ajustes'!$C$5:$C$6,MATCH($C307,'Ajustes'!$A$5:$A$8,0)),IF(MATCH($C307,'Ajustes'!$A$5:$A$8,0)=3,-($D307+$E307*INDEX('Equipo'!$B$5:$B$29,MATCH($B307,'Equipo'!$A$5:$A$29,0))),0))),"")</f>
        <v/>
      </c>
      <c r="H307" s="25">
        <f>IFERROR(IF(OR($B307="",$C307=""),"",IF(MATCH($C307,'Ajustes'!$A$5:$A$8,0)=4,$D307/INDEX('Equipo'!$B$5:$B$29,MATCH($B307,'Equipo'!$A$5:$A$29,0))+$E307,0)),"")</f>
        <v/>
      </c>
      <c r="I307" s="26">
        <f>IF($B307='Perfil'!$B$3,COUNTIF($B$4:$B307,'Perfil'!$B$3),"")</f>
        <v/>
      </c>
    </row>
    <row r="308">
      <c r="A308" s="22" t="n"/>
      <c r="B308" s="23" t="n"/>
      <c r="C308" s="23" t="n"/>
      <c r="D308" s="24" t="n"/>
      <c r="E308" s="24" t="n"/>
      <c r="F308" s="23" t="n"/>
      <c r="G308" s="19">
        <f>IFERROR(IF(OR($B308="",$C308=""),"",IF(MATCH($C308,'Ajustes'!$A$5:$A$8,0)&lt;=2,$D308*INDEX('Ajustes'!$C$5:$C$6,MATCH($C308,'Ajustes'!$A$5:$A$8,0)),IF(MATCH($C308,'Ajustes'!$A$5:$A$8,0)=3,-($D308+$E308*INDEX('Equipo'!$B$5:$B$29,MATCH($B308,'Equipo'!$A$5:$A$29,0))),0))),"")</f>
        <v/>
      </c>
      <c r="H308" s="25">
        <f>IFERROR(IF(OR($B308="",$C308=""),"",IF(MATCH($C308,'Ajustes'!$A$5:$A$8,0)=4,$D308/INDEX('Equipo'!$B$5:$B$29,MATCH($B308,'Equipo'!$A$5:$A$29,0))+$E308,0)),"")</f>
        <v/>
      </c>
      <c r="I308" s="26">
        <f>IF($B308='Perfil'!$B$3,COUNTIF($B$4:$B308,'Perfil'!$B$3),"")</f>
        <v/>
      </c>
    </row>
    <row r="309">
      <c r="A309" s="22" t="n"/>
      <c r="B309" s="23" t="n"/>
      <c r="C309" s="23" t="n"/>
      <c r="D309" s="24" t="n"/>
      <c r="E309" s="24" t="n"/>
      <c r="F309" s="23" t="n"/>
      <c r="G309" s="19">
        <f>IFERROR(IF(OR($B309="",$C309=""),"",IF(MATCH($C309,'Ajustes'!$A$5:$A$8,0)&lt;=2,$D309*INDEX('Ajustes'!$C$5:$C$6,MATCH($C309,'Ajustes'!$A$5:$A$8,0)),IF(MATCH($C309,'Ajustes'!$A$5:$A$8,0)=3,-($D309+$E309*INDEX('Equipo'!$B$5:$B$29,MATCH($B309,'Equipo'!$A$5:$A$29,0))),0))),"")</f>
        <v/>
      </c>
      <c r="H309" s="25">
        <f>IFERROR(IF(OR($B309="",$C309=""),"",IF(MATCH($C309,'Ajustes'!$A$5:$A$8,0)=4,$D309/INDEX('Equipo'!$B$5:$B$29,MATCH($B309,'Equipo'!$A$5:$A$29,0))+$E309,0)),"")</f>
        <v/>
      </c>
      <c r="I309" s="26">
        <f>IF($B309='Perfil'!$B$3,COUNTIF($B$4:$B309,'Perfil'!$B$3),"")</f>
        <v/>
      </c>
    </row>
    <row r="310">
      <c r="A310" s="22" t="n"/>
      <c r="B310" s="23" t="n"/>
      <c r="C310" s="23" t="n"/>
      <c r="D310" s="24" t="n"/>
      <c r="E310" s="24" t="n"/>
      <c r="F310" s="23" t="n"/>
      <c r="G310" s="19">
        <f>IFERROR(IF(OR($B310="",$C310=""),"",IF(MATCH($C310,'Ajustes'!$A$5:$A$8,0)&lt;=2,$D310*INDEX('Ajustes'!$C$5:$C$6,MATCH($C310,'Ajustes'!$A$5:$A$8,0)),IF(MATCH($C310,'Ajustes'!$A$5:$A$8,0)=3,-($D310+$E310*INDEX('Equipo'!$B$5:$B$29,MATCH($B310,'Equipo'!$A$5:$A$29,0))),0))),"")</f>
        <v/>
      </c>
      <c r="H310" s="25">
        <f>IFERROR(IF(OR($B310="",$C310=""),"",IF(MATCH($C310,'Ajustes'!$A$5:$A$8,0)=4,$D310/INDEX('Equipo'!$B$5:$B$29,MATCH($B310,'Equipo'!$A$5:$A$29,0))+$E310,0)),"")</f>
        <v/>
      </c>
      <c r="I310" s="26">
        <f>IF($B310='Perfil'!$B$3,COUNTIF($B$4:$B310,'Perfil'!$B$3),"")</f>
        <v/>
      </c>
    </row>
    <row r="311">
      <c r="A311" s="22" t="n"/>
      <c r="B311" s="23" t="n"/>
      <c r="C311" s="23" t="n"/>
      <c r="D311" s="24" t="n"/>
      <c r="E311" s="24" t="n"/>
      <c r="F311" s="23" t="n"/>
      <c r="G311" s="19">
        <f>IFERROR(IF(OR($B311="",$C311=""),"",IF(MATCH($C311,'Ajustes'!$A$5:$A$8,0)&lt;=2,$D311*INDEX('Ajustes'!$C$5:$C$6,MATCH($C311,'Ajustes'!$A$5:$A$8,0)),IF(MATCH($C311,'Ajustes'!$A$5:$A$8,0)=3,-($D311+$E311*INDEX('Equipo'!$B$5:$B$29,MATCH($B311,'Equipo'!$A$5:$A$29,0))),0))),"")</f>
        <v/>
      </c>
      <c r="H311" s="25">
        <f>IFERROR(IF(OR($B311="",$C311=""),"",IF(MATCH($C311,'Ajustes'!$A$5:$A$8,0)=4,$D311/INDEX('Equipo'!$B$5:$B$29,MATCH($B311,'Equipo'!$A$5:$A$29,0))+$E311,0)),"")</f>
        <v/>
      </c>
      <c r="I311" s="26">
        <f>IF($B311='Perfil'!$B$3,COUNTIF($B$4:$B311,'Perfil'!$B$3),"")</f>
        <v/>
      </c>
    </row>
    <row r="312">
      <c r="A312" s="22" t="n"/>
      <c r="B312" s="23" t="n"/>
      <c r="C312" s="23" t="n"/>
      <c r="D312" s="24" t="n"/>
      <c r="E312" s="24" t="n"/>
      <c r="F312" s="23" t="n"/>
      <c r="G312" s="19">
        <f>IFERROR(IF(OR($B312="",$C312=""),"",IF(MATCH($C312,'Ajustes'!$A$5:$A$8,0)&lt;=2,$D312*INDEX('Ajustes'!$C$5:$C$6,MATCH($C312,'Ajustes'!$A$5:$A$8,0)),IF(MATCH($C312,'Ajustes'!$A$5:$A$8,0)=3,-($D312+$E312*INDEX('Equipo'!$B$5:$B$29,MATCH($B312,'Equipo'!$A$5:$A$29,0))),0))),"")</f>
        <v/>
      </c>
      <c r="H312" s="25">
        <f>IFERROR(IF(OR($B312="",$C312=""),"",IF(MATCH($C312,'Ajustes'!$A$5:$A$8,0)=4,$D312/INDEX('Equipo'!$B$5:$B$29,MATCH($B312,'Equipo'!$A$5:$A$29,0))+$E312,0)),"")</f>
        <v/>
      </c>
      <c r="I312" s="26">
        <f>IF($B312='Perfil'!$B$3,COUNTIF($B$4:$B312,'Perfil'!$B$3),"")</f>
        <v/>
      </c>
    </row>
    <row r="313">
      <c r="A313" s="22" t="n"/>
      <c r="B313" s="23" t="n"/>
      <c r="C313" s="23" t="n"/>
      <c r="D313" s="24" t="n"/>
      <c r="E313" s="24" t="n"/>
      <c r="F313" s="23" t="n"/>
      <c r="G313" s="19">
        <f>IFERROR(IF(OR($B313="",$C313=""),"",IF(MATCH($C313,'Ajustes'!$A$5:$A$8,0)&lt;=2,$D313*INDEX('Ajustes'!$C$5:$C$6,MATCH($C313,'Ajustes'!$A$5:$A$8,0)),IF(MATCH($C313,'Ajustes'!$A$5:$A$8,0)=3,-($D313+$E313*INDEX('Equipo'!$B$5:$B$29,MATCH($B313,'Equipo'!$A$5:$A$29,0))),0))),"")</f>
        <v/>
      </c>
      <c r="H313" s="25">
        <f>IFERROR(IF(OR($B313="",$C313=""),"",IF(MATCH($C313,'Ajustes'!$A$5:$A$8,0)=4,$D313/INDEX('Equipo'!$B$5:$B$29,MATCH($B313,'Equipo'!$A$5:$A$29,0))+$E313,0)),"")</f>
        <v/>
      </c>
      <c r="I313" s="26">
        <f>IF($B313='Perfil'!$B$3,COUNTIF($B$4:$B313,'Perfil'!$B$3),"")</f>
        <v/>
      </c>
    </row>
    <row r="314">
      <c r="A314" s="22" t="n"/>
      <c r="B314" s="23" t="n"/>
      <c r="C314" s="23" t="n"/>
      <c r="D314" s="24" t="n"/>
      <c r="E314" s="24" t="n"/>
      <c r="F314" s="23" t="n"/>
      <c r="G314" s="19">
        <f>IFERROR(IF(OR($B314="",$C314=""),"",IF(MATCH($C314,'Ajustes'!$A$5:$A$8,0)&lt;=2,$D314*INDEX('Ajustes'!$C$5:$C$6,MATCH($C314,'Ajustes'!$A$5:$A$8,0)),IF(MATCH($C314,'Ajustes'!$A$5:$A$8,0)=3,-($D314+$E314*INDEX('Equipo'!$B$5:$B$29,MATCH($B314,'Equipo'!$A$5:$A$29,0))),0))),"")</f>
        <v/>
      </c>
      <c r="H314" s="25">
        <f>IFERROR(IF(OR($B314="",$C314=""),"",IF(MATCH($C314,'Ajustes'!$A$5:$A$8,0)=4,$D314/INDEX('Equipo'!$B$5:$B$29,MATCH($B314,'Equipo'!$A$5:$A$29,0))+$E314,0)),"")</f>
        <v/>
      </c>
      <c r="I314" s="26">
        <f>IF($B314='Perfil'!$B$3,COUNTIF($B$4:$B314,'Perfil'!$B$3),"")</f>
        <v/>
      </c>
    </row>
    <row r="315">
      <c r="A315" s="22" t="n"/>
      <c r="B315" s="23" t="n"/>
      <c r="C315" s="23" t="n"/>
      <c r="D315" s="24" t="n"/>
      <c r="E315" s="24" t="n"/>
      <c r="F315" s="23" t="n"/>
      <c r="G315" s="19">
        <f>IFERROR(IF(OR($B315="",$C315=""),"",IF(MATCH($C315,'Ajustes'!$A$5:$A$8,0)&lt;=2,$D315*INDEX('Ajustes'!$C$5:$C$6,MATCH($C315,'Ajustes'!$A$5:$A$8,0)),IF(MATCH($C315,'Ajustes'!$A$5:$A$8,0)=3,-($D315+$E315*INDEX('Equipo'!$B$5:$B$29,MATCH($B315,'Equipo'!$A$5:$A$29,0))),0))),"")</f>
        <v/>
      </c>
      <c r="H315" s="25">
        <f>IFERROR(IF(OR($B315="",$C315=""),"",IF(MATCH($C315,'Ajustes'!$A$5:$A$8,0)=4,$D315/INDEX('Equipo'!$B$5:$B$29,MATCH($B315,'Equipo'!$A$5:$A$29,0))+$E315,0)),"")</f>
        <v/>
      </c>
      <c r="I315" s="26">
        <f>IF($B315='Perfil'!$B$3,COUNTIF($B$4:$B315,'Perfil'!$B$3),"")</f>
        <v/>
      </c>
    </row>
    <row r="316">
      <c r="A316" s="22" t="n"/>
      <c r="B316" s="23" t="n"/>
      <c r="C316" s="23" t="n"/>
      <c r="D316" s="24" t="n"/>
      <c r="E316" s="24" t="n"/>
      <c r="F316" s="23" t="n"/>
      <c r="G316" s="19">
        <f>IFERROR(IF(OR($B316="",$C316=""),"",IF(MATCH($C316,'Ajustes'!$A$5:$A$8,0)&lt;=2,$D316*INDEX('Ajustes'!$C$5:$C$6,MATCH($C316,'Ajustes'!$A$5:$A$8,0)),IF(MATCH($C316,'Ajustes'!$A$5:$A$8,0)=3,-($D316+$E316*INDEX('Equipo'!$B$5:$B$29,MATCH($B316,'Equipo'!$A$5:$A$29,0))),0))),"")</f>
        <v/>
      </c>
      <c r="H316" s="25">
        <f>IFERROR(IF(OR($B316="",$C316=""),"",IF(MATCH($C316,'Ajustes'!$A$5:$A$8,0)=4,$D316/INDEX('Equipo'!$B$5:$B$29,MATCH($B316,'Equipo'!$A$5:$A$29,0))+$E316,0)),"")</f>
        <v/>
      </c>
      <c r="I316" s="26">
        <f>IF($B316='Perfil'!$B$3,COUNTIF($B$4:$B316,'Perfil'!$B$3),"")</f>
        <v/>
      </c>
    </row>
    <row r="317">
      <c r="A317" s="22" t="n"/>
      <c r="B317" s="23" t="n"/>
      <c r="C317" s="23" t="n"/>
      <c r="D317" s="24" t="n"/>
      <c r="E317" s="24" t="n"/>
      <c r="F317" s="23" t="n"/>
      <c r="G317" s="19">
        <f>IFERROR(IF(OR($B317="",$C317=""),"",IF(MATCH($C317,'Ajustes'!$A$5:$A$8,0)&lt;=2,$D317*INDEX('Ajustes'!$C$5:$C$6,MATCH($C317,'Ajustes'!$A$5:$A$8,0)),IF(MATCH($C317,'Ajustes'!$A$5:$A$8,0)=3,-($D317+$E317*INDEX('Equipo'!$B$5:$B$29,MATCH($B317,'Equipo'!$A$5:$A$29,0))),0))),"")</f>
        <v/>
      </c>
      <c r="H317" s="25">
        <f>IFERROR(IF(OR($B317="",$C317=""),"",IF(MATCH($C317,'Ajustes'!$A$5:$A$8,0)=4,$D317/INDEX('Equipo'!$B$5:$B$29,MATCH($B317,'Equipo'!$A$5:$A$29,0))+$E317,0)),"")</f>
        <v/>
      </c>
      <c r="I317" s="26">
        <f>IF($B317='Perfil'!$B$3,COUNTIF($B$4:$B317,'Perfil'!$B$3),"")</f>
        <v/>
      </c>
    </row>
    <row r="318">
      <c r="A318" s="22" t="n"/>
      <c r="B318" s="23" t="n"/>
      <c r="C318" s="23" t="n"/>
      <c r="D318" s="24" t="n"/>
      <c r="E318" s="24" t="n"/>
      <c r="F318" s="23" t="n"/>
      <c r="G318" s="19">
        <f>IFERROR(IF(OR($B318="",$C318=""),"",IF(MATCH($C318,'Ajustes'!$A$5:$A$8,0)&lt;=2,$D318*INDEX('Ajustes'!$C$5:$C$6,MATCH($C318,'Ajustes'!$A$5:$A$8,0)),IF(MATCH($C318,'Ajustes'!$A$5:$A$8,0)=3,-($D318+$E318*INDEX('Equipo'!$B$5:$B$29,MATCH($B318,'Equipo'!$A$5:$A$29,0))),0))),"")</f>
        <v/>
      </c>
      <c r="H318" s="25">
        <f>IFERROR(IF(OR($B318="",$C318=""),"",IF(MATCH($C318,'Ajustes'!$A$5:$A$8,0)=4,$D318/INDEX('Equipo'!$B$5:$B$29,MATCH($B318,'Equipo'!$A$5:$A$29,0))+$E318,0)),"")</f>
        <v/>
      </c>
      <c r="I318" s="26">
        <f>IF($B318='Perfil'!$B$3,COUNTIF($B$4:$B318,'Perfil'!$B$3),"")</f>
        <v/>
      </c>
    </row>
    <row r="319">
      <c r="A319" s="22" t="n"/>
      <c r="B319" s="23" t="n"/>
      <c r="C319" s="23" t="n"/>
      <c r="D319" s="24" t="n"/>
      <c r="E319" s="24" t="n"/>
      <c r="F319" s="23" t="n"/>
      <c r="G319" s="19">
        <f>IFERROR(IF(OR($B319="",$C319=""),"",IF(MATCH($C319,'Ajustes'!$A$5:$A$8,0)&lt;=2,$D319*INDEX('Ajustes'!$C$5:$C$6,MATCH($C319,'Ajustes'!$A$5:$A$8,0)),IF(MATCH($C319,'Ajustes'!$A$5:$A$8,0)=3,-($D319+$E319*INDEX('Equipo'!$B$5:$B$29,MATCH($B319,'Equipo'!$A$5:$A$29,0))),0))),"")</f>
        <v/>
      </c>
      <c r="H319" s="25">
        <f>IFERROR(IF(OR($B319="",$C319=""),"",IF(MATCH($C319,'Ajustes'!$A$5:$A$8,0)=4,$D319/INDEX('Equipo'!$B$5:$B$29,MATCH($B319,'Equipo'!$A$5:$A$29,0))+$E319,0)),"")</f>
        <v/>
      </c>
      <c r="I319" s="26">
        <f>IF($B319='Perfil'!$B$3,COUNTIF($B$4:$B319,'Perfil'!$B$3),"")</f>
        <v/>
      </c>
    </row>
    <row r="320">
      <c r="A320" s="22" t="n"/>
      <c r="B320" s="23" t="n"/>
      <c r="C320" s="23" t="n"/>
      <c r="D320" s="24" t="n"/>
      <c r="E320" s="24" t="n"/>
      <c r="F320" s="23" t="n"/>
      <c r="G320" s="19">
        <f>IFERROR(IF(OR($B320="",$C320=""),"",IF(MATCH($C320,'Ajustes'!$A$5:$A$8,0)&lt;=2,$D320*INDEX('Ajustes'!$C$5:$C$6,MATCH($C320,'Ajustes'!$A$5:$A$8,0)),IF(MATCH($C320,'Ajustes'!$A$5:$A$8,0)=3,-($D320+$E320*INDEX('Equipo'!$B$5:$B$29,MATCH($B320,'Equipo'!$A$5:$A$29,0))),0))),"")</f>
        <v/>
      </c>
      <c r="H320" s="25">
        <f>IFERROR(IF(OR($B320="",$C320=""),"",IF(MATCH($C320,'Ajustes'!$A$5:$A$8,0)=4,$D320/INDEX('Equipo'!$B$5:$B$29,MATCH($B320,'Equipo'!$A$5:$A$29,0))+$E320,0)),"")</f>
        <v/>
      </c>
      <c r="I320" s="26">
        <f>IF($B320='Perfil'!$B$3,COUNTIF($B$4:$B320,'Perfil'!$B$3),"")</f>
        <v/>
      </c>
    </row>
    <row r="321">
      <c r="A321" s="22" t="n"/>
      <c r="B321" s="23" t="n"/>
      <c r="C321" s="23" t="n"/>
      <c r="D321" s="24" t="n"/>
      <c r="E321" s="24" t="n"/>
      <c r="F321" s="23" t="n"/>
      <c r="G321" s="19">
        <f>IFERROR(IF(OR($B321="",$C321=""),"",IF(MATCH($C321,'Ajustes'!$A$5:$A$8,0)&lt;=2,$D321*INDEX('Ajustes'!$C$5:$C$6,MATCH($C321,'Ajustes'!$A$5:$A$8,0)),IF(MATCH($C321,'Ajustes'!$A$5:$A$8,0)=3,-($D321+$E321*INDEX('Equipo'!$B$5:$B$29,MATCH($B321,'Equipo'!$A$5:$A$29,0))),0))),"")</f>
        <v/>
      </c>
      <c r="H321" s="25">
        <f>IFERROR(IF(OR($B321="",$C321=""),"",IF(MATCH($C321,'Ajustes'!$A$5:$A$8,0)=4,$D321/INDEX('Equipo'!$B$5:$B$29,MATCH($B321,'Equipo'!$A$5:$A$29,0))+$E321,0)),"")</f>
        <v/>
      </c>
      <c r="I321" s="26">
        <f>IF($B321='Perfil'!$B$3,COUNTIF($B$4:$B321,'Perfil'!$B$3),"")</f>
        <v/>
      </c>
    </row>
    <row r="322">
      <c r="A322" s="22" t="n"/>
      <c r="B322" s="23" t="n"/>
      <c r="C322" s="23" t="n"/>
      <c r="D322" s="24" t="n"/>
      <c r="E322" s="24" t="n"/>
      <c r="F322" s="23" t="n"/>
      <c r="G322" s="19">
        <f>IFERROR(IF(OR($B322="",$C322=""),"",IF(MATCH($C322,'Ajustes'!$A$5:$A$8,0)&lt;=2,$D322*INDEX('Ajustes'!$C$5:$C$6,MATCH($C322,'Ajustes'!$A$5:$A$8,0)),IF(MATCH($C322,'Ajustes'!$A$5:$A$8,0)=3,-($D322+$E322*INDEX('Equipo'!$B$5:$B$29,MATCH($B322,'Equipo'!$A$5:$A$29,0))),0))),"")</f>
        <v/>
      </c>
      <c r="H322" s="25">
        <f>IFERROR(IF(OR($B322="",$C322=""),"",IF(MATCH($C322,'Ajustes'!$A$5:$A$8,0)=4,$D322/INDEX('Equipo'!$B$5:$B$29,MATCH($B322,'Equipo'!$A$5:$A$29,0))+$E322,0)),"")</f>
        <v/>
      </c>
      <c r="I322" s="26">
        <f>IF($B322='Perfil'!$B$3,COUNTIF($B$4:$B322,'Perfil'!$B$3),"")</f>
        <v/>
      </c>
    </row>
    <row r="323">
      <c r="A323" s="22" t="n"/>
      <c r="B323" s="23" t="n"/>
      <c r="C323" s="23" t="n"/>
      <c r="D323" s="24" t="n"/>
      <c r="E323" s="24" t="n"/>
      <c r="F323" s="23" t="n"/>
      <c r="G323" s="19">
        <f>IFERROR(IF(OR($B323="",$C323=""),"",IF(MATCH($C323,'Ajustes'!$A$5:$A$8,0)&lt;=2,$D323*INDEX('Ajustes'!$C$5:$C$6,MATCH($C323,'Ajustes'!$A$5:$A$8,0)),IF(MATCH($C323,'Ajustes'!$A$5:$A$8,0)=3,-($D323+$E323*INDEX('Equipo'!$B$5:$B$29,MATCH($B323,'Equipo'!$A$5:$A$29,0))),0))),"")</f>
        <v/>
      </c>
      <c r="H323" s="25">
        <f>IFERROR(IF(OR($B323="",$C323=""),"",IF(MATCH($C323,'Ajustes'!$A$5:$A$8,0)=4,$D323/INDEX('Equipo'!$B$5:$B$29,MATCH($B323,'Equipo'!$A$5:$A$29,0))+$E323,0)),"")</f>
        <v/>
      </c>
      <c r="I323" s="26">
        <f>IF($B323='Perfil'!$B$3,COUNTIF($B$4:$B323,'Perfil'!$B$3),"")</f>
        <v/>
      </c>
    </row>
    <row r="324">
      <c r="A324" s="22" t="n"/>
      <c r="B324" s="23" t="n"/>
      <c r="C324" s="23" t="n"/>
      <c r="D324" s="24" t="n"/>
      <c r="E324" s="24" t="n"/>
      <c r="F324" s="23" t="n"/>
      <c r="G324" s="19">
        <f>IFERROR(IF(OR($B324="",$C324=""),"",IF(MATCH($C324,'Ajustes'!$A$5:$A$8,0)&lt;=2,$D324*INDEX('Ajustes'!$C$5:$C$6,MATCH($C324,'Ajustes'!$A$5:$A$8,0)),IF(MATCH($C324,'Ajustes'!$A$5:$A$8,0)=3,-($D324+$E324*INDEX('Equipo'!$B$5:$B$29,MATCH($B324,'Equipo'!$A$5:$A$29,0))),0))),"")</f>
        <v/>
      </c>
      <c r="H324" s="25">
        <f>IFERROR(IF(OR($B324="",$C324=""),"",IF(MATCH($C324,'Ajustes'!$A$5:$A$8,0)=4,$D324/INDEX('Equipo'!$B$5:$B$29,MATCH($B324,'Equipo'!$A$5:$A$29,0))+$E324,0)),"")</f>
        <v/>
      </c>
      <c r="I324" s="26">
        <f>IF($B324='Perfil'!$B$3,COUNTIF($B$4:$B324,'Perfil'!$B$3),"")</f>
        <v/>
      </c>
    </row>
    <row r="325">
      <c r="A325" s="22" t="n"/>
      <c r="B325" s="23" t="n"/>
      <c r="C325" s="23" t="n"/>
      <c r="D325" s="24" t="n"/>
      <c r="E325" s="24" t="n"/>
      <c r="F325" s="23" t="n"/>
      <c r="G325" s="19">
        <f>IFERROR(IF(OR($B325="",$C325=""),"",IF(MATCH($C325,'Ajustes'!$A$5:$A$8,0)&lt;=2,$D325*INDEX('Ajustes'!$C$5:$C$6,MATCH($C325,'Ajustes'!$A$5:$A$8,0)),IF(MATCH($C325,'Ajustes'!$A$5:$A$8,0)=3,-($D325+$E325*INDEX('Equipo'!$B$5:$B$29,MATCH($B325,'Equipo'!$A$5:$A$29,0))),0))),"")</f>
        <v/>
      </c>
      <c r="H325" s="25">
        <f>IFERROR(IF(OR($B325="",$C325=""),"",IF(MATCH($C325,'Ajustes'!$A$5:$A$8,0)=4,$D325/INDEX('Equipo'!$B$5:$B$29,MATCH($B325,'Equipo'!$A$5:$A$29,0))+$E325,0)),"")</f>
        <v/>
      </c>
      <c r="I325" s="26">
        <f>IF($B325='Perfil'!$B$3,COUNTIF($B$4:$B325,'Perfil'!$B$3),"")</f>
        <v/>
      </c>
    </row>
    <row r="326">
      <c r="A326" s="22" t="n"/>
      <c r="B326" s="23" t="n"/>
      <c r="C326" s="23" t="n"/>
      <c r="D326" s="24" t="n"/>
      <c r="E326" s="24" t="n"/>
      <c r="F326" s="23" t="n"/>
      <c r="G326" s="19">
        <f>IFERROR(IF(OR($B326="",$C326=""),"",IF(MATCH($C326,'Ajustes'!$A$5:$A$8,0)&lt;=2,$D326*INDEX('Ajustes'!$C$5:$C$6,MATCH($C326,'Ajustes'!$A$5:$A$8,0)),IF(MATCH($C326,'Ajustes'!$A$5:$A$8,0)=3,-($D326+$E326*INDEX('Equipo'!$B$5:$B$29,MATCH($B326,'Equipo'!$A$5:$A$29,0))),0))),"")</f>
        <v/>
      </c>
      <c r="H326" s="25">
        <f>IFERROR(IF(OR($B326="",$C326=""),"",IF(MATCH($C326,'Ajustes'!$A$5:$A$8,0)=4,$D326/INDEX('Equipo'!$B$5:$B$29,MATCH($B326,'Equipo'!$A$5:$A$29,0))+$E326,0)),"")</f>
        <v/>
      </c>
      <c r="I326" s="26">
        <f>IF($B326='Perfil'!$B$3,COUNTIF($B$4:$B326,'Perfil'!$B$3),"")</f>
        <v/>
      </c>
    </row>
    <row r="327">
      <c r="A327" s="22" t="n"/>
      <c r="B327" s="23" t="n"/>
      <c r="C327" s="23" t="n"/>
      <c r="D327" s="24" t="n"/>
      <c r="E327" s="24" t="n"/>
      <c r="F327" s="23" t="n"/>
      <c r="G327" s="19">
        <f>IFERROR(IF(OR($B327="",$C327=""),"",IF(MATCH($C327,'Ajustes'!$A$5:$A$8,0)&lt;=2,$D327*INDEX('Ajustes'!$C$5:$C$6,MATCH($C327,'Ajustes'!$A$5:$A$8,0)),IF(MATCH($C327,'Ajustes'!$A$5:$A$8,0)=3,-($D327+$E327*INDEX('Equipo'!$B$5:$B$29,MATCH($B327,'Equipo'!$A$5:$A$29,0))),0))),"")</f>
        <v/>
      </c>
      <c r="H327" s="25">
        <f>IFERROR(IF(OR($B327="",$C327=""),"",IF(MATCH($C327,'Ajustes'!$A$5:$A$8,0)=4,$D327/INDEX('Equipo'!$B$5:$B$29,MATCH($B327,'Equipo'!$A$5:$A$29,0))+$E327,0)),"")</f>
        <v/>
      </c>
      <c r="I327" s="26">
        <f>IF($B327='Perfil'!$B$3,COUNTIF($B$4:$B327,'Perfil'!$B$3),"")</f>
        <v/>
      </c>
    </row>
    <row r="328">
      <c r="A328" s="22" t="n"/>
      <c r="B328" s="23" t="n"/>
      <c r="C328" s="23" t="n"/>
      <c r="D328" s="24" t="n"/>
      <c r="E328" s="24" t="n"/>
      <c r="F328" s="23" t="n"/>
      <c r="G328" s="19">
        <f>IFERROR(IF(OR($B328="",$C328=""),"",IF(MATCH($C328,'Ajustes'!$A$5:$A$8,0)&lt;=2,$D328*INDEX('Ajustes'!$C$5:$C$6,MATCH($C328,'Ajustes'!$A$5:$A$8,0)),IF(MATCH($C328,'Ajustes'!$A$5:$A$8,0)=3,-($D328+$E328*INDEX('Equipo'!$B$5:$B$29,MATCH($B328,'Equipo'!$A$5:$A$29,0))),0))),"")</f>
        <v/>
      </c>
      <c r="H328" s="25">
        <f>IFERROR(IF(OR($B328="",$C328=""),"",IF(MATCH($C328,'Ajustes'!$A$5:$A$8,0)=4,$D328/INDEX('Equipo'!$B$5:$B$29,MATCH($B328,'Equipo'!$A$5:$A$29,0))+$E328,0)),"")</f>
        <v/>
      </c>
      <c r="I328" s="26">
        <f>IF($B328='Perfil'!$B$3,COUNTIF($B$4:$B328,'Perfil'!$B$3),"")</f>
        <v/>
      </c>
    </row>
    <row r="329">
      <c r="A329" s="22" t="n"/>
      <c r="B329" s="23" t="n"/>
      <c r="C329" s="23" t="n"/>
      <c r="D329" s="24" t="n"/>
      <c r="E329" s="24" t="n"/>
      <c r="F329" s="23" t="n"/>
      <c r="G329" s="19">
        <f>IFERROR(IF(OR($B329="",$C329=""),"",IF(MATCH($C329,'Ajustes'!$A$5:$A$8,0)&lt;=2,$D329*INDEX('Ajustes'!$C$5:$C$6,MATCH($C329,'Ajustes'!$A$5:$A$8,0)),IF(MATCH($C329,'Ajustes'!$A$5:$A$8,0)=3,-($D329+$E329*INDEX('Equipo'!$B$5:$B$29,MATCH($B329,'Equipo'!$A$5:$A$29,0))),0))),"")</f>
        <v/>
      </c>
      <c r="H329" s="25">
        <f>IFERROR(IF(OR($B329="",$C329=""),"",IF(MATCH($C329,'Ajustes'!$A$5:$A$8,0)=4,$D329/INDEX('Equipo'!$B$5:$B$29,MATCH($B329,'Equipo'!$A$5:$A$29,0))+$E329,0)),"")</f>
        <v/>
      </c>
      <c r="I329" s="26">
        <f>IF($B329='Perfil'!$B$3,COUNTIF($B$4:$B329,'Perfil'!$B$3),"")</f>
        <v/>
      </c>
    </row>
    <row r="330">
      <c r="A330" s="22" t="n"/>
      <c r="B330" s="23" t="n"/>
      <c r="C330" s="23" t="n"/>
      <c r="D330" s="24" t="n"/>
      <c r="E330" s="24" t="n"/>
      <c r="F330" s="23" t="n"/>
      <c r="G330" s="19">
        <f>IFERROR(IF(OR($B330="",$C330=""),"",IF(MATCH($C330,'Ajustes'!$A$5:$A$8,0)&lt;=2,$D330*INDEX('Ajustes'!$C$5:$C$6,MATCH($C330,'Ajustes'!$A$5:$A$8,0)),IF(MATCH($C330,'Ajustes'!$A$5:$A$8,0)=3,-($D330+$E330*INDEX('Equipo'!$B$5:$B$29,MATCH($B330,'Equipo'!$A$5:$A$29,0))),0))),"")</f>
        <v/>
      </c>
      <c r="H330" s="25">
        <f>IFERROR(IF(OR($B330="",$C330=""),"",IF(MATCH($C330,'Ajustes'!$A$5:$A$8,0)=4,$D330/INDEX('Equipo'!$B$5:$B$29,MATCH($B330,'Equipo'!$A$5:$A$29,0))+$E330,0)),"")</f>
        <v/>
      </c>
      <c r="I330" s="26">
        <f>IF($B330='Perfil'!$B$3,COUNTIF($B$4:$B330,'Perfil'!$B$3),"")</f>
        <v/>
      </c>
    </row>
    <row r="331">
      <c r="A331" s="22" t="n"/>
      <c r="B331" s="23" t="n"/>
      <c r="C331" s="23" t="n"/>
      <c r="D331" s="24" t="n"/>
      <c r="E331" s="24" t="n"/>
      <c r="F331" s="23" t="n"/>
      <c r="G331" s="19">
        <f>IFERROR(IF(OR($B331="",$C331=""),"",IF(MATCH($C331,'Ajustes'!$A$5:$A$8,0)&lt;=2,$D331*INDEX('Ajustes'!$C$5:$C$6,MATCH($C331,'Ajustes'!$A$5:$A$8,0)),IF(MATCH($C331,'Ajustes'!$A$5:$A$8,0)=3,-($D331+$E331*INDEX('Equipo'!$B$5:$B$29,MATCH($B331,'Equipo'!$A$5:$A$29,0))),0))),"")</f>
        <v/>
      </c>
      <c r="H331" s="25">
        <f>IFERROR(IF(OR($B331="",$C331=""),"",IF(MATCH($C331,'Ajustes'!$A$5:$A$8,0)=4,$D331/INDEX('Equipo'!$B$5:$B$29,MATCH($B331,'Equipo'!$A$5:$A$29,0))+$E331,0)),"")</f>
        <v/>
      </c>
      <c r="I331" s="26">
        <f>IF($B331='Perfil'!$B$3,COUNTIF($B$4:$B331,'Perfil'!$B$3),"")</f>
        <v/>
      </c>
    </row>
    <row r="332">
      <c r="A332" s="22" t="n"/>
      <c r="B332" s="23" t="n"/>
      <c r="C332" s="23" t="n"/>
      <c r="D332" s="24" t="n"/>
      <c r="E332" s="24" t="n"/>
      <c r="F332" s="23" t="n"/>
      <c r="G332" s="19">
        <f>IFERROR(IF(OR($B332="",$C332=""),"",IF(MATCH($C332,'Ajustes'!$A$5:$A$8,0)&lt;=2,$D332*INDEX('Ajustes'!$C$5:$C$6,MATCH($C332,'Ajustes'!$A$5:$A$8,0)),IF(MATCH($C332,'Ajustes'!$A$5:$A$8,0)=3,-($D332+$E332*INDEX('Equipo'!$B$5:$B$29,MATCH($B332,'Equipo'!$A$5:$A$29,0))),0))),"")</f>
        <v/>
      </c>
      <c r="H332" s="25">
        <f>IFERROR(IF(OR($B332="",$C332=""),"",IF(MATCH($C332,'Ajustes'!$A$5:$A$8,0)=4,$D332/INDEX('Equipo'!$B$5:$B$29,MATCH($B332,'Equipo'!$A$5:$A$29,0))+$E332,0)),"")</f>
        <v/>
      </c>
      <c r="I332" s="26">
        <f>IF($B332='Perfil'!$B$3,COUNTIF($B$4:$B332,'Perfil'!$B$3),"")</f>
        <v/>
      </c>
    </row>
    <row r="333">
      <c r="A333" s="22" t="n"/>
      <c r="B333" s="23" t="n"/>
      <c r="C333" s="23" t="n"/>
      <c r="D333" s="24" t="n"/>
      <c r="E333" s="24" t="n"/>
      <c r="F333" s="23" t="n"/>
      <c r="G333" s="19">
        <f>IFERROR(IF(OR($B333="",$C333=""),"",IF(MATCH($C333,'Ajustes'!$A$5:$A$8,0)&lt;=2,$D333*INDEX('Ajustes'!$C$5:$C$6,MATCH($C333,'Ajustes'!$A$5:$A$8,0)),IF(MATCH($C333,'Ajustes'!$A$5:$A$8,0)=3,-($D333+$E333*INDEX('Equipo'!$B$5:$B$29,MATCH($B333,'Equipo'!$A$5:$A$29,0))),0))),"")</f>
        <v/>
      </c>
      <c r="H333" s="25">
        <f>IFERROR(IF(OR($B333="",$C333=""),"",IF(MATCH($C333,'Ajustes'!$A$5:$A$8,0)=4,$D333/INDEX('Equipo'!$B$5:$B$29,MATCH($B333,'Equipo'!$A$5:$A$29,0))+$E333,0)),"")</f>
        <v/>
      </c>
      <c r="I333" s="26">
        <f>IF($B333='Perfil'!$B$3,COUNTIF($B$4:$B333,'Perfil'!$B$3),"")</f>
        <v/>
      </c>
    </row>
    <row r="334">
      <c r="A334" s="22" t="n"/>
      <c r="B334" s="23" t="n"/>
      <c r="C334" s="23" t="n"/>
      <c r="D334" s="24" t="n"/>
      <c r="E334" s="24" t="n"/>
      <c r="F334" s="23" t="n"/>
      <c r="G334" s="19">
        <f>IFERROR(IF(OR($B334="",$C334=""),"",IF(MATCH($C334,'Ajustes'!$A$5:$A$8,0)&lt;=2,$D334*INDEX('Ajustes'!$C$5:$C$6,MATCH($C334,'Ajustes'!$A$5:$A$8,0)),IF(MATCH($C334,'Ajustes'!$A$5:$A$8,0)=3,-($D334+$E334*INDEX('Equipo'!$B$5:$B$29,MATCH($B334,'Equipo'!$A$5:$A$29,0))),0))),"")</f>
        <v/>
      </c>
      <c r="H334" s="25">
        <f>IFERROR(IF(OR($B334="",$C334=""),"",IF(MATCH($C334,'Ajustes'!$A$5:$A$8,0)=4,$D334/INDEX('Equipo'!$B$5:$B$29,MATCH($B334,'Equipo'!$A$5:$A$29,0))+$E334,0)),"")</f>
        <v/>
      </c>
      <c r="I334" s="26">
        <f>IF($B334='Perfil'!$B$3,COUNTIF($B$4:$B334,'Perfil'!$B$3),"")</f>
        <v/>
      </c>
    </row>
    <row r="335">
      <c r="A335" s="22" t="n"/>
      <c r="B335" s="23" t="n"/>
      <c r="C335" s="23" t="n"/>
      <c r="D335" s="24" t="n"/>
      <c r="E335" s="24" t="n"/>
      <c r="F335" s="23" t="n"/>
      <c r="G335" s="19">
        <f>IFERROR(IF(OR($B335="",$C335=""),"",IF(MATCH($C335,'Ajustes'!$A$5:$A$8,0)&lt;=2,$D335*INDEX('Ajustes'!$C$5:$C$6,MATCH($C335,'Ajustes'!$A$5:$A$8,0)),IF(MATCH($C335,'Ajustes'!$A$5:$A$8,0)=3,-($D335+$E335*INDEX('Equipo'!$B$5:$B$29,MATCH($B335,'Equipo'!$A$5:$A$29,0))),0))),"")</f>
        <v/>
      </c>
      <c r="H335" s="25">
        <f>IFERROR(IF(OR($B335="",$C335=""),"",IF(MATCH($C335,'Ajustes'!$A$5:$A$8,0)=4,$D335/INDEX('Equipo'!$B$5:$B$29,MATCH($B335,'Equipo'!$A$5:$A$29,0))+$E335,0)),"")</f>
        <v/>
      </c>
      <c r="I335" s="26">
        <f>IF($B335='Perfil'!$B$3,COUNTIF($B$4:$B335,'Perfil'!$B$3),"")</f>
        <v/>
      </c>
    </row>
    <row r="336">
      <c r="A336" s="22" t="n"/>
      <c r="B336" s="23" t="n"/>
      <c r="C336" s="23" t="n"/>
      <c r="D336" s="24" t="n"/>
      <c r="E336" s="24" t="n"/>
      <c r="F336" s="23" t="n"/>
      <c r="G336" s="19">
        <f>IFERROR(IF(OR($B336="",$C336=""),"",IF(MATCH($C336,'Ajustes'!$A$5:$A$8,0)&lt;=2,$D336*INDEX('Ajustes'!$C$5:$C$6,MATCH($C336,'Ajustes'!$A$5:$A$8,0)),IF(MATCH($C336,'Ajustes'!$A$5:$A$8,0)=3,-($D336+$E336*INDEX('Equipo'!$B$5:$B$29,MATCH($B336,'Equipo'!$A$5:$A$29,0))),0))),"")</f>
        <v/>
      </c>
      <c r="H336" s="25">
        <f>IFERROR(IF(OR($B336="",$C336=""),"",IF(MATCH($C336,'Ajustes'!$A$5:$A$8,0)=4,$D336/INDEX('Equipo'!$B$5:$B$29,MATCH($B336,'Equipo'!$A$5:$A$29,0))+$E336,0)),"")</f>
        <v/>
      </c>
      <c r="I336" s="26">
        <f>IF($B336='Perfil'!$B$3,COUNTIF($B$4:$B336,'Perfil'!$B$3),"")</f>
        <v/>
      </c>
    </row>
    <row r="337">
      <c r="A337" s="22" t="n"/>
      <c r="B337" s="23" t="n"/>
      <c r="C337" s="23" t="n"/>
      <c r="D337" s="24" t="n"/>
      <c r="E337" s="24" t="n"/>
      <c r="F337" s="23" t="n"/>
      <c r="G337" s="19">
        <f>IFERROR(IF(OR($B337="",$C337=""),"",IF(MATCH($C337,'Ajustes'!$A$5:$A$8,0)&lt;=2,$D337*INDEX('Ajustes'!$C$5:$C$6,MATCH($C337,'Ajustes'!$A$5:$A$8,0)),IF(MATCH($C337,'Ajustes'!$A$5:$A$8,0)=3,-($D337+$E337*INDEX('Equipo'!$B$5:$B$29,MATCH($B337,'Equipo'!$A$5:$A$29,0))),0))),"")</f>
        <v/>
      </c>
      <c r="H337" s="25">
        <f>IFERROR(IF(OR($B337="",$C337=""),"",IF(MATCH($C337,'Ajustes'!$A$5:$A$8,0)=4,$D337/INDEX('Equipo'!$B$5:$B$29,MATCH($B337,'Equipo'!$A$5:$A$29,0))+$E337,0)),"")</f>
        <v/>
      </c>
      <c r="I337" s="26">
        <f>IF($B337='Perfil'!$B$3,COUNTIF($B$4:$B337,'Perfil'!$B$3),"")</f>
        <v/>
      </c>
    </row>
    <row r="338">
      <c r="A338" s="22" t="n"/>
      <c r="B338" s="23" t="n"/>
      <c r="C338" s="23" t="n"/>
      <c r="D338" s="24" t="n"/>
      <c r="E338" s="24" t="n"/>
      <c r="F338" s="23" t="n"/>
      <c r="G338" s="19">
        <f>IFERROR(IF(OR($B338="",$C338=""),"",IF(MATCH($C338,'Ajustes'!$A$5:$A$8,0)&lt;=2,$D338*INDEX('Ajustes'!$C$5:$C$6,MATCH($C338,'Ajustes'!$A$5:$A$8,0)),IF(MATCH($C338,'Ajustes'!$A$5:$A$8,0)=3,-($D338+$E338*INDEX('Equipo'!$B$5:$B$29,MATCH($B338,'Equipo'!$A$5:$A$29,0))),0))),"")</f>
        <v/>
      </c>
      <c r="H338" s="25">
        <f>IFERROR(IF(OR($B338="",$C338=""),"",IF(MATCH($C338,'Ajustes'!$A$5:$A$8,0)=4,$D338/INDEX('Equipo'!$B$5:$B$29,MATCH($B338,'Equipo'!$A$5:$A$29,0))+$E338,0)),"")</f>
        <v/>
      </c>
      <c r="I338" s="26">
        <f>IF($B338='Perfil'!$B$3,COUNTIF($B$4:$B338,'Perfil'!$B$3),"")</f>
        <v/>
      </c>
    </row>
    <row r="339">
      <c r="A339" s="22" t="n"/>
      <c r="B339" s="23" t="n"/>
      <c r="C339" s="23" t="n"/>
      <c r="D339" s="24" t="n"/>
      <c r="E339" s="24" t="n"/>
      <c r="F339" s="23" t="n"/>
      <c r="G339" s="19">
        <f>IFERROR(IF(OR($B339="",$C339=""),"",IF(MATCH($C339,'Ajustes'!$A$5:$A$8,0)&lt;=2,$D339*INDEX('Ajustes'!$C$5:$C$6,MATCH($C339,'Ajustes'!$A$5:$A$8,0)),IF(MATCH($C339,'Ajustes'!$A$5:$A$8,0)=3,-($D339+$E339*INDEX('Equipo'!$B$5:$B$29,MATCH($B339,'Equipo'!$A$5:$A$29,0))),0))),"")</f>
        <v/>
      </c>
      <c r="H339" s="25">
        <f>IFERROR(IF(OR($B339="",$C339=""),"",IF(MATCH($C339,'Ajustes'!$A$5:$A$8,0)=4,$D339/INDEX('Equipo'!$B$5:$B$29,MATCH($B339,'Equipo'!$A$5:$A$29,0))+$E339,0)),"")</f>
        <v/>
      </c>
      <c r="I339" s="26">
        <f>IF($B339='Perfil'!$B$3,COUNTIF($B$4:$B339,'Perfil'!$B$3),"")</f>
        <v/>
      </c>
    </row>
    <row r="340">
      <c r="A340" s="22" t="n"/>
      <c r="B340" s="23" t="n"/>
      <c r="C340" s="23" t="n"/>
      <c r="D340" s="24" t="n"/>
      <c r="E340" s="24" t="n"/>
      <c r="F340" s="23" t="n"/>
      <c r="G340" s="19">
        <f>IFERROR(IF(OR($B340="",$C340=""),"",IF(MATCH($C340,'Ajustes'!$A$5:$A$8,0)&lt;=2,$D340*INDEX('Ajustes'!$C$5:$C$6,MATCH($C340,'Ajustes'!$A$5:$A$8,0)),IF(MATCH($C340,'Ajustes'!$A$5:$A$8,0)=3,-($D340+$E340*INDEX('Equipo'!$B$5:$B$29,MATCH($B340,'Equipo'!$A$5:$A$29,0))),0))),"")</f>
        <v/>
      </c>
      <c r="H340" s="25">
        <f>IFERROR(IF(OR($B340="",$C340=""),"",IF(MATCH($C340,'Ajustes'!$A$5:$A$8,0)=4,$D340/INDEX('Equipo'!$B$5:$B$29,MATCH($B340,'Equipo'!$A$5:$A$29,0))+$E340,0)),"")</f>
        <v/>
      </c>
      <c r="I340" s="26">
        <f>IF($B340='Perfil'!$B$3,COUNTIF($B$4:$B340,'Perfil'!$B$3),"")</f>
        <v/>
      </c>
    </row>
    <row r="341">
      <c r="A341" s="22" t="n"/>
      <c r="B341" s="23" t="n"/>
      <c r="C341" s="23" t="n"/>
      <c r="D341" s="24" t="n"/>
      <c r="E341" s="24" t="n"/>
      <c r="F341" s="23" t="n"/>
      <c r="G341" s="19">
        <f>IFERROR(IF(OR($B341="",$C341=""),"",IF(MATCH($C341,'Ajustes'!$A$5:$A$8,0)&lt;=2,$D341*INDEX('Ajustes'!$C$5:$C$6,MATCH($C341,'Ajustes'!$A$5:$A$8,0)),IF(MATCH($C341,'Ajustes'!$A$5:$A$8,0)=3,-($D341+$E341*INDEX('Equipo'!$B$5:$B$29,MATCH($B341,'Equipo'!$A$5:$A$29,0))),0))),"")</f>
        <v/>
      </c>
      <c r="H341" s="25">
        <f>IFERROR(IF(OR($B341="",$C341=""),"",IF(MATCH($C341,'Ajustes'!$A$5:$A$8,0)=4,$D341/INDEX('Equipo'!$B$5:$B$29,MATCH($B341,'Equipo'!$A$5:$A$29,0))+$E341,0)),"")</f>
        <v/>
      </c>
      <c r="I341" s="26">
        <f>IF($B341='Perfil'!$B$3,COUNTIF($B$4:$B341,'Perfil'!$B$3),"")</f>
        <v/>
      </c>
    </row>
    <row r="342">
      <c r="A342" s="22" t="n"/>
      <c r="B342" s="23" t="n"/>
      <c r="C342" s="23" t="n"/>
      <c r="D342" s="24" t="n"/>
      <c r="E342" s="24" t="n"/>
      <c r="F342" s="23" t="n"/>
      <c r="G342" s="19">
        <f>IFERROR(IF(OR($B342="",$C342=""),"",IF(MATCH($C342,'Ajustes'!$A$5:$A$8,0)&lt;=2,$D342*INDEX('Ajustes'!$C$5:$C$6,MATCH($C342,'Ajustes'!$A$5:$A$8,0)),IF(MATCH($C342,'Ajustes'!$A$5:$A$8,0)=3,-($D342+$E342*INDEX('Equipo'!$B$5:$B$29,MATCH($B342,'Equipo'!$A$5:$A$29,0))),0))),"")</f>
        <v/>
      </c>
      <c r="H342" s="25">
        <f>IFERROR(IF(OR($B342="",$C342=""),"",IF(MATCH($C342,'Ajustes'!$A$5:$A$8,0)=4,$D342/INDEX('Equipo'!$B$5:$B$29,MATCH($B342,'Equipo'!$A$5:$A$29,0))+$E342,0)),"")</f>
        <v/>
      </c>
      <c r="I342" s="26">
        <f>IF($B342='Perfil'!$B$3,COUNTIF($B$4:$B342,'Perfil'!$B$3),"")</f>
        <v/>
      </c>
    </row>
    <row r="343">
      <c r="A343" s="22" t="n"/>
      <c r="B343" s="23" t="n"/>
      <c r="C343" s="23" t="n"/>
      <c r="D343" s="24" t="n"/>
      <c r="E343" s="24" t="n"/>
      <c r="F343" s="23" t="n"/>
      <c r="G343" s="19">
        <f>IFERROR(IF(OR($B343="",$C343=""),"",IF(MATCH($C343,'Ajustes'!$A$5:$A$8,0)&lt;=2,$D343*INDEX('Ajustes'!$C$5:$C$6,MATCH($C343,'Ajustes'!$A$5:$A$8,0)),IF(MATCH($C343,'Ajustes'!$A$5:$A$8,0)=3,-($D343+$E343*INDEX('Equipo'!$B$5:$B$29,MATCH($B343,'Equipo'!$A$5:$A$29,0))),0))),"")</f>
        <v/>
      </c>
      <c r="H343" s="25">
        <f>IFERROR(IF(OR($B343="",$C343=""),"",IF(MATCH($C343,'Ajustes'!$A$5:$A$8,0)=4,$D343/INDEX('Equipo'!$B$5:$B$29,MATCH($B343,'Equipo'!$A$5:$A$29,0))+$E343,0)),"")</f>
        <v/>
      </c>
      <c r="I343" s="26">
        <f>IF($B343='Perfil'!$B$3,COUNTIF($B$4:$B343,'Perfil'!$B$3),"")</f>
        <v/>
      </c>
    </row>
    <row r="344">
      <c r="A344" s="22" t="n"/>
      <c r="B344" s="23" t="n"/>
      <c r="C344" s="23" t="n"/>
      <c r="D344" s="24" t="n"/>
      <c r="E344" s="24" t="n"/>
      <c r="F344" s="23" t="n"/>
      <c r="G344" s="19">
        <f>IFERROR(IF(OR($B344="",$C344=""),"",IF(MATCH($C344,'Ajustes'!$A$5:$A$8,0)&lt;=2,$D344*INDEX('Ajustes'!$C$5:$C$6,MATCH($C344,'Ajustes'!$A$5:$A$8,0)),IF(MATCH($C344,'Ajustes'!$A$5:$A$8,0)=3,-($D344+$E344*INDEX('Equipo'!$B$5:$B$29,MATCH($B344,'Equipo'!$A$5:$A$29,0))),0))),"")</f>
        <v/>
      </c>
      <c r="H344" s="25">
        <f>IFERROR(IF(OR($B344="",$C344=""),"",IF(MATCH($C344,'Ajustes'!$A$5:$A$8,0)=4,$D344/INDEX('Equipo'!$B$5:$B$29,MATCH($B344,'Equipo'!$A$5:$A$29,0))+$E344,0)),"")</f>
        <v/>
      </c>
      <c r="I344" s="26">
        <f>IF($B344='Perfil'!$B$3,COUNTIF($B$4:$B344,'Perfil'!$B$3),"")</f>
        <v/>
      </c>
    </row>
    <row r="345">
      <c r="A345" s="22" t="n"/>
      <c r="B345" s="23" t="n"/>
      <c r="C345" s="23" t="n"/>
      <c r="D345" s="24" t="n"/>
      <c r="E345" s="24" t="n"/>
      <c r="F345" s="23" t="n"/>
      <c r="G345" s="19">
        <f>IFERROR(IF(OR($B345="",$C345=""),"",IF(MATCH($C345,'Ajustes'!$A$5:$A$8,0)&lt;=2,$D345*INDEX('Ajustes'!$C$5:$C$6,MATCH($C345,'Ajustes'!$A$5:$A$8,0)),IF(MATCH($C345,'Ajustes'!$A$5:$A$8,0)=3,-($D345+$E345*INDEX('Equipo'!$B$5:$B$29,MATCH($B345,'Equipo'!$A$5:$A$29,0))),0))),"")</f>
        <v/>
      </c>
      <c r="H345" s="25">
        <f>IFERROR(IF(OR($B345="",$C345=""),"",IF(MATCH($C345,'Ajustes'!$A$5:$A$8,0)=4,$D345/INDEX('Equipo'!$B$5:$B$29,MATCH($B345,'Equipo'!$A$5:$A$29,0))+$E345,0)),"")</f>
        <v/>
      </c>
      <c r="I345" s="26">
        <f>IF($B345='Perfil'!$B$3,COUNTIF($B$4:$B345,'Perfil'!$B$3),"")</f>
        <v/>
      </c>
    </row>
    <row r="346">
      <c r="A346" s="22" t="n"/>
      <c r="B346" s="23" t="n"/>
      <c r="C346" s="23" t="n"/>
      <c r="D346" s="24" t="n"/>
      <c r="E346" s="24" t="n"/>
      <c r="F346" s="23" t="n"/>
      <c r="G346" s="19">
        <f>IFERROR(IF(OR($B346="",$C346=""),"",IF(MATCH($C346,'Ajustes'!$A$5:$A$8,0)&lt;=2,$D346*INDEX('Ajustes'!$C$5:$C$6,MATCH($C346,'Ajustes'!$A$5:$A$8,0)),IF(MATCH($C346,'Ajustes'!$A$5:$A$8,0)=3,-($D346+$E346*INDEX('Equipo'!$B$5:$B$29,MATCH($B346,'Equipo'!$A$5:$A$29,0))),0))),"")</f>
        <v/>
      </c>
      <c r="H346" s="25">
        <f>IFERROR(IF(OR($B346="",$C346=""),"",IF(MATCH($C346,'Ajustes'!$A$5:$A$8,0)=4,$D346/INDEX('Equipo'!$B$5:$B$29,MATCH($B346,'Equipo'!$A$5:$A$29,0))+$E346,0)),"")</f>
        <v/>
      </c>
      <c r="I346" s="26">
        <f>IF($B346='Perfil'!$B$3,COUNTIF($B$4:$B346,'Perfil'!$B$3),"")</f>
        <v/>
      </c>
    </row>
    <row r="347">
      <c r="A347" s="22" t="n"/>
      <c r="B347" s="23" t="n"/>
      <c r="C347" s="23" t="n"/>
      <c r="D347" s="24" t="n"/>
      <c r="E347" s="24" t="n"/>
      <c r="F347" s="23" t="n"/>
      <c r="G347" s="19">
        <f>IFERROR(IF(OR($B347="",$C347=""),"",IF(MATCH($C347,'Ajustes'!$A$5:$A$8,0)&lt;=2,$D347*INDEX('Ajustes'!$C$5:$C$6,MATCH($C347,'Ajustes'!$A$5:$A$8,0)),IF(MATCH($C347,'Ajustes'!$A$5:$A$8,0)=3,-($D347+$E347*INDEX('Equipo'!$B$5:$B$29,MATCH($B347,'Equipo'!$A$5:$A$29,0))),0))),"")</f>
        <v/>
      </c>
      <c r="H347" s="25">
        <f>IFERROR(IF(OR($B347="",$C347=""),"",IF(MATCH($C347,'Ajustes'!$A$5:$A$8,0)=4,$D347/INDEX('Equipo'!$B$5:$B$29,MATCH($B347,'Equipo'!$A$5:$A$29,0))+$E347,0)),"")</f>
        <v/>
      </c>
      <c r="I347" s="26">
        <f>IF($B347='Perfil'!$B$3,COUNTIF($B$4:$B347,'Perfil'!$B$3),"")</f>
        <v/>
      </c>
    </row>
    <row r="348">
      <c r="A348" s="22" t="n"/>
      <c r="B348" s="23" t="n"/>
      <c r="C348" s="23" t="n"/>
      <c r="D348" s="24" t="n"/>
      <c r="E348" s="24" t="n"/>
      <c r="F348" s="23" t="n"/>
      <c r="G348" s="19">
        <f>IFERROR(IF(OR($B348="",$C348=""),"",IF(MATCH($C348,'Ajustes'!$A$5:$A$8,0)&lt;=2,$D348*INDEX('Ajustes'!$C$5:$C$6,MATCH($C348,'Ajustes'!$A$5:$A$8,0)),IF(MATCH($C348,'Ajustes'!$A$5:$A$8,0)=3,-($D348+$E348*INDEX('Equipo'!$B$5:$B$29,MATCH($B348,'Equipo'!$A$5:$A$29,0))),0))),"")</f>
        <v/>
      </c>
      <c r="H348" s="25">
        <f>IFERROR(IF(OR($B348="",$C348=""),"",IF(MATCH($C348,'Ajustes'!$A$5:$A$8,0)=4,$D348/INDEX('Equipo'!$B$5:$B$29,MATCH($B348,'Equipo'!$A$5:$A$29,0))+$E348,0)),"")</f>
        <v/>
      </c>
      <c r="I348" s="26">
        <f>IF($B348='Perfil'!$B$3,COUNTIF($B$4:$B348,'Perfil'!$B$3),"")</f>
        <v/>
      </c>
    </row>
    <row r="349">
      <c r="A349" s="22" t="n"/>
      <c r="B349" s="23" t="n"/>
      <c r="C349" s="23" t="n"/>
      <c r="D349" s="24" t="n"/>
      <c r="E349" s="24" t="n"/>
      <c r="F349" s="23" t="n"/>
      <c r="G349" s="19">
        <f>IFERROR(IF(OR($B349="",$C349=""),"",IF(MATCH($C349,'Ajustes'!$A$5:$A$8,0)&lt;=2,$D349*INDEX('Ajustes'!$C$5:$C$6,MATCH($C349,'Ajustes'!$A$5:$A$8,0)),IF(MATCH($C349,'Ajustes'!$A$5:$A$8,0)=3,-($D349+$E349*INDEX('Equipo'!$B$5:$B$29,MATCH($B349,'Equipo'!$A$5:$A$29,0))),0))),"")</f>
        <v/>
      </c>
      <c r="H349" s="25">
        <f>IFERROR(IF(OR($B349="",$C349=""),"",IF(MATCH($C349,'Ajustes'!$A$5:$A$8,0)=4,$D349/INDEX('Equipo'!$B$5:$B$29,MATCH($B349,'Equipo'!$A$5:$A$29,0))+$E349,0)),"")</f>
        <v/>
      </c>
      <c r="I349" s="26">
        <f>IF($B349='Perfil'!$B$3,COUNTIF($B$4:$B349,'Perfil'!$B$3),"")</f>
        <v/>
      </c>
    </row>
    <row r="350">
      <c r="A350" s="22" t="n"/>
      <c r="B350" s="23" t="n"/>
      <c r="C350" s="23" t="n"/>
      <c r="D350" s="24" t="n"/>
      <c r="E350" s="24" t="n"/>
      <c r="F350" s="23" t="n"/>
      <c r="G350" s="19">
        <f>IFERROR(IF(OR($B350="",$C350=""),"",IF(MATCH($C350,'Ajustes'!$A$5:$A$8,0)&lt;=2,$D350*INDEX('Ajustes'!$C$5:$C$6,MATCH($C350,'Ajustes'!$A$5:$A$8,0)),IF(MATCH($C350,'Ajustes'!$A$5:$A$8,0)=3,-($D350+$E350*INDEX('Equipo'!$B$5:$B$29,MATCH($B350,'Equipo'!$A$5:$A$29,0))),0))),"")</f>
        <v/>
      </c>
      <c r="H350" s="25">
        <f>IFERROR(IF(OR($B350="",$C350=""),"",IF(MATCH($C350,'Ajustes'!$A$5:$A$8,0)=4,$D350/INDEX('Equipo'!$B$5:$B$29,MATCH($B350,'Equipo'!$A$5:$A$29,0))+$E350,0)),"")</f>
        <v/>
      </c>
      <c r="I350" s="26">
        <f>IF($B350='Perfil'!$B$3,COUNTIF($B$4:$B350,'Perfil'!$B$3),"")</f>
        <v/>
      </c>
    </row>
    <row r="351">
      <c r="A351" s="22" t="n"/>
      <c r="B351" s="23" t="n"/>
      <c r="C351" s="23" t="n"/>
      <c r="D351" s="24" t="n"/>
      <c r="E351" s="24" t="n"/>
      <c r="F351" s="23" t="n"/>
      <c r="G351" s="19">
        <f>IFERROR(IF(OR($B351="",$C351=""),"",IF(MATCH($C351,'Ajustes'!$A$5:$A$8,0)&lt;=2,$D351*INDEX('Ajustes'!$C$5:$C$6,MATCH($C351,'Ajustes'!$A$5:$A$8,0)),IF(MATCH($C351,'Ajustes'!$A$5:$A$8,0)=3,-($D351+$E351*INDEX('Equipo'!$B$5:$B$29,MATCH($B351,'Equipo'!$A$5:$A$29,0))),0))),"")</f>
        <v/>
      </c>
      <c r="H351" s="25">
        <f>IFERROR(IF(OR($B351="",$C351=""),"",IF(MATCH($C351,'Ajustes'!$A$5:$A$8,0)=4,$D351/INDEX('Equipo'!$B$5:$B$29,MATCH($B351,'Equipo'!$A$5:$A$29,0))+$E351,0)),"")</f>
        <v/>
      </c>
      <c r="I351" s="26">
        <f>IF($B351='Perfil'!$B$3,COUNTIF($B$4:$B351,'Perfil'!$B$3),"")</f>
        <v/>
      </c>
    </row>
    <row r="352">
      <c r="A352" s="22" t="n"/>
      <c r="B352" s="23" t="n"/>
      <c r="C352" s="23" t="n"/>
      <c r="D352" s="24" t="n"/>
      <c r="E352" s="24" t="n"/>
      <c r="F352" s="23" t="n"/>
      <c r="G352" s="19">
        <f>IFERROR(IF(OR($B352="",$C352=""),"",IF(MATCH($C352,'Ajustes'!$A$5:$A$8,0)&lt;=2,$D352*INDEX('Ajustes'!$C$5:$C$6,MATCH($C352,'Ajustes'!$A$5:$A$8,0)),IF(MATCH($C352,'Ajustes'!$A$5:$A$8,0)=3,-($D352+$E352*INDEX('Equipo'!$B$5:$B$29,MATCH($B352,'Equipo'!$A$5:$A$29,0))),0))),"")</f>
        <v/>
      </c>
      <c r="H352" s="25">
        <f>IFERROR(IF(OR($B352="",$C352=""),"",IF(MATCH($C352,'Ajustes'!$A$5:$A$8,0)=4,$D352/INDEX('Equipo'!$B$5:$B$29,MATCH($B352,'Equipo'!$A$5:$A$29,0))+$E352,0)),"")</f>
        <v/>
      </c>
      <c r="I352" s="26">
        <f>IF($B352='Perfil'!$B$3,COUNTIF($B$4:$B352,'Perfil'!$B$3),"")</f>
        <v/>
      </c>
    </row>
    <row r="353">
      <c r="A353" s="22" t="n"/>
      <c r="B353" s="23" t="n"/>
      <c r="C353" s="23" t="n"/>
      <c r="D353" s="24" t="n"/>
      <c r="E353" s="24" t="n"/>
      <c r="F353" s="23" t="n"/>
      <c r="G353" s="19">
        <f>IFERROR(IF(OR($B353="",$C353=""),"",IF(MATCH($C353,'Ajustes'!$A$5:$A$8,0)&lt;=2,$D353*INDEX('Ajustes'!$C$5:$C$6,MATCH($C353,'Ajustes'!$A$5:$A$8,0)),IF(MATCH($C353,'Ajustes'!$A$5:$A$8,0)=3,-($D353+$E353*INDEX('Equipo'!$B$5:$B$29,MATCH($B353,'Equipo'!$A$5:$A$29,0))),0))),"")</f>
        <v/>
      </c>
      <c r="H353" s="25">
        <f>IFERROR(IF(OR($B353="",$C353=""),"",IF(MATCH($C353,'Ajustes'!$A$5:$A$8,0)=4,$D353/INDEX('Equipo'!$B$5:$B$29,MATCH($B353,'Equipo'!$A$5:$A$29,0))+$E353,0)),"")</f>
        <v/>
      </c>
      <c r="I353" s="26">
        <f>IF($B353='Perfil'!$B$3,COUNTIF($B$4:$B353,'Perfil'!$B$3),"")</f>
        <v/>
      </c>
    </row>
    <row r="354">
      <c r="A354" s="22" t="n"/>
      <c r="B354" s="23" t="n"/>
      <c r="C354" s="23" t="n"/>
      <c r="D354" s="24" t="n"/>
      <c r="E354" s="24" t="n"/>
      <c r="F354" s="23" t="n"/>
      <c r="G354" s="19">
        <f>IFERROR(IF(OR($B354="",$C354=""),"",IF(MATCH($C354,'Ajustes'!$A$5:$A$8,0)&lt;=2,$D354*INDEX('Ajustes'!$C$5:$C$6,MATCH($C354,'Ajustes'!$A$5:$A$8,0)),IF(MATCH($C354,'Ajustes'!$A$5:$A$8,0)=3,-($D354+$E354*INDEX('Equipo'!$B$5:$B$29,MATCH($B354,'Equipo'!$A$5:$A$29,0))),0))),"")</f>
        <v/>
      </c>
      <c r="H354" s="25">
        <f>IFERROR(IF(OR($B354="",$C354=""),"",IF(MATCH($C354,'Ajustes'!$A$5:$A$8,0)=4,$D354/INDEX('Equipo'!$B$5:$B$29,MATCH($B354,'Equipo'!$A$5:$A$29,0))+$E354,0)),"")</f>
        <v/>
      </c>
      <c r="I354" s="26">
        <f>IF($B354='Perfil'!$B$3,COUNTIF($B$4:$B354,'Perfil'!$B$3),"")</f>
        <v/>
      </c>
    </row>
    <row r="355">
      <c r="A355" s="22" t="n"/>
      <c r="B355" s="23" t="n"/>
      <c r="C355" s="23" t="n"/>
      <c r="D355" s="24" t="n"/>
      <c r="E355" s="24" t="n"/>
      <c r="F355" s="23" t="n"/>
      <c r="G355" s="19">
        <f>IFERROR(IF(OR($B355="",$C355=""),"",IF(MATCH($C355,'Ajustes'!$A$5:$A$8,0)&lt;=2,$D355*INDEX('Ajustes'!$C$5:$C$6,MATCH($C355,'Ajustes'!$A$5:$A$8,0)),IF(MATCH($C355,'Ajustes'!$A$5:$A$8,0)=3,-($D355+$E355*INDEX('Equipo'!$B$5:$B$29,MATCH($B355,'Equipo'!$A$5:$A$29,0))),0))),"")</f>
        <v/>
      </c>
      <c r="H355" s="25">
        <f>IFERROR(IF(OR($B355="",$C355=""),"",IF(MATCH($C355,'Ajustes'!$A$5:$A$8,0)=4,$D355/INDEX('Equipo'!$B$5:$B$29,MATCH($B355,'Equipo'!$A$5:$A$29,0))+$E355,0)),"")</f>
        <v/>
      </c>
      <c r="I355" s="26">
        <f>IF($B355='Perfil'!$B$3,COUNTIF($B$4:$B355,'Perfil'!$B$3),"")</f>
        <v/>
      </c>
    </row>
    <row r="356">
      <c r="A356" s="22" t="n"/>
      <c r="B356" s="23" t="n"/>
      <c r="C356" s="23" t="n"/>
      <c r="D356" s="24" t="n"/>
      <c r="E356" s="24" t="n"/>
      <c r="F356" s="23" t="n"/>
      <c r="G356" s="19">
        <f>IFERROR(IF(OR($B356="",$C356=""),"",IF(MATCH($C356,'Ajustes'!$A$5:$A$8,0)&lt;=2,$D356*INDEX('Ajustes'!$C$5:$C$6,MATCH($C356,'Ajustes'!$A$5:$A$8,0)),IF(MATCH($C356,'Ajustes'!$A$5:$A$8,0)=3,-($D356+$E356*INDEX('Equipo'!$B$5:$B$29,MATCH($B356,'Equipo'!$A$5:$A$29,0))),0))),"")</f>
        <v/>
      </c>
      <c r="H356" s="25">
        <f>IFERROR(IF(OR($B356="",$C356=""),"",IF(MATCH($C356,'Ajustes'!$A$5:$A$8,0)=4,$D356/INDEX('Equipo'!$B$5:$B$29,MATCH($B356,'Equipo'!$A$5:$A$29,0))+$E356,0)),"")</f>
        <v/>
      </c>
      <c r="I356" s="26">
        <f>IF($B356='Perfil'!$B$3,COUNTIF($B$4:$B356,'Perfil'!$B$3),"")</f>
        <v/>
      </c>
    </row>
    <row r="357">
      <c r="A357" s="22" t="n"/>
      <c r="B357" s="23" t="n"/>
      <c r="C357" s="23" t="n"/>
      <c r="D357" s="24" t="n"/>
      <c r="E357" s="24" t="n"/>
      <c r="F357" s="23" t="n"/>
      <c r="G357" s="19">
        <f>IFERROR(IF(OR($B357="",$C357=""),"",IF(MATCH($C357,'Ajustes'!$A$5:$A$8,0)&lt;=2,$D357*INDEX('Ajustes'!$C$5:$C$6,MATCH($C357,'Ajustes'!$A$5:$A$8,0)),IF(MATCH($C357,'Ajustes'!$A$5:$A$8,0)=3,-($D357+$E357*INDEX('Equipo'!$B$5:$B$29,MATCH($B357,'Equipo'!$A$5:$A$29,0))),0))),"")</f>
        <v/>
      </c>
      <c r="H357" s="25">
        <f>IFERROR(IF(OR($B357="",$C357=""),"",IF(MATCH($C357,'Ajustes'!$A$5:$A$8,0)=4,$D357/INDEX('Equipo'!$B$5:$B$29,MATCH($B357,'Equipo'!$A$5:$A$29,0))+$E357,0)),"")</f>
        <v/>
      </c>
      <c r="I357" s="26">
        <f>IF($B357='Perfil'!$B$3,COUNTIF($B$4:$B357,'Perfil'!$B$3),"")</f>
        <v/>
      </c>
    </row>
    <row r="358">
      <c r="A358" s="22" t="n"/>
      <c r="B358" s="23" t="n"/>
      <c r="C358" s="23" t="n"/>
      <c r="D358" s="24" t="n"/>
      <c r="E358" s="24" t="n"/>
      <c r="F358" s="23" t="n"/>
      <c r="G358" s="19">
        <f>IFERROR(IF(OR($B358="",$C358=""),"",IF(MATCH($C358,'Ajustes'!$A$5:$A$8,0)&lt;=2,$D358*INDEX('Ajustes'!$C$5:$C$6,MATCH($C358,'Ajustes'!$A$5:$A$8,0)),IF(MATCH($C358,'Ajustes'!$A$5:$A$8,0)=3,-($D358+$E358*INDEX('Equipo'!$B$5:$B$29,MATCH($B358,'Equipo'!$A$5:$A$29,0))),0))),"")</f>
        <v/>
      </c>
      <c r="H358" s="25">
        <f>IFERROR(IF(OR($B358="",$C358=""),"",IF(MATCH($C358,'Ajustes'!$A$5:$A$8,0)=4,$D358/INDEX('Equipo'!$B$5:$B$29,MATCH($B358,'Equipo'!$A$5:$A$29,0))+$E358,0)),"")</f>
        <v/>
      </c>
      <c r="I358" s="26">
        <f>IF($B358='Perfil'!$B$3,COUNTIF($B$4:$B358,'Perfil'!$B$3),"")</f>
        <v/>
      </c>
    </row>
    <row r="359">
      <c r="A359" s="22" t="n"/>
      <c r="B359" s="23" t="n"/>
      <c r="C359" s="23" t="n"/>
      <c r="D359" s="24" t="n"/>
      <c r="E359" s="24" t="n"/>
      <c r="F359" s="23" t="n"/>
      <c r="G359" s="19">
        <f>IFERROR(IF(OR($B359="",$C359=""),"",IF(MATCH($C359,'Ajustes'!$A$5:$A$8,0)&lt;=2,$D359*INDEX('Ajustes'!$C$5:$C$6,MATCH($C359,'Ajustes'!$A$5:$A$8,0)),IF(MATCH($C359,'Ajustes'!$A$5:$A$8,0)=3,-($D359+$E359*INDEX('Equipo'!$B$5:$B$29,MATCH($B359,'Equipo'!$A$5:$A$29,0))),0))),"")</f>
        <v/>
      </c>
      <c r="H359" s="25">
        <f>IFERROR(IF(OR($B359="",$C359=""),"",IF(MATCH($C359,'Ajustes'!$A$5:$A$8,0)=4,$D359/INDEX('Equipo'!$B$5:$B$29,MATCH($B359,'Equipo'!$A$5:$A$29,0))+$E359,0)),"")</f>
        <v/>
      </c>
      <c r="I359" s="26">
        <f>IF($B359='Perfil'!$B$3,COUNTIF($B$4:$B359,'Perfil'!$B$3),"")</f>
        <v/>
      </c>
    </row>
    <row r="360">
      <c r="A360" s="22" t="n"/>
      <c r="B360" s="23" t="n"/>
      <c r="C360" s="23" t="n"/>
      <c r="D360" s="24" t="n"/>
      <c r="E360" s="24" t="n"/>
      <c r="F360" s="23" t="n"/>
      <c r="G360" s="19">
        <f>IFERROR(IF(OR($B360="",$C360=""),"",IF(MATCH($C360,'Ajustes'!$A$5:$A$8,0)&lt;=2,$D360*INDEX('Ajustes'!$C$5:$C$6,MATCH($C360,'Ajustes'!$A$5:$A$8,0)),IF(MATCH($C360,'Ajustes'!$A$5:$A$8,0)=3,-($D360+$E360*INDEX('Equipo'!$B$5:$B$29,MATCH($B360,'Equipo'!$A$5:$A$29,0))),0))),"")</f>
        <v/>
      </c>
      <c r="H360" s="25">
        <f>IFERROR(IF(OR($B360="",$C360=""),"",IF(MATCH($C360,'Ajustes'!$A$5:$A$8,0)=4,$D360/INDEX('Equipo'!$B$5:$B$29,MATCH($B360,'Equipo'!$A$5:$A$29,0))+$E360,0)),"")</f>
        <v/>
      </c>
      <c r="I360" s="26">
        <f>IF($B360='Perfil'!$B$3,COUNTIF($B$4:$B360,'Perfil'!$B$3),"")</f>
        <v/>
      </c>
    </row>
    <row r="361">
      <c r="A361" s="22" t="n"/>
      <c r="B361" s="23" t="n"/>
      <c r="C361" s="23" t="n"/>
      <c r="D361" s="24" t="n"/>
      <c r="E361" s="24" t="n"/>
      <c r="F361" s="23" t="n"/>
      <c r="G361" s="19">
        <f>IFERROR(IF(OR($B361="",$C361=""),"",IF(MATCH($C361,'Ajustes'!$A$5:$A$8,0)&lt;=2,$D361*INDEX('Ajustes'!$C$5:$C$6,MATCH($C361,'Ajustes'!$A$5:$A$8,0)),IF(MATCH($C361,'Ajustes'!$A$5:$A$8,0)=3,-($D361+$E361*INDEX('Equipo'!$B$5:$B$29,MATCH($B361,'Equipo'!$A$5:$A$29,0))),0))),"")</f>
        <v/>
      </c>
      <c r="H361" s="25">
        <f>IFERROR(IF(OR($B361="",$C361=""),"",IF(MATCH($C361,'Ajustes'!$A$5:$A$8,0)=4,$D361/INDEX('Equipo'!$B$5:$B$29,MATCH($B361,'Equipo'!$A$5:$A$29,0))+$E361,0)),"")</f>
        <v/>
      </c>
      <c r="I361" s="26">
        <f>IF($B361='Perfil'!$B$3,COUNTIF($B$4:$B361,'Perfil'!$B$3),"")</f>
        <v/>
      </c>
    </row>
    <row r="362">
      <c r="A362" s="22" t="n"/>
      <c r="B362" s="23" t="n"/>
      <c r="C362" s="23" t="n"/>
      <c r="D362" s="24" t="n"/>
      <c r="E362" s="24" t="n"/>
      <c r="F362" s="23" t="n"/>
      <c r="G362" s="19">
        <f>IFERROR(IF(OR($B362="",$C362=""),"",IF(MATCH($C362,'Ajustes'!$A$5:$A$8,0)&lt;=2,$D362*INDEX('Ajustes'!$C$5:$C$6,MATCH($C362,'Ajustes'!$A$5:$A$8,0)),IF(MATCH($C362,'Ajustes'!$A$5:$A$8,0)=3,-($D362+$E362*INDEX('Equipo'!$B$5:$B$29,MATCH($B362,'Equipo'!$A$5:$A$29,0))),0))),"")</f>
        <v/>
      </c>
      <c r="H362" s="25">
        <f>IFERROR(IF(OR($B362="",$C362=""),"",IF(MATCH($C362,'Ajustes'!$A$5:$A$8,0)=4,$D362/INDEX('Equipo'!$B$5:$B$29,MATCH($B362,'Equipo'!$A$5:$A$29,0))+$E362,0)),"")</f>
        <v/>
      </c>
      <c r="I362" s="26">
        <f>IF($B362='Perfil'!$B$3,COUNTIF($B$4:$B362,'Perfil'!$B$3),"")</f>
        <v/>
      </c>
    </row>
    <row r="363">
      <c r="A363" s="22" t="n"/>
      <c r="B363" s="23" t="n"/>
      <c r="C363" s="23" t="n"/>
      <c r="D363" s="24" t="n"/>
      <c r="E363" s="24" t="n"/>
      <c r="F363" s="23" t="n"/>
      <c r="G363" s="19">
        <f>IFERROR(IF(OR($B363="",$C363=""),"",IF(MATCH($C363,'Ajustes'!$A$5:$A$8,0)&lt;=2,$D363*INDEX('Ajustes'!$C$5:$C$6,MATCH($C363,'Ajustes'!$A$5:$A$8,0)),IF(MATCH($C363,'Ajustes'!$A$5:$A$8,0)=3,-($D363+$E363*INDEX('Equipo'!$B$5:$B$29,MATCH($B363,'Equipo'!$A$5:$A$29,0))),0))),"")</f>
        <v/>
      </c>
      <c r="H363" s="25">
        <f>IFERROR(IF(OR($B363="",$C363=""),"",IF(MATCH($C363,'Ajustes'!$A$5:$A$8,0)=4,$D363/INDEX('Equipo'!$B$5:$B$29,MATCH($B363,'Equipo'!$A$5:$A$29,0))+$E363,0)),"")</f>
        <v/>
      </c>
      <c r="I363" s="26">
        <f>IF($B363='Perfil'!$B$3,COUNTIF($B$4:$B363,'Perfil'!$B$3),"")</f>
        <v/>
      </c>
    </row>
    <row r="364">
      <c r="A364" s="22" t="n"/>
      <c r="B364" s="23" t="n"/>
      <c r="C364" s="23" t="n"/>
      <c r="D364" s="24" t="n"/>
      <c r="E364" s="24" t="n"/>
      <c r="F364" s="23" t="n"/>
      <c r="G364" s="19">
        <f>IFERROR(IF(OR($B364="",$C364=""),"",IF(MATCH($C364,'Ajustes'!$A$5:$A$8,0)&lt;=2,$D364*INDEX('Ajustes'!$C$5:$C$6,MATCH($C364,'Ajustes'!$A$5:$A$8,0)),IF(MATCH($C364,'Ajustes'!$A$5:$A$8,0)=3,-($D364+$E364*INDEX('Equipo'!$B$5:$B$29,MATCH($B364,'Equipo'!$A$5:$A$29,0))),0))),"")</f>
        <v/>
      </c>
      <c r="H364" s="25">
        <f>IFERROR(IF(OR($B364="",$C364=""),"",IF(MATCH($C364,'Ajustes'!$A$5:$A$8,0)=4,$D364/INDEX('Equipo'!$B$5:$B$29,MATCH($B364,'Equipo'!$A$5:$A$29,0))+$E364,0)),"")</f>
        <v/>
      </c>
      <c r="I364" s="26">
        <f>IF($B364='Perfil'!$B$3,COUNTIF($B$4:$B364,'Perfil'!$B$3),"")</f>
        <v/>
      </c>
    </row>
    <row r="365">
      <c r="A365" s="22" t="n"/>
      <c r="B365" s="23" t="n"/>
      <c r="C365" s="23" t="n"/>
      <c r="D365" s="24" t="n"/>
      <c r="E365" s="24" t="n"/>
      <c r="F365" s="23" t="n"/>
      <c r="G365" s="19">
        <f>IFERROR(IF(OR($B365="",$C365=""),"",IF(MATCH($C365,'Ajustes'!$A$5:$A$8,0)&lt;=2,$D365*INDEX('Ajustes'!$C$5:$C$6,MATCH($C365,'Ajustes'!$A$5:$A$8,0)),IF(MATCH($C365,'Ajustes'!$A$5:$A$8,0)=3,-($D365+$E365*INDEX('Equipo'!$B$5:$B$29,MATCH($B365,'Equipo'!$A$5:$A$29,0))),0))),"")</f>
        <v/>
      </c>
      <c r="H365" s="25">
        <f>IFERROR(IF(OR($B365="",$C365=""),"",IF(MATCH($C365,'Ajustes'!$A$5:$A$8,0)=4,$D365/INDEX('Equipo'!$B$5:$B$29,MATCH($B365,'Equipo'!$A$5:$A$29,0))+$E365,0)),"")</f>
        <v/>
      </c>
      <c r="I365" s="26">
        <f>IF($B365='Perfil'!$B$3,COUNTIF($B$4:$B365,'Perfil'!$B$3),"")</f>
        <v/>
      </c>
    </row>
    <row r="366">
      <c r="A366" s="22" t="n"/>
      <c r="B366" s="23" t="n"/>
      <c r="C366" s="23" t="n"/>
      <c r="D366" s="24" t="n"/>
      <c r="E366" s="24" t="n"/>
      <c r="F366" s="23" t="n"/>
      <c r="G366" s="19">
        <f>IFERROR(IF(OR($B366="",$C366=""),"",IF(MATCH($C366,'Ajustes'!$A$5:$A$8,0)&lt;=2,$D366*INDEX('Ajustes'!$C$5:$C$6,MATCH($C366,'Ajustes'!$A$5:$A$8,0)),IF(MATCH($C366,'Ajustes'!$A$5:$A$8,0)=3,-($D366+$E366*INDEX('Equipo'!$B$5:$B$29,MATCH($B366,'Equipo'!$A$5:$A$29,0))),0))),"")</f>
        <v/>
      </c>
      <c r="H366" s="25">
        <f>IFERROR(IF(OR($B366="",$C366=""),"",IF(MATCH($C366,'Ajustes'!$A$5:$A$8,0)=4,$D366/INDEX('Equipo'!$B$5:$B$29,MATCH($B366,'Equipo'!$A$5:$A$29,0))+$E366,0)),"")</f>
        <v/>
      </c>
      <c r="I366" s="26">
        <f>IF($B366='Perfil'!$B$3,COUNTIF($B$4:$B366,'Perfil'!$B$3),"")</f>
        <v/>
      </c>
    </row>
    <row r="367">
      <c r="A367" s="22" t="n"/>
      <c r="B367" s="23" t="n"/>
      <c r="C367" s="23" t="n"/>
      <c r="D367" s="24" t="n"/>
      <c r="E367" s="24" t="n"/>
      <c r="F367" s="23" t="n"/>
      <c r="G367" s="19">
        <f>IFERROR(IF(OR($B367="",$C367=""),"",IF(MATCH($C367,'Ajustes'!$A$5:$A$8,0)&lt;=2,$D367*INDEX('Ajustes'!$C$5:$C$6,MATCH($C367,'Ajustes'!$A$5:$A$8,0)),IF(MATCH($C367,'Ajustes'!$A$5:$A$8,0)=3,-($D367+$E367*INDEX('Equipo'!$B$5:$B$29,MATCH($B367,'Equipo'!$A$5:$A$29,0))),0))),"")</f>
        <v/>
      </c>
      <c r="H367" s="25">
        <f>IFERROR(IF(OR($B367="",$C367=""),"",IF(MATCH($C367,'Ajustes'!$A$5:$A$8,0)=4,$D367/INDEX('Equipo'!$B$5:$B$29,MATCH($B367,'Equipo'!$A$5:$A$29,0))+$E367,0)),"")</f>
        <v/>
      </c>
      <c r="I367" s="26">
        <f>IF($B367='Perfil'!$B$3,COUNTIF($B$4:$B367,'Perfil'!$B$3),"")</f>
        <v/>
      </c>
    </row>
    <row r="368">
      <c r="A368" s="22" t="n"/>
      <c r="B368" s="23" t="n"/>
      <c r="C368" s="23" t="n"/>
      <c r="D368" s="24" t="n"/>
      <c r="E368" s="24" t="n"/>
      <c r="F368" s="23" t="n"/>
      <c r="G368" s="19">
        <f>IFERROR(IF(OR($B368="",$C368=""),"",IF(MATCH($C368,'Ajustes'!$A$5:$A$8,0)&lt;=2,$D368*INDEX('Ajustes'!$C$5:$C$6,MATCH($C368,'Ajustes'!$A$5:$A$8,0)),IF(MATCH($C368,'Ajustes'!$A$5:$A$8,0)=3,-($D368+$E368*INDEX('Equipo'!$B$5:$B$29,MATCH($B368,'Equipo'!$A$5:$A$29,0))),0))),"")</f>
        <v/>
      </c>
      <c r="H368" s="25">
        <f>IFERROR(IF(OR($B368="",$C368=""),"",IF(MATCH($C368,'Ajustes'!$A$5:$A$8,0)=4,$D368/INDEX('Equipo'!$B$5:$B$29,MATCH($B368,'Equipo'!$A$5:$A$29,0))+$E368,0)),"")</f>
        <v/>
      </c>
      <c r="I368" s="26">
        <f>IF($B368='Perfil'!$B$3,COUNTIF($B$4:$B368,'Perfil'!$B$3),"")</f>
        <v/>
      </c>
    </row>
    <row r="369">
      <c r="A369" s="22" t="n"/>
      <c r="B369" s="23" t="n"/>
      <c r="C369" s="23" t="n"/>
      <c r="D369" s="24" t="n"/>
      <c r="E369" s="24" t="n"/>
      <c r="F369" s="23" t="n"/>
      <c r="G369" s="19">
        <f>IFERROR(IF(OR($B369="",$C369=""),"",IF(MATCH($C369,'Ajustes'!$A$5:$A$8,0)&lt;=2,$D369*INDEX('Ajustes'!$C$5:$C$6,MATCH($C369,'Ajustes'!$A$5:$A$8,0)),IF(MATCH($C369,'Ajustes'!$A$5:$A$8,0)=3,-($D369+$E369*INDEX('Equipo'!$B$5:$B$29,MATCH($B369,'Equipo'!$A$5:$A$29,0))),0))),"")</f>
        <v/>
      </c>
      <c r="H369" s="25">
        <f>IFERROR(IF(OR($B369="",$C369=""),"",IF(MATCH($C369,'Ajustes'!$A$5:$A$8,0)=4,$D369/INDEX('Equipo'!$B$5:$B$29,MATCH($B369,'Equipo'!$A$5:$A$29,0))+$E369,0)),"")</f>
        <v/>
      </c>
      <c r="I369" s="26">
        <f>IF($B369='Perfil'!$B$3,COUNTIF($B$4:$B369,'Perfil'!$B$3),"")</f>
        <v/>
      </c>
    </row>
    <row r="370">
      <c r="A370" s="22" t="n"/>
      <c r="B370" s="23" t="n"/>
      <c r="C370" s="23" t="n"/>
      <c r="D370" s="24" t="n"/>
      <c r="E370" s="24" t="n"/>
      <c r="F370" s="23" t="n"/>
      <c r="G370" s="19">
        <f>IFERROR(IF(OR($B370="",$C370=""),"",IF(MATCH($C370,'Ajustes'!$A$5:$A$8,0)&lt;=2,$D370*INDEX('Ajustes'!$C$5:$C$6,MATCH($C370,'Ajustes'!$A$5:$A$8,0)),IF(MATCH($C370,'Ajustes'!$A$5:$A$8,0)=3,-($D370+$E370*INDEX('Equipo'!$B$5:$B$29,MATCH($B370,'Equipo'!$A$5:$A$29,0))),0))),"")</f>
        <v/>
      </c>
      <c r="H370" s="25">
        <f>IFERROR(IF(OR($B370="",$C370=""),"",IF(MATCH($C370,'Ajustes'!$A$5:$A$8,0)=4,$D370/INDEX('Equipo'!$B$5:$B$29,MATCH($B370,'Equipo'!$A$5:$A$29,0))+$E370,0)),"")</f>
        <v/>
      </c>
      <c r="I370" s="26">
        <f>IF($B370='Perfil'!$B$3,COUNTIF($B$4:$B370,'Perfil'!$B$3),"")</f>
        <v/>
      </c>
    </row>
    <row r="371">
      <c r="A371" s="22" t="n"/>
      <c r="B371" s="23" t="n"/>
      <c r="C371" s="23" t="n"/>
      <c r="D371" s="24" t="n"/>
      <c r="E371" s="24" t="n"/>
      <c r="F371" s="23" t="n"/>
      <c r="G371" s="19">
        <f>IFERROR(IF(OR($B371="",$C371=""),"",IF(MATCH($C371,'Ajustes'!$A$5:$A$8,0)&lt;=2,$D371*INDEX('Ajustes'!$C$5:$C$6,MATCH($C371,'Ajustes'!$A$5:$A$8,0)),IF(MATCH($C371,'Ajustes'!$A$5:$A$8,0)=3,-($D371+$E371*INDEX('Equipo'!$B$5:$B$29,MATCH($B371,'Equipo'!$A$5:$A$29,0))),0))),"")</f>
        <v/>
      </c>
      <c r="H371" s="25">
        <f>IFERROR(IF(OR($B371="",$C371=""),"",IF(MATCH($C371,'Ajustes'!$A$5:$A$8,0)=4,$D371/INDEX('Equipo'!$B$5:$B$29,MATCH($B371,'Equipo'!$A$5:$A$29,0))+$E371,0)),"")</f>
        <v/>
      </c>
      <c r="I371" s="26">
        <f>IF($B371='Perfil'!$B$3,COUNTIF($B$4:$B371,'Perfil'!$B$3),"")</f>
        <v/>
      </c>
    </row>
    <row r="372">
      <c r="A372" s="22" t="n"/>
      <c r="B372" s="23" t="n"/>
      <c r="C372" s="23" t="n"/>
      <c r="D372" s="24" t="n"/>
      <c r="E372" s="24" t="n"/>
      <c r="F372" s="23" t="n"/>
      <c r="G372" s="19">
        <f>IFERROR(IF(OR($B372="",$C372=""),"",IF(MATCH($C372,'Ajustes'!$A$5:$A$8,0)&lt;=2,$D372*INDEX('Ajustes'!$C$5:$C$6,MATCH($C372,'Ajustes'!$A$5:$A$8,0)),IF(MATCH($C372,'Ajustes'!$A$5:$A$8,0)=3,-($D372+$E372*INDEX('Equipo'!$B$5:$B$29,MATCH($B372,'Equipo'!$A$5:$A$29,0))),0))),"")</f>
        <v/>
      </c>
      <c r="H372" s="25">
        <f>IFERROR(IF(OR($B372="",$C372=""),"",IF(MATCH($C372,'Ajustes'!$A$5:$A$8,0)=4,$D372/INDEX('Equipo'!$B$5:$B$29,MATCH($B372,'Equipo'!$A$5:$A$29,0))+$E372,0)),"")</f>
        <v/>
      </c>
      <c r="I372" s="26">
        <f>IF($B372='Perfil'!$B$3,COUNTIF($B$4:$B372,'Perfil'!$B$3),"")</f>
        <v/>
      </c>
    </row>
    <row r="373">
      <c r="A373" s="22" t="n"/>
      <c r="B373" s="23" t="n"/>
      <c r="C373" s="23" t="n"/>
      <c r="D373" s="24" t="n"/>
      <c r="E373" s="24" t="n"/>
      <c r="F373" s="23" t="n"/>
      <c r="G373" s="19">
        <f>IFERROR(IF(OR($B373="",$C373=""),"",IF(MATCH($C373,'Ajustes'!$A$5:$A$8,0)&lt;=2,$D373*INDEX('Ajustes'!$C$5:$C$6,MATCH($C373,'Ajustes'!$A$5:$A$8,0)),IF(MATCH($C373,'Ajustes'!$A$5:$A$8,0)=3,-($D373+$E373*INDEX('Equipo'!$B$5:$B$29,MATCH($B373,'Equipo'!$A$5:$A$29,0))),0))),"")</f>
        <v/>
      </c>
      <c r="H373" s="25">
        <f>IFERROR(IF(OR($B373="",$C373=""),"",IF(MATCH($C373,'Ajustes'!$A$5:$A$8,0)=4,$D373/INDEX('Equipo'!$B$5:$B$29,MATCH($B373,'Equipo'!$A$5:$A$29,0))+$E373,0)),"")</f>
        <v/>
      </c>
      <c r="I373" s="26">
        <f>IF($B373='Perfil'!$B$3,COUNTIF($B$4:$B373,'Perfil'!$B$3),"")</f>
        <v/>
      </c>
    </row>
    <row r="374">
      <c r="A374" s="22" t="n"/>
      <c r="B374" s="23" t="n"/>
      <c r="C374" s="23" t="n"/>
      <c r="D374" s="24" t="n"/>
      <c r="E374" s="24" t="n"/>
      <c r="F374" s="23" t="n"/>
      <c r="G374" s="19">
        <f>IFERROR(IF(OR($B374="",$C374=""),"",IF(MATCH($C374,'Ajustes'!$A$5:$A$8,0)&lt;=2,$D374*INDEX('Ajustes'!$C$5:$C$6,MATCH($C374,'Ajustes'!$A$5:$A$8,0)),IF(MATCH($C374,'Ajustes'!$A$5:$A$8,0)=3,-($D374+$E374*INDEX('Equipo'!$B$5:$B$29,MATCH($B374,'Equipo'!$A$5:$A$29,0))),0))),"")</f>
        <v/>
      </c>
      <c r="H374" s="25">
        <f>IFERROR(IF(OR($B374="",$C374=""),"",IF(MATCH($C374,'Ajustes'!$A$5:$A$8,0)=4,$D374/INDEX('Equipo'!$B$5:$B$29,MATCH($B374,'Equipo'!$A$5:$A$29,0))+$E374,0)),"")</f>
        <v/>
      </c>
      <c r="I374" s="26">
        <f>IF($B374='Perfil'!$B$3,COUNTIF($B$4:$B374,'Perfil'!$B$3),"")</f>
        <v/>
      </c>
    </row>
    <row r="375">
      <c r="A375" s="22" t="n"/>
      <c r="B375" s="23" t="n"/>
      <c r="C375" s="23" t="n"/>
      <c r="D375" s="24" t="n"/>
      <c r="E375" s="24" t="n"/>
      <c r="F375" s="23" t="n"/>
      <c r="G375" s="19">
        <f>IFERROR(IF(OR($B375="",$C375=""),"",IF(MATCH($C375,'Ajustes'!$A$5:$A$8,0)&lt;=2,$D375*INDEX('Ajustes'!$C$5:$C$6,MATCH($C375,'Ajustes'!$A$5:$A$8,0)),IF(MATCH($C375,'Ajustes'!$A$5:$A$8,0)=3,-($D375+$E375*INDEX('Equipo'!$B$5:$B$29,MATCH($B375,'Equipo'!$A$5:$A$29,0))),0))),"")</f>
        <v/>
      </c>
      <c r="H375" s="25">
        <f>IFERROR(IF(OR($B375="",$C375=""),"",IF(MATCH($C375,'Ajustes'!$A$5:$A$8,0)=4,$D375/INDEX('Equipo'!$B$5:$B$29,MATCH($B375,'Equipo'!$A$5:$A$29,0))+$E375,0)),"")</f>
        <v/>
      </c>
      <c r="I375" s="26">
        <f>IF($B375='Perfil'!$B$3,COUNTIF($B$4:$B375,'Perfil'!$B$3),"")</f>
        <v/>
      </c>
    </row>
    <row r="376">
      <c r="A376" s="22" t="n"/>
      <c r="B376" s="23" t="n"/>
      <c r="C376" s="23" t="n"/>
      <c r="D376" s="24" t="n"/>
      <c r="E376" s="24" t="n"/>
      <c r="F376" s="23" t="n"/>
      <c r="G376" s="19">
        <f>IFERROR(IF(OR($B376="",$C376=""),"",IF(MATCH($C376,'Ajustes'!$A$5:$A$8,0)&lt;=2,$D376*INDEX('Ajustes'!$C$5:$C$6,MATCH($C376,'Ajustes'!$A$5:$A$8,0)),IF(MATCH($C376,'Ajustes'!$A$5:$A$8,0)=3,-($D376+$E376*INDEX('Equipo'!$B$5:$B$29,MATCH($B376,'Equipo'!$A$5:$A$29,0))),0))),"")</f>
        <v/>
      </c>
      <c r="H376" s="25">
        <f>IFERROR(IF(OR($B376="",$C376=""),"",IF(MATCH($C376,'Ajustes'!$A$5:$A$8,0)=4,$D376/INDEX('Equipo'!$B$5:$B$29,MATCH($B376,'Equipo'!$A$5:$A$29,0))+$E376,0)),"")</f>
        <v/>
      </c>
      <c r="I376" s="26">
        <f>IF($B376='Perfil'!$B$3,COUNTIF($B$4:$B376,'Perfil'!$B$3),"")</f>
        <v/>
      </c>
    </row>
    <row r="377">
      <c r="A377" s="22" t="n"/>
      <c r="B377" s="23" t="n"/>
      <c r="C377" s="23" t="n"/>
      <c r="D377" s="24" t="n"/>
      <c r="E377" s="24" t="n"/>
      <c r="F377" s="23" t="n"/>
      <c r="G377" s="19">
        <f>IFERROR(IF(OR($B377="",$C377=""),"",IF(MATCH($C377,'Ajustes'!$A$5:$A$8,0)&lt;=2,$D377*INDEX('Ajustes'!$C$5:$C$6,MATCH($C377,'Ajustes'!$A$5:$A$8,0)),IF(MATCH($C377,'Ajustes'!$A$5:$A$8,0)=3,-($D377+$E377*INDEX('Equipo'!$B$5:$B$29,MATCH($B377,'Equipo'!$A$5:$A$29,0))),0))),"")</f>
        <v/>
      </c>
      <c r="H377" s="25">
        <f>IFERROR(IF(OR($B377="",$C377=""),"",IF(MATCH($C377,'Ajustes'!$A$5:$A$8,0)=4,$D377/INDEX('Equipo'!$B$5:$B$29,MATCH($B377,'Equipo'!$A$5:$A$29,0))+$E377,0)),"")</f>
        <v/>
      </c>
      <c r="I377" s="26">
        <f>IF($B377='Perfil'!$B$3,COUNTIF($B$4:$B377,'Perfil'!$B$3),"")</f>
        <v/>
      </c>
    </row>
    <row r="378">
      <c r="A378" s="22" t="n"/>
      <c r="B378" s="23" t="n"/>
      <c r="C378" s="23" t="n"/>
      <c r="D378" s="24" t="n"/>
      <c r="E378" s="24" t="n"/>
      <c r="F378" s="23" t="n"/>
      <c r="G378" s="19">
        <f>IFERROR(IF(OR($B378="",$C378=""),"",IF(MATCH($C378,'Ajustes'!$A$5:$A$8,0)&lt;=2,$D378*INDEX('Ajustes'!$C$5:$C$6,MATCH($C378,'Ajustes'!$A$5:$A$8,0)),IF(MATCH($C378,'Ajustes'!$A$5:$A$8,0)=3,-($D378+$E378*INDEX('Equipo'!$B$5:$B$29,MATCH($B378,'Equipo'!$A$5:$A$29,0))),0))),"")</f>
        <v/>
      </c>
      <c r="H378" s="25">
        <f>IFERROR(IF(OR($B378="",$C378=""),"",IF(MATCH($C378,'Ajustes'!$A$5:$A$8,0)=4,$D378/INDEX('Equipo'!$B$5:$B$29,MATCH($B378,'Equipo'!$A$5:$A$29,0))+$E378,0)),"")</f>
        <v/>
      </c>
      <c r="I378" s="26">
        <f>IF($B378='Perfil'!$B$3,COUNTIF($B$4:$B378,'Perfil'!$B$3),"")</f>
        <v/>
      </c>
    </row>
    <row r="379">
      <c r="A379" s="22" t="n"/>
      <c r="B379" s="23" t="n"/>
      <c r="C379" s="23" t="n"/>
      <c r="D379" s="24" t="n"/>
      <c r="E379" s="24" t="n"/>
      <c r="F379" s="23" t="n"/>
      <c r="G379" s="19">
        <f>IFERROR(IF(OR($B379="",$C379=""),"",IF(MATCH($C379,'Ajustes'!$A$5:$A$8,0)&lt;=2,$D379*INDEX('Ajustes'!$C$5:$C$6,MATCH($C379,'Ajustes'!$A$5:$A$8,0)),IF(MATCH($C379,'Ajustes'!$A$5:$A$8,0)=3,-($D379+$E379*INDEX('Equipo'!$B$5:$B$29,MATCH($B379,'Equipo'!$A$5:$A$29,0))),0))),"")</f>
        <v/>
      </c>
      <c r="H379" s="25">
        <f>IFERROR(IF(OR($B379="",$C379=""),"",IF(MATCH($C379,'Ajustes'!$A$5:$A$8,0)=4,$D379/INDEX('Equipo'!$B$5:$B$29,MATCH($B379,'Equipo'!$A$5:$A$29,0))+$E379,0)),"")</f>
        <v/>
      </c>
      <c r="I379" s="26">
        <f>IF($B379='Perfil'!$B$3,COUNTIF($B$4:$B379,'Perfil'!$B$3),"")</f>
        <v/>
      </c>
    </row>
    <row r="380">
      <c r="A380" s="22" t="n"/>
      <c r="B380" s="23" t="n"/>
      <c r="C380" s="23" t="n"/>
      <c r="D380" s="24" t="n"/>
      <c r="E380" s="24" t="n"/>
      <c r="F380" s="23" t="n"/>
      <c r="G380" s="19">
        <f>IFERROR(IF(OR($B380="",$C380=""),"",IF(MATCH($C380,'Ajustes'!$A$5:$A$8,0)&lt;=2,$D380*INDEX('Ajustes'!$C$5:$C$6,MATCH($C380,'Ajustes'!$A$5:$A$8,0)),IF(MATCH($C380,'Ajustes'!$A$5:$A$8,0)=3,-($D380+$E380*INDEX('Equipo'!$B$5:$B$29,MATCH($B380,'Equipo'!$A$5:$A$29,0))),0))),"")</f>
        <v/>
      </c>
      <c r="H380" s="25">
        <f>IFERROR(IF(OR($B380="",$C380=""),"",IF(MATCH($C380,'Ajustes'!$A$5:$A$8,0)=4,$D380/INDEX('Equipo'!$B$5:$B$29,MATCH($B380,'Equipo'!$A$5:$A$29,0))+$E380,0)),"")</f>
        <v/>
      </c>
      <c r="I380" s="26">
        <f>IF($B380='Perfil'!$B$3,COUNTIF($B$4:$B380,'Perfil'!$B$3),"")</f>
        <v/>
      </c>
    </row>
    <row r="381">
      <c r="A381" s="22" t="n"/>
      <c r="B381" s="23" t="n"/>
      <c r="C381" s="23" t="n"/>
      <c r="D381" s="24" t="n"/>
      <c r="E381" s="24" t="n"/>
      <c r="F381" s="23" t="n"/>
      <c r="G381" s="19">
        <f>IFERROR(IF(OR($B381="",$C381=""),"",IF(MATCH($C381,'Ajustes'!$A$5:$A$8,0)&lt;=2,$D381*INDEX('Ajustes'!$C$5:$C$6,MATCH($C381,'Ajustes'!$A$5:$A$8,0)),IF(MATCH($C381,'Ajustes'!$A$5:$A$8,0)=3,-($D381+$E381*INDEX('Equipo'!$B$5:$B$29,MATCH($B381,'Equipo'!$A$5:$A$29,0))),0))),"")</f>
        <v/>
      </c>
      <c r="H381" s="25">
        <f>IFERROR(IF(OR($B381="",$C381=""),"",IF(MATCH($C381,'Ajustes'!$A$5:$A$8,0)=4,$D381/INDEX('Equipo'!$B$5:$B$29,MATCH($B381,'Equipo'!$A$5:$A$29,0))+$E381,0)),"")</f>
        <v/>
      </c>
      <c r="I381" s="26">
        <f>IF($B381='Perfil'!$B$3,COUNTIF($B$4:$B381,'Perfil'!$B$3),"")</f>
        <v/>
      </c>
    </row>
    <row r="382">
      <c r="A382" s="22" t="n"/>
      <c r="B382" s="23" t="n"/>
      <c r="C382" s="23" t="n"/>
      <c r="D382" s="24" t="n"/>
      <c r="E382" s="24" t="n"/>
      <c r="F382" s="23" t="n"/>
      <c r="G382" s="19">
        <f>IFERROR(IF(OR($B382="",$C382=""),"",IF(MATCH($C382,'Ajustes'!$A$5:$A$8,0)&lt;=2,$D382*INDEX('Ajustes'!$C$5:$C$6,MATCH($C382,'Ajustes'!$A$5:$A$8,0)),IF(MATCH($C382,'Ajustes'!$A$5:$A$8,0)=3,-($D382+$E382*INDEX('Equipo'!$B$5:$B$29,MATCH($B382,'Equipo'!$A$5:$A$29,0))),0))),"")</f>
        <v/>
      </c>
      <c r="H382" s="25">
        <f>IFERROR(IF(OR($B382="",$C382=""),"",IF(MATCH($C382,'Ajustes'!$A$5:$A$8,0)=4,$D382/INDEX('Equipo'!$B$5:$B$29,MATCH($B382,'Equipo'!$A$5:$A$29,0))+$E382,0)),"")</f>
        <v/>
      </c>
      <c r="I382" s="26">
        <f>IF($B382='Perfil'!$B$3,COUNTIF($B$4:$B382,'Perfil'!$B$3),"")</f>
        <v/>
      </c>
    </row>
    <row r="383">
      <c r="A383" s="22" t="n"/>
      <c r="B383" s="23" t="n"/>
      <c r="C383" s="23" t="n"/>
      <c r="D383" s="24" t="n"/>
      <c r="E383" s="24" t="n"/>
      <c r="F383" s="23" t="n"/>
      <c r="G383" s="19">
        <f>IFERROR(IF(OR($B383="",$C383=""),"",IF(MATCH($C383,'Ajustes'!$A$5:$A$8,0)&lt;=2,$D383*INDEX('Ajustes'!$C$5:$C$6,MATCH($C383,'Ajustes'!$A$5:$A$8,0)),IF(MATCH($C383,'Ajustes'!$A$5:$A$8,0)=3,-($D383+$E383*INDEX('Equipo'!$B$5:$B$29,MATCH($B383,'Equipo'!$A$5:$A$29,0))),0))),"")</f>
        <v/>
      </c>
      <c r="H383" s="25">
        <f>IFERROR(IF(OR($B383="",$C383=""),"",IF(MATCH($C383,'Ajustes'!$A$5:$A$8,0)=4,$D383/INDEX('Equipo'!$B$5:$B$29,MATCH($B383,'Equipo'!$A$5:$A$29,0))+$E383,0)),"")</f>
        <v/>
      </c>
      <c r="I383" s="26">
        <f>IF($B383='Perfil'!$B$3,COUNTIF($B$4:$B383,'Perfil'!$B$3),"")</f>
        <v/>
      </c>
    </row>
    <row r="384">
      <c r="A384" s="22" t="n"/>
      <c r="B384" s="23" t="n"/>
      <c r="C384" s="23" t="n"/>
      <c r="D384" s="24" t="n"/>
      <c r="E384" s="24" t="n"/>
      <c r="F384" s="23" t="n"/>
      <c r="G384" s="19">
        <f>IFERROR(IF(OR($B384="",$C384=""),"",IF(MATCH($C384,'Ajustes'!$A$5:$A$8,0)&lt;=2,$D384*INDEX('Ajustes'!$C$5:$C$6,MATCH($C384,'Ajustes'!$A$5:$A$8,0)),IF(MATCH($C384,'Ajustes'!$A$5:$A$8,0)=3,-($D384+$E384*INDEX('Equipo'!$B$5:$B$29,MATCH($B384,'Equipo'!$A$5:$A$29,0))),0))),"")</f>
        <v/>
      </c>
      <c r="H384" s="25">
        <f>IFERROR(IF(OR($B384="",$C384=""),"",IF(MATCH($C384,'Ajustes'!$A$5:$A$8,0)=4,$D384/INDEX('Equipo'!$B$5:$B$29,MATCH($B384,'Equipo'!$A$5:$A$29,0))+$E384,0)),"")</f>
        <v/>
      </c>
      <c r="I384" s="26">
        <f>IF($B384='Perfil'!$B$3,COUNTIF($B$4:$B384,'Perfil'!$B$3),"")</f>
        <v/>
      </c>
    </row>
    <row r="385">
      <c r="A385" s="22" t="n"/>
      <c r="B385" s="23" t="n"/>
      <c r="C385" s="23" t="n"/>
      <c r="D385" s="24" t="n"/>
      <c r="E385" s="24" t="n"/>
      <c r="F385" s="23" t="n"/>
      <c r="G385" s="19">
        <f>IFERROR(IF(OR($B385="",$C385=""),"",IF(MATCH($C385,'Ajustes'!$A$5:$A$8,0)&lt;=2,$D385*INDEX('Ajustes'!$C$5:$C$6,MATCH($C385,'Ajustes'!$A$5:$A$8,0)),IF(MATCH($C385,'Ajustes'!$A$5:$A$8,0)=3,-($D385+$E385*INDEX('Equipo'!$B$5:$B$29,MATCH($B385,'Equipo'!$A$5:$A$29,0))),0))),"")</f>
        <v/>
      </c>
      <c r="H385" s="25">
        <f>IFERROR(IF(OR($B385="",$C385=""),"",IF(MATCH($C385,'Ajustes'!$A$5:$A$8,0)=4,$D385/INDEX('Equipo'!$B$5:$B$29,MATCH($B385,'Equipo'!$A$5:$A$29,0))+$E385,0)),"")</f>
        <v/>
      </c>
      <c r="I385" s="26">
        <f>IF($B385='Perfil'!$B$3,COUNTIF($B$4:$B385,'Perfil'!$B$3),"")</f>
        <v/>
      </c>
    </row>
    <row r="386">
      <c r="A386" s="22" t="n"/>
      <c r="B386" s="23" t="n"/>
      <c r="C386" s="23" t="n"/>
      <c r="D386" s="24" t="n"/>
      <c r="E386" s="24" t="n"/>
      <c r="F386" s="23" t="n"/>
      <c r="G386" s="19">
        <f>IFERROR(IF(OR($B386="",$C386=""),"",IF(MATCH($C386,'Ajustes'!$A$5:$A$8,0)&lt;=2,$D386*INDEX('Ajustes'!$C$5:$C$6,MATCH($C386,'Ajustes'!$A$5:$A$8,0)),IF(MATCH($C386,'Ajustes'!$A$5:$A$8,0)=3,-($D386+$E386*INDEX('Equipo'!$B$5:$B$29,MATCH($B386,'Equipo'!$A$5:$A$29,0))),0))),"")</f>
        <v/>
      </c>
      <c r="H386" s="25">
        <f>IFERROR(IF(OR($B386="",$C386=""),"",IF(MATCH($C386,'Ajustes'!$A$5:$A$8,0)=4,$D386/INDEX('Equipo'!$B$5:$B$29,MATCH($B386,'Equipo'!$A$5:$A$29,0))+$E386,0)),"")</f>
        <v/>
      </c>
      <c r="I386" s="26">
        <f>IF($B386='Perfil'!$B$3,COUNTIF($B$4:$B386,'Perfil'!$B$3),"")</f>
        <v/>
      </c>
    </row>
    <row r="387">
      <c r="A387" s="22" t="n"/>
      <c r="B387" s="23" t="n"/>
      <c r="C387" s="23" t="n"/>
      <c r="D387" s="24" t="n"/>
      <c r="E387" s="24" t="n"/>
      <c r="F387" s="23" t="n"/>
      <c r="G387" s="19">
        <f>IFERROR(IF(OR($B387="",$C387=""),"",IF(MATCH($C387,'Ajustes'!$A$5:$A$8,0)&lt;=2,$D387*INDEX('Ajustes'!$C$5:$C$6,MATCH($C387,'Ajustes'!$A$5:$A$8,0)),IF(MATCH($C387,'Ajustes'!$A$5:$A$8,0)=3,-($D387+$E387*INDEX('Equipo'!$B$5:$B$29,MATCH($B387,'Equipo'!$A$5:$A$29,0))),0))),"")</f>
        <v/>
      </c>
      <c r="H387" s="25">
        <f>IFERROR(IF(OR($B387="",$C387=""),"",IF(MATCH($C387,'Ajustes'!$A$5:$A$8,0)=4,$D387/INDEX('Equipo'!$B$5:$B$29,MATCH($B387,'Equipo'!$A$5:$A$29,0))+$E387,0)),"")</f>
        <v/>
      </c>
      <c r="I387" s="26">
        <f>IF($B387='Perfil'!$B$3,COUNTIF($B$4:$B387,'Perfil'!$B$3),"")</f>
        <v/>
      </c>
    </row>
    <row r="388">
      <c r="A388" s="22" t="n"/>
      <c r="B388" s="23" t="n"/>
      <c r="C388" s="23" t="n"/>
      <c r="D388" s="24" t="n"/>
      <c r="E388" s="24" t="n"/>
      <c r="F388" s="23" t="n"/>
      <c r="G388" s="19">
        <f>IFERROR(IF(OR($B388="",$C388=""),"",IF(MATCH($C388,'Ajustes'!$A$5:$A$8,0)&lt;=2,$D388*INDEX('Ajustes'!$C$5:$C$6,MATCH($C388,'Ajustes'!$A$5:$A$8,0)),IF(MATCH($C388,'Ajustes'!$A$5:$A$8,0)=3,-($D388+$E388*INDEX('Equipo'!$B$5:$B$29,MATCH($B388,'Equipo'!$A$5:$A$29,0))),0))),"")</f>
        <v/>
      </c>
      <c r="H388" s="25">
        <f>IFERROR(IF(OR($B388="",$C388=""),"",IF(MATCH($C388,'Ajustes'!$A$5:$A$8,0)=4,$D388/INDEX('Equipo'!$B$5:$B$29,MATCH($B388,'Equipo'!$A$5:$A$29,0))+$E388,0)),"")</f>
        <v/>
      </c>
      <c r="I388" s="26">
        <f>IF($B388='Perfil'!$B$3,COUNTIF($B$4:$B388,'Perfil'!$B$3),"")</f>
        <v/>
      </c>
    </row>
    <row r="389">
      <c r="A389" s="22" t="n"/>
      <c r="B389" s="23" t="n"/>
      <c r="C389" s="23" t="n"/>
      <c r="D389" s="24" t="n"/>
      <c r="E389" s="24" t="n"/>
      <c r="F389" s="23" t="n"/>
      <c r="G389" s="19">
        <f>IFERROR(IF(OR($B389="",$C389=""),"",IF(MATCH($C389,'Ajustes'!$A$5:$A$8,0)&lt;=2,$D389*INDEX('Ajustes'!$C$5:$C$6,MATCH($C389,'Ajustes'!$A$5:$A$8,0)),IF(MATCH($C389,'Ajustes'!$A$5:$A$8,0)=3,-($D389+$E389*INDEX('Equipo'!$B$5:$B$29,MATCH($B389,'Equipo'!$A$5:$A$29,0))),0))),"")</f>
        <v/>
      </c>
      <c r="H389" s="25">
        <f>IFERROR(IF(OR($B389="",$C389=""),"",IF(MATCH($C389,'Ajustes'!$A$5:$A$8,0)=4,$D389/INDEX('Equipo'!$B$5:$B$29,MATCH($B389,'Equipo'!$A$5:$A$29,0))+$E389,0)),"")</f>
        <v/>
      </c>
      <c r="I389" s="26">
        <f>IF($B389='Perfil'!$B$3,COUNTIF($B$4:$B389,'Perfil'!$B$3),"")</f>
        <v/>
      </c>
    </row>
    <row r="390">
      <c r="A390" s="22" t="n"/>
      <c r="B390" s="23" t="n"/>
      <c r="C390" s="23" t="n"/>
      <c r="D390" s="24" t="n"/>
      <c r="E390" s="24" t="n"/>
      <c r="F390" s="23" t="n"/>
      <c r="G390" s="19">
        <f>IFERROR(IF(OR($B390="",$C390=""),"",IF(MATCH($C390,'Ajustes'!$A$5:$A$8,0)&lt;=2,$D390*INDEX('Ajustes'!$C$5:$C$6,MATCH($C390,'Ajustes'!$A$5:$A$8,0)),IF(MATCH($C390,'Ajustes'!$A$5:$A$8,0)=3,-($D390+$E390*INDEX('Equipo'!$B$5:$B$29,MATCH($B390,'Equipo'!$A$5:$A$29,0))),0))),"")</f>
        <v/>
      </c>
      <c r="H390" s="25">
        <f>IFERROR(IF(OR($B390="",$C390=""),"",IF(MATCH($C390,'Ajustes'!$A$5:$A$8,0)=4,$D390/INDEX('Equipo'!$B$5:$B$29,MATCH($B390,'Equipo'!$A$5:$A$29,0))+$E390,0)),"")</f>
        <v/>
      </c>
      <c r="I390" s="26">
        <f>IF($B390='Perfil'!$B$3,COUNTIF($B$4:$B390,'Perfil'!$B$3),"")</f>
        <v/>
      </c>
    </row>
    <row r="391">
      <c r="A391" s="22" t="n"/>
      <c r="B391" s="23" t="n"/>
      <c r="C391" s="23" t="n"/>
      <c r="D391" s="24" t="n"/>
      <c r="E391" s="24" t="n"/>
      <c r="F391" s="23" t="n"/>
      <c r="G391" s="19">
        <f>IFERROR(IF(OR($B391="",$C391=""),"",IF(MATCH($C391,'Ajustes'!$A$5:$A$8,0)&lt;=2,$D391*INDEX('Ajustes'!$C$5:$C$6,MATCH($C391,'Ajustes'!$A$5:$A$8,0)),IF(MATCH($C391,'Ajustes'!$A$5:$A$8,0)=3,-($D391+$E391*INDEX('Equipo'!$B$5:$B$29,MATCH($B391,'Equipo'!$A$5:$A$29,0))),0))),"")</f>
        <v/>
      </c>
      <c r="H391" s="25">
        <f>IFERROR(IF(OR($B391="",$C391=""),"",IF(MATCH($C391,'Ajustes'!$A$5:$A$8,0)=4,$D391/INDEX('Equipo'!$B$5:$B$29,MATCH($B391,'Equipo'!$A$5:$A$29,0))+$E391,0)),"")</f>
        <v/>
      </c>
      <c r="I391" s="26">
        <f>IF($B391='Perfil'!$B$3,COUNTIF($B$4:$B391,'Perfil'!$B$3),"")</f>
        <v/>
      </c>
    </row>
    <row r="392">
      <c r="A392" s="22" t="n"/>
      <c r="B392" s="23" t="n"/>
      <c r="C392" s="23" t="n"/>
      <c r="D392" s="24" t="n"/>
      <c r="E392" s="24" t="n"/>
      <c r="F392" s="23" t="n"/>
      <c r="G392" s="19">
        <f>IFERROR(IF(OR($B392="",$C392=""),"",IF(MATCH($C392,'Ajustes'!$A$5:$A$8,0)&lt;=2,$D392*INDEX('Ajustes'!$C$5:$C$6,MATCH($C392,'Ajustes'!$A$5:$A$8,0)),IF(MATCH($C392,'Ajustes'!$A$5:$A$8,0)=3,-($D392+$E392*INDEX('Equipo'!$B$5:$B$29,MATCH($B392,'Equipo'!$A$5:$A$29,0))),0))),"")</f>
        <v/>
      </c>
      <c r="H392" s="25">
        <f>IFERROR(IF(OR($B392="",$C392=""),"",IF(MATCH($C392,'Ajustes'!$A$5:$A$8,0)=4,$D392/INDEX('Equipo'!$B$5:$B$29,MATCH($B392,'Equipo'!$A$5:$A$29,0))+$E392,0)),"")</f>
        <v/>
      </c>
      <c r="I392" s="26">
        <f>IF($B392='Perfil'!$B$3,COUNTIF($B$4:$B392,'Perfil'!$B$3),"")</f>
        <v/>
      </c>
    </row>
    <row r="393">
      <c r="A393" s="22" t="n"/>
      <c r="B393" s="23" t="n"/>
      <c r="C393" s="23" t="n"/>
      <c r="D393" s="24" t="n"/>
      <c r="E393" s="24" t="n"/>
      <c r="F393" s="23" t="n"/>
      <c r="G393" s="19">
        <f>IFERROR(IF(OR($B393="",$C393=""),"",IF(MATCH($C393,'Ajustes'!$A$5:$A$8,0)&lt;=2,$D393*INDEX('Ajustes'!$C$5:$C$6,MATCH($C393,'Ajustes'!$A$5:$A$8,0)),IF(MATCH($C393,'Ajustes'!$A$5:$A$8,0)=3,-($D393+$E393*INDEX('Equipo'!$B$5:$B$29,MATCH($B393,'Equipo'!$A$5:$A$29,0))),0))),"")</f>
        <v/>
      </c>
      <c r="H393" s="25">
        <f>IFERROR(IF(OR($B393="",$C393=""),"",IF(MATCH($C393,'Ajustes'!$A$5:$A$8,0)=4,$D393/INDEX('Equipo'!$B$5:$B$29,MATCH($B393,'Equipo'!$A$5:$A$29,0))+$E393,0)),"")</f>
        <v/>
      </c>
      <c r="I393" s="26">
        <f>IF($B393='Perfil'!$B$3,COUNTIF($B$4:$B393,'Perfil'!$B$3),"")</f>
        <v/>
      </c>
    </row>
    <row r="394">
      <c r="A394" s="22" t="n"/>
      <c r="B394" s="23" t="n"/>
      <c r="C394" s="23" t="n"/>
      <c r="D394" s="24" t="n"/>
      <c r="E394" s="24" t="n"/>
      <c r="F394" s="23" t="n"/>
      <c r="G394" s="19">
        <f>IFERROR(IF(OR($B394="",$C394=""),"",IF(MATCH($C394,'Ajustes'!$A$5:$A$8,0)&lt;=2,$D394*INDEX('Ajustes'!$C$5:$C$6,MATCH($C394,'Ajustes'!$A$5:$A$8,0)),IF(MATCH($C394,'Ajustes'!$A$5:$A$8,0)=3,-($D394+$E394*INDEX('Equipo'!$B$5:$B$29,MATCH($B394,'Equipo'!$A$5:$A$29,0))),0))),"")</f>
        <v/>
      </c>
      <c r="H394" s="25">
        <f>IFERROR(IF(OR($B394="",$C394=""),"",IF(MATCH($C394,'Ajustes'!$A$5:$A$8,0)=4,$D394/INDEX('Equipo'!$B$5:$B$29,MATCH($B394,'Equipo'!$A$5:$A$29,0))+$E394,0)),"")</f>
        <v/>
      </c>
      <c r="I394" s="26">
        <f>IF($B394='Perfil'!$B$3,COUNTIF($B$4:$B394,'Perfil'!$B$3),"")</f>
        <v/>
      </c>
    </row>
    <row r="395">
      <c r="A395" s="22" t="n"/>
      <c r="B395" s="23" t="n"/>
      <c r="C395" s="23" t="n"/>
      <c r="D395" s="24" t="n"/>
      <c r="E395" s="24" t="n"/>
      <c r="F395" s="23" t="n"/>
      <c r="G395" s="19">
        <f>IFERROR(IF(OR($B395="",$C395=""),"",IF(MATCH($C395,'Ajustes'!$A$5:$A$8,0)&lt;=2,$D395*INDEX('Ajustes'!$C$5:$C$6,MATCH($C395,'Ajustes'!$A$5:$A$8,0)),IF(MATCH($C395,'Ajustes'!$A$5:$A$8,0)=3,-($D395+$E395*INDEX('Equipo'!$B$5:$B$29,MATCH($B395,'Equipo'!$A$5:$A$29,0))),0))),"")</f>
        <v/>
      </c>
      <c r="H395" s="25">
        <f>IFERROR(IF(OR($B395="",$C395=""),"",IF(MATCH($C395,'Ajustes'!$A$5:$A$8,0)=4,$D395/INDEX('Equipo'!$B$5:$B$29,MATCH($B395,'Equipo'!$A$5:$A$29,0))+$E395,0)),"")</f>
        <v/>
      </c>
      <c r="I395" s="26">
        <f>IF($B395='Perfil'!$B$3,COUNTIF($B$4:$B395,'Perfil'!$B$3),"")</f>
        <v/>
      </c>
    </row>
    <row r="396">
      <c r="A396" s="22" t="n"/>
      <c r="B396" s="23" t="n"/>
      <c r="C396" s="23" t="n"/>
      <c r="D396" s="24" t="n"/>
      <c r="E396" s="24" t="n"/>
      <c r="F396" s="23" t="n"/>
      <c r="G396" s="19">
        <f>IFERROR(IF(OR($B396="",$C396=""),"",IF(MATCH($C396,'Ajustes'!$A$5:$A$8,0)&lt;=2,$D396*INDEX('Ajustes'!$C$5:$C$6,MATCH($C396,'Ajustes'!$A$5:$A$8,0)),IF(MATCH($C396,'Ajustes'!$A$5:$A$8,0)=3,-($D396+$E396*INDEX('Equipo'!$B$5:$B$29,MATCH($B396,'Equipo'!$A$5:$A$29,0))),0))),"")</f>
        <v/>
      </c>
      <c r="H396" s="25">
        <f>IFERROR(IF(OR($B396="",$C396=""),"",IF(MATCH($C396,'Ajustes'!$A$5:$A$8,0)=4,$D396/INDEX('Equipo'!$B$5:$B$29,MATCH($B396,'Equipo'!$A$5:$A$29,0))+$E396,0)),"")</f>
        <v/>
      </c>
      <c r="I396" s="26">
        <f>IF($B396='Perfil'!$B$3,COUNTIF($B$4:$B396,'Perfil'!$B$3),"")</f>
        <v/>
      </c>
    </row>
    <row r="397">
      <c r="A397" s="22" t="n"/>
      <c r="B397" s="23" t="n"/>
      <c r="C397" s="23" t="n"/>
      <c r="D397" s="24" t="n"/>
      <c r="E397" s="24" t="n"/>
      <c r="F397" s="23" t="n"/>
      <c r="G397" s="19">
        <f>IFERROR(IF(OR($B397="",$C397=""),"",IF(MATCH($C397,'Ajustes'!$A$5:$A$8,0)&lt;=2,$D397*INDEX('Ajustes'!$C$5:$C$6,MATCH($C397,'Ajustes'!$A$5:$A$8,0)),IF(MATCH($C397,'Ajustes'!$A$5:$A$8,0)=3,-($D397+$E397*INDEX('Equipo'!$B$5:$B$29,MATCH($B397,'Equipo'!$A$5:$A$29,0))),0))),"")</f>
        <v/>
      </c>
      <c r="H397" s="25">
        <f>IFERROR(IF(OR($B397="",$C397=""),"",IF(MATCH($C397,'Ajustes'!$A$5:$A$8,0)=4,$D397/INDEX('Equipo'!$B$5:$B$29,MATCH($B397,'Equipo'!$A$5:$A$29,0))+$E397,0)),"")</f>
        <v/>
      </c>
      <c r="I397" s="26">
        <f>IF($B397='Perfil'!$B$3,COUNTIF($B$4:$B397,'Perfil'!$B$3),"")</f>
        <v/>
      </c>
    </row>
    <row r="398">
      <c r="A398" s="22" t="n"/>
      <c r="B398" s="23" t="n"/>
      <c r="C398" s="23" t="n"/>
      <c r="D398" s="24" t="n"/>
      <c r="E398" s="24" t="n"/>
      <c r="F398" s="23" t="n"/>
      <c r="G398" s="19">
        <f>IFERROR(IF(OR($B398="",$C398=""),"",IF(MATCH($C398,'Ajustes'!$A$5:$A$8,0)&lt;=2,$D398*INDEX('Ajustes'!$C$5:$C$6,MATCH($C398,'Ajustes'!$A$5:$A$8,0)),IF(MATCH($C398,'Ajustes'!$A$5:$A$8,0)=3,-($D398+$E398*INDEX('Equipo'!$B$5:$B$29,MATCH($B398,'Equipo'!$A$5:$A$29,0))),0))),"")</f>
        <v/>
      </c>
      <c r="H398" s="25">
        <f>IFERROR(IF(OR($B398="",$C398=""),"",IF(MATCH($C398,'Ajustes'!$A$5:$A$8,0)=4,$D398/INDEX('Equipo'!$B$5:$B$29,MATCH($B398,'Equipo'!$A$5:$A$29,0))+$E398,0)),"")</f>
        <v/>
      </c>
      <c r="I398" s="26">
        <f>IF($B398='Perfil'!$B$3,COUNTIF($B$4:$B398,'Perfil'!$B$3),"")</f>
        <v/>
      </c>
    </row>
    <row r="399">
      <c r="A399" s="22" t="n"/>
      <c r="B399" s="23" t="n"/>
      <c r="C399" s="23" t="n"/>
      <c r="D399" s="24" t="n"/>
      <c r="E399" s="24" t="n"/>
      <c r="F399" s="23" t="n"/>
      <c r="G399" s="19">
        <f>IFERROR(IF(OR($B399="",$C399=""),"",IF(MATCH($C399,'Ajustes'!$A$5:$A$8,0)&lt;=2,$D399*INDEX('Ajustes'!$C$5:$C$6,MATCH($C399,'Ajustes'!$A$5:$A$8,0)),IF(MATCH($C399,'Ajustes'!$A$5:$A$8,0)=3,-($D399+$E399*INDEX('Equipo'!$B$5:$B$29,MATCH($B399,'Equipo'!$A$5:$A$29,0))),0))),"")</f>
        <v/>
      </c>
      <c r="H399" s="25">
        <f>IFERROR(IF(OR($B399="",$C399=""),"",IF(MATCH($C399,'Ajustes'!$A$5:$A$8,0)=4,$D399/INDEX('Equipo'!$B$5:$B$29,MATCH($B399,'Equipo'!$A$5:$A$29,0))+$E399,0)),"")</f>
        <v/>
      </c>
      <c r="I399" s="26">
        <f>IF($B399='Perfil'!$B$3,COUNTIF($B$4:$B399,'Perfil'!$B$3),"")</f>
        <v/>
      </c>
    </row>
    <row r="400">
      <c r="A400" s="22" t="n"/>
      <c r="B400" s="23" t="n"/>
      <c r="C400" s="23" t="n"/>
      <c r="D400" s="24" t="n"/>
      <c r="E400" s="24" t="n"/>
      <c r="F400" s="23" t="n"/>
      <c r="G400" s="19">
        <f>IFERROR(IF(OR($B400="",$C400=""),"",IF(MATCH($C400,'Ajustes'!$A$5:$A$8,0)&lt;=2,$D400*INDEX('Ajustes'!$C$5:$C$6,MATCH($C400,'Ajustes'!$A$5:$A$8,0)),IF(MATCH($C400,'Ajustes'!$A$5:$A$8,0)=3,-($D400+$E400*INDEX('Equipo'!$B$5:$B$29,MATCH($B400,'Equipo'!$A$5:$A$29,0))),0))),"")</f>
        <v/>
      </c>
      <c r="H400" s="25">
        <f>IFERROR(IF(OR($B400="",$C400=""),"",IF(MATCH($C400,'Ajustes'!$A$5:$A$8,0)=4,$D400/INDEX('Equipo'!$B$5:$B$29,MATCH($B400,'Equipo'!$A$5:$A$29,0))+$E400,0)),"")</f>
        <v/>
      </c>
      <c r="I400" s="26">
        <f>IF($B400='Perfil'!$B$3,COUNTIF($B$4:$B400,'Perfil'!$B$3),"")</f>
        <v/>
      </c>
    </row>
    <row r="401">
      <c r="A401" s="22" t="n"/>
      <c r="B401" s="23" t="n"/>
      <c r="C401" s="23" t="n"/>
      <c r="D401" s="24" t="n"/>
      <c r="E401" s="24" t="n"/>
      <c r="F401" s="23" t="n"/>
      <c r="G401" s="19">
        <f>IFERROR(IF(OR($B401="",$C401=""),"",IF(MATCH($C401,'Ajustes'!$A$5:$A$8,0)&lt;=2,$D401*INDEX('Ajustes'!$C$5:$C$6,MATCH($C401,'Ajustes'!$A$5:$A$8,0)),IF(MATCH($C401,'Ajustes'!$A$5:$A$8,0)=3,-($D401+$E401*INDEX('Equipo'!$B$5:$B$29,MATCH($B401,'Equipo'!$A$5:$A$29,0))),0))),"")</f>
        <v/>
      </c>
      <c r="H401" s="25">
        <f>IFERROR(IF(OR($B401="",$C401=""),"",IF(MATCH($C401,'Ajustes'!$A$5:$A$8,0)=4,$D401/INDEX('Equipo'!$B$5:$B$29,MATCH($B401,'Equipo'!$A$5:$A$29,0))+$E401,0)),"")</f>
        <v/>
      </c>
      <c r="I401" s="26">
        <f>IF($B401='Perfil'!$B$3,COUNTIF($B$4:$B401,'Perfil'!$B$3),"")</f>
        <v/>
      </c>
    </row>
    <row r="402">
      <c r="A402" s="22" t="n"/>
      <c r="B402" s="23" t="n"/>
      <c r="C402" s="23" t="n"/>
      <c r="D402" s="24" t="n"/>
      <c r="E402" s="24" t="n"/>
      <c r="F402" s="23" t="n"/>
      <c r="G402" s="19">
        <f>IFERROR(IF(OR($B402="",$C402=""),"",IF(MATCH($C402,'Ajustes'!$A$5:$A$8,0)&lt;=2,$D402*INDEX('Ajustes'!$C$5:$C$6,MATCH($C402,'Ajustes'!$A$5:$A$8,0)),IF(MATCH($C402,'Ajustes'!$A$5:$A$8,0)=3,-($D402+$E402*INDEX('Equipo'!$B$5:$B$29,MATCH($B402,'Equipo'!$A$5:$A$29,0))),0))),"")</f>
        <v/>
      </c>
      <c r="H402" s="25">
        <f>IFERROR(IF(OR($B402="",$C402=""),"",IF(MATCH($C402,'Ajustes'!$A$5:$A$8,0)=4,$D402/INDEX('Equipo'!$B$5:$B$29,MATCH($B402,'Equipo'!$A$5:$A$29,0))+$E402,0)),"")</f>
        <v/>
      </c>
      <c r="I402" s="26">
        <f>IF($B402='Perfil'!$B$3,COUNTIF($B$4:$B402,'Perfil'!$B$3),"")</f>
        <v/>
      </c>
    </row>
    <row r="403">
      <c r="A403" s="22" t="n"/>
      <c r="B403" s="23" t="n"/>
      <c r="C403" s="23" t="n"/>
      <c r="D403" s="24" t="n"/>
      <c r="E403" s="24" t="n"/>
      <c r="F403" s="23" t="n"/>
      <c r="G403" s="19">
        <f>IFERROR(IF(OR($B403="",$C403=""),"",IF(MATCH($C403,'Ajustes'!$A$5:$A$8,0)&lt;=2,$D403*INDEX('Ajustes'!$C$5:$C$6,MATCH($C403,'Ajustes'!$A$5:$A$8,0)),IF(MATCH($C403,'Ajustes'!$A$5:$A$8,0)=3,-($D403+$E403*INDEX('Equipo'!$B$5:$B$29,MATCH($B403,'Equipo'!$A$5:$A$29,0))),0))),"")</f>
        <v/>
      </c>
      <c r="H403" s="25">
        <f>IFERROR(IF(OR($B403="",$C403=""),"",IF(MATCH($C403,'Ajustes'!$A$5:$A$8,0)=4,$D403/INDEX('Equipo'!$B$5:$B$29,MATCH($B403,'Equipo'!$A$5:$A$29,0))+$E403,0)),"")</f>
        <v/>
      </c>
      <c r="I403" s="26">
        <f>IF($B403='Perfil'!$B$3,COUNTIF($B$4:$B403,'Perfil'!$B$3),"")</f>
        <v/>
      </c>
    </row>
    <row r="404">
      <c r="A404" s="22" t="n"/>
      <c r="B404" s="23" t="n"/>
      <c r="C404" s="23" t="n"/>
      <c r="D404" s="24" t="n"/>
      <c r="E404" s="24" t="n"/>
      <c r="F404" s="23" t="n"/>
      <c r="G404" s="19">
        <f>IFERROR(IF(OR($B404="",$C404=""),"",IF(MATCH($C404,'Ajustes'!$A$5:$A$8,0)&lt;=2,$D404*INDEX('Ajustes'!$C$5:$C$6,MATCH($C404,'Ajustes'!$A$5:$A$8,0)),IF(MATCH($C404,'Ajustes'!$A$5:$A$8,0)=3,-($D404+$E404*INDEX('Equipo'!$B$5:$B$29,MATCH($B404,'Equipo'!$A$5:$A$29,0))),0))),"")</f>
        <v/>
      </c>
      <c r="H404" s="25">
        <f>IFERROR(IF(OR($B404="",$C404=""),"",IF(MATCH($C404,'Ajustes'!$A$5:$A$8,0)=4,$D404/INDEX('Equipo'!$B$5:$B$29,MATCH($B404,'Equipo'!$A$5:$A$29,0))+$E404,0)),"")</f>
        <v/>
      </c>
      <c r="I404" s="26">
        <f>IF($B404='Perfil'!$B$3,COUNTIF($B$4:$B404,'Perfil'!$B$3),"")</f>
        <v/>
      </c>
    </row>
    <row r="405">
      <c r="A405" s="22" t="n"/>
      <c r="B405" s="23" t="n"/>
      <c r="C405" s="23" t="n"/>
      <c r="D405" s="24" t="n"/>
      <c r="E405" s="24" t="n"/>
      <c r="F405" s="23" t="n"/>
      <c r="G405" s="19">
        <f>IFERROR(IF(OR($B405="",$C405=""),"",IF(MATCH($C405,'Ajustes'!$A$5:$A$8,0)&lt;=2,$D405*INDEX('Ajustes'!$C$5:$C$6,MATCH($C405,'Ajustes'!$A$5:$A$8,0)),IF(MATCH($C405,'Ajustes'!$A$5:$A$8,0)=3,-($D405+$E405*INDEX('Equipo'!$B$5:$B$29,MATCH($B405,'Equipo'!$A$5:$A$29,0))),0))),"")</f>
        <v/>
      </c>
      <c r="H405" s="25">
        <f>IFERROR(IF(OR($B405="",$C405=""),"",IF(MATCH($C405,'Ajustes'!$A$5:$A$8,0)=4,$D405/INDEX('Equipo'!$B$5:$B$29,MATCH($B405,'Equipo'!$A$5:$A$29,0))+$E405,0)),"")</f>
        <v/>
      </c>
      <c r="I405" s="26">
        <f>IF($B405='Perfil'!$B$3,COUNTIF($B$4:$B405,'Perfil'!$B$3),"")</f>
        <v/>
      </c>
    </row>
    <row r="406">
      <c r="A406" s="22" t="n"/>
      <c r="B406" s="23" t="n"/>
      <c r="C406" s="23" t="n"/>
      <c r="D406" s="24" t="n"/>
      <c r="E406" s="24" t="n"/>
      <c r="F406" s="23" t="n"/>
      <c r="G406" s="19">
        <f>IFERROR(IF(OR($B406="",$C406=""),"",IF(MATCH($C406,'Ajustes'!$A$5:$A$8,0)&lt;=2,$D406*INDEX('Ajustes'!$C$5:$C$6,MATCH($C406,'Ajustes'!$A$5:$A$8,0)),IF(MATCH($C406,'Ajustes'!$A$5:$A$8,0)=3,-($D406+$E406*INDEX('Equipo'!$B$5:$B$29,MATCH($B406,'Equipo'!$A$5:$A$29,0))),0))),"")</f>
        <v/>
      </c>
      <c r="H406" s="25">
        <f>IFERROR(IF(OR($B406="",$C406=""),"",IF(MATCH($C406,'Ajustes'!$A$5:$A$8,0)=4,$D406/INDEX('Equipo'!$B$5:$B$29,MATCH($B406,'Equipo'!$A$5:$A$29,0))+$E406,0)),"")</f>
        <v/>
      </c>
      <c r="I406" s="26">
        <f>IF($B406='Perfil'!$B$3,COUNTIF($B$4:$B406,'Perfil'!$B$3),"")</f>
        <v/>
      </c>
    </row>
    <row r="407">
      <c r="A407" s="22" t="n"/>
      <c r="B407" s="23" t="n"/>
      <c r="C407" s="23" t="n"/>
      <c r="D407" s="24" t="n"/>
      <c r="E407" s="24" t="n"/>
      <c r="F407" s="23" t="n"/>
      <c r="G407" s="19">
        <f>IFERROR(IF(OR($B407="",$C407=""),"",IF(MATCH($C407,'Ajustes'!$A$5:$A$8,0)&lt;=2,$D407*INDEX('Ajustes'!$C$5:$C$6,MATCH($C407,'Ajustes'!$A$5:$A$8,0)),IF(MATCH($C407,'Ajustes'!$A$5:$A$8,0)=3,-($D407+$E407*INDEX('Equipo'!$B$5:$B$29,MATCH($B407,'Equipo'!$A$5:$A$29,0))),0))),"")</f>
        <v/>
      </c>
      <c r="H407" s="25">
        <f>IFERROR(IF(OR($B407="",$C407=""),"",IF(MATCH($C407,'Ajustes'!$A$5:$A$8,0)=4,$D407/INDEX('Equipo'!$B$5:$B$29,MATCH($B407,'Equipo'!$A$5:$A$29,0))+$E407,0)),"")</f>
        <v/>
      </c>
      <c r="I407" s="26">
        <f>IF($B407='Perfil'!$B$3,COUNTIF($B$4:$B407,'Perfil'!$B$3),"")</f>
        <v/>
      </c>
    </row>
    <row r="408">
      <c r="A408" s="22" t="n"/>
      <c r="B408" s="23" t="n"/>
      <c r="C408" s="23" t="n"/>
      <c r="D408" s="24" t="n"/>
      <c r="E408" s="24" t="n"/>
      <c r="F408" s="23" t="n"/>
      <c r="G408" s="19">
        <f>IFERROR(IF(OR($B408="",$C408=""),"",IF(MATCH($C408,'Ajustes'!$A$5:$A$8,0)&lt;=2,$D408*INDEX('Ajustes'!$C$5:$C$6,MATCH($C408,'Ajustes'!$A$5:$A$8,0)),IF(MATCH($C408,'Ajustes'!$A$5:$A$8,0)=3,-($D408+$E408*INDEX('Equipo'!$B$5:$B$29,MATCH($B408,'Equipo'!$A$5:$A$29,0))),0))),"")</f>
        <v/>
      </c>
      <c r="H408" s="25">
        <f>IFERROR(IF(OR($B408="",$C408=""),"",IF(MATCH($C408,'Ajustes'!$A$5:$A$8,0)=4,$D408/INDEX('Equipo'!$B$5:$B$29,MATCH($B408,'Equipo'!$A$5:$A$29,0))+$E408,0)),"")</f>
        <v/>
      </c>
      <c r="I408" s="26">
        <f>IF($B408='Perfil'!$B$3,COUNTIF($B$4:$B408,'Perfil'!$B$3),"")</f>
        <v/>
      </c>
    </row>
    <row r="409">
      <c r="A409" s="22" t="n"/>
      <c r="B409" s="23" t="n"/>
      <c r="C409" s="23" t="n"/>
      <c r="D409" s="24" t="n"/>
      <c r="E409" s="24" t="n"/>
      <c r="F409" s="23" t="n"/>
      <c r="G409" s="19">
        <f>IFERROR(IF(OR($B409="",$C409=""),"",IF(MATCH($C409,'Ajustes'!$A$5:$A$8,0)&lt;=2,$D409*INDEX('Ajustes'!$C$5:$C$6,MATCH($C409,'Ajustes'!$A$5:$A$8,0)),IF(MATCH($C409,'Ajustes'!$A$5:$A$8,0)=3,-($D409+$E409*INDEX('Equipo'!$B$5:$B$29,MATCH($B409,'Equipo'!$A$5:$A$29,0))),0))),"")</f>
        <v/>
      </c>
      <c r="H409" s="25">
        <f>IFERROR(IF(OR($B409="",$C409=""),"",IF(MATCH($C409,'Ajustes'!$A$5:$A$8,0)=4,$D409/INDEX('Equipo'!$B$5:$B$29,MATCH($B409,'Equipo'!$A$5:$A$29,0))+$E409,0)),"")</f>
        <v/>
      </c>
      <c r="I409" s="26">
        <f>IF($B409='Perfil'!$B$3,COUNTIF($B$4:$B409,'Perfil'!$B$3),"")</f>
        <v/>
      </c>
    </row>
    <row r="410">
      <c r="A410" s="22" t="n"/>
      <c r="B410" s="23" t="n"/>
      <c r="C410" s="23" t="n"/>
      <c r="D410" s="24" t="n"/>
      <c r="E410" s="24" t="n"/>
      <c r="F410" s="23" t="n"/>
      <c r="G410" s="19">
        <f>IFERROR(IF(OR($B410="",$C410=""),"",IF(MATCH($C410,'Ajustes'!$A$5:$A$8,0)&lt;=2,$D410*INDEX('Ajustes'!$C$5:$C$6,MATCH($C410,'Ajustes'!$A$5:$A$8,0)),IF(MATCH($C410,'Ajustes'!$A$5:$A$8,0)=3,-($D410+$E410*INDEX('Equipo'!$B$5:$B$29,MATCH($B410,'Equipo'!$A$5:$A$29,0))),0))),"")</f>
        <v/>
      </c>
      <c r="H410" s="25">
        <f>IFERROR(IF(OR($B410="",$C410=""),"",IF(MATCH($C410,'Ajustes'!$A$5:$A$8,0)=4,$D410/INDEX('Equipo'!$B$5:$B$29,MATCH($B410,'Equipo'!$A$5:$A$29,0))+$E410,0)),"")</f>
        <v/>
      </c>
      <c r="I410" s="26">
        <f>IF($B410='Perfil'!$B$3,COUNTIF($B$4:$B410,'Perfil'!$B$3),"")</f>
        <v/>
      </c>
    </row>
    <row r="411">
      <c r="A411" s="22" t="n"/>
      <c r="B411" s="23" t="n"/>
      <c r="C411" s="23" t="n"/>
      <c r="D411" s="24" t="n"/>
      <c r="E411" s="24" t="n"/>
      <c r="F411" s="23" t="n"/>
      <c r="G411" s="19">
        <f>IFERROR(IF(OR($B411="",$C411=""),"",IF(MATCH($C411,'Ajustes'!$A$5:$A$8,0)&lt;=2,$D411*INDEX('Ajustes'!$C$5:$C$6,MATCH($C411,'Ajustes'!$A$5:$A$8,0)),IF(MATCH($C411,'Ajustes'!$A$5:$A$8,0)=3,-($D411+$E411*INDEX('Equipo'!$B$5:$B$29,MATCH($B411,'Equipo'!$A$5:$A$29,0))),0))),"")</f>
        <v/>
      </c>
      <c r="H411" s="25">
        <f>IFERROR(IF(OR($B411="",$C411=""),"",IF(MATCH($C411,'Ajustes'!$A$5:$A$8,0)=4,$D411/INDEX('Equipo'!$B$5:$B$29,MATCH($B411,'Equipo'!$A$5:$A$29,0))+$E411,0)),"")</f>
        <v/>
      </c>
      <c r="I411" s="26">
        <f>IF($B411='Perfil'!$B$3,COUNTIF($B$4:$B411,'Perfil'!$B$3),"")</f>
        <v/>
      </c>
    </row>
    <row r="412">
      <c r="A412" s="22" t="n"/>
      <c r="B412" s="23" t="n"/>
      <c r="C412" s="23" t="n"/>
      <c r="D412" s="24" t="n"/>
      <c r="E412" s="24" t="n"/>
      <c r="F412" s="23" t="n"/>
      <c r="G412" s="19">
        <f>IFERROR(IF(OR($B412="",$C412=""),"",IF(MATCH($C412,'Ajustes'!$A$5:$A$8,0)&lt;=2,$D412*INDEX('Ajustes'!$C$5:$C$6,MATCH($C412,'Ajustes'!$A$5:$A$8,0)),IF(MATCH($C412,'Ajustes'!$A$5:$A$8,0)=3,-($D412+$E412*INDEX('Equipo'!$B$5:$B$29,MATCH($B412,'Equipo'!$A$5:$A$29,0))),0))),"")</f>
        <v/>
      </c>
      <c r="H412" s="25">
        <f>IFERROR(IF(OR($B412="",$C412=""),"",IF(MATCH($C412,'Ajustes'!$A$5:$A$8,0)=4,$D412/INDEX('Equipo'!$B$5:$B$29,MATCH($B412,'Equipo'!$A$5:$A$29,0))+$E412,0)),"")</f>
        <v/>
      </c>
      <c r="I412" s="26">
        <f>IF($B412='Perfil'!$B$3,COUNTIF($B$4:$B412,'Perfil'!$B$3),"")</f>
        <v/>
      </c>
    </row>
    <row r="413">
      <c r="A413" s="22" t="n"/>
      <c r="B413" s="23" t="n"/>
      <c r="C413" s="23" t="n"/>
      <c r="D413" s="24" t="n"/>
      <c r="E413" s="24" t="n"/>
      <c r="F413" s="23" t="n"/>
      <c r="G413" s="19">
        <f>IFERROR(IF(OR($B413="",$C413=""),"",IF(MATCH($C413,'Ajustes'!$A$5:$A$8,0)&lt;=2,$D413*INDEX('Ajustes'!$C$5:$C$6,MATCH($C413,'Ajustes'!$A$5:$A$8,0)),IF(MATCH($C413,'Ajustes'!$A$5:$A$8,0)=3,-($D413+$E413*INDEX('Equipo'!$B$5:$B$29,MATCH($B413,'Equipo'!$A$5:$A$29,0))),0))),"")</f>
        <v/>
      </c>
      <c r="H413" s="25">
        <f>IFERROR(IF(OR($B413="",$C413=""),"",IF(MATCH($C413,'Ajustes'!$A$5:$A$8,0)=4,$D413/INDEX('Equipo'!$B$5:$B$29,MATCH($B413,'Equipo'!$A$5:$A$29,0))+$E413,0)),"")</f>
        <v/>
      </c>
      <c r="I413" s="26">
        <f>IF($B413='Perfil'!$B$3,COUNTIF($B$4:$B413,'Perfil'!$B$3),"")</f>
        <v/>
      </c>
    </row>
    <row r="414">
      <c r="A414" s="22" t="n"/>
      <c r="B414" s="23" t="n"/>
      <c r="C414" s="23" t="n"/>
      <c r="D414" s="24" t="n"/>
      <c r="E414" s="24" t="n"/>
      <c r="F414" s="23" t="n"/>
      <c r="G414" s="19">
        <f>IFERROR(IF(OR($B414="",$C414=""),"",IF(MATCH($C414,'Ajustes'!$A$5:$A$8,0)&lt;=2,$D414*INDEX('Ajustes'!$C$5:$C$6,MATCH($C414,'Ajustes'!$A$5:$A$8,0)),IF(MATCH($C414,'Ajustes'!$A$5:$A$8,0)=3,-($D414+$E414*INDEX('Equipo'!$B$5:$B$29,MATCH($B414,'Equipo'!$A$5:$A$29,0))),0))),"")</f>
        <v/>
      </c>
      <c r="H414" s="25">
        <f>IFERROR(IF(OR($B414="",$C414=""),"",IF(MATCH($C414,'Ajustes'!$A$5:$A$8,0)=4,$D414/INDEX('Equipo'!$B$5:$B$29,MATCH($B414,'Equipo'!$A$5:$A$29,0))+$E414,0)),"")</f>
        <v/>
      </c>
      <c r="I414" s="26">
        <f>IF($B414='Perfil'!$B$3,COUNTIF($B$4:$B414,'Perfil'!$B$3),"")</f>
        <v/>
      </c>
    </row>
    <row r="415">
      <c r="A415" s="22" t="n"/>
      <c r="B415" s="23" t="n"/>
      <c r="C415" s="23" t="n"/>
      <c r="D415" s="24" t="n"/>
      <c r="E415" s="24" t="n"/>
      <c r="F415" s="23" t="n"/>
      <c r="G415" s="19">
        <f>IFERROR(IF(OR($B415="",$C415=""),"",IF(MATCH($C415,'Ajustes'!$A$5:$A$8,0)&lt;=2,$D415*INDEX('Ajustes'!$C$5:$C$6,MATCH($C415,'Ajustes'!$A$5:$A$8,0)),IF(MATCH($C415,'Ajustes'!$A$5:$A$8,0)=3,-($D415+$E415*INDEX('Equipo'!$B$5:$B$29,MATCH($B415,'Equipo'!$A$5:$A$29,0))),0))),"")</f>
        <v/>
      </c>
      <c r="H415" s="25">
        <f>IFERROR(IF(OR($B415="",$C415=""),"",IF(MATCH($C415,'Ajustes'!$A$5:$A$8,0)=4,$D415/INDEX('Equipo'!$B$5:$B$29,MATCH($B415,'Equipo'!$A$5:$A$29,0))+$E415,0)),"")</f>
        <v/>
      </c>
      <c r="I415" s="26">
        <f>IF($B415='Perfil'!$B$3,COUNTIF($B$4:$B415,'Perfil'!$B$3),"")</f>
        <v/>
      </c>
    </row>
    <row r="416">
      <c r="A416" s="22" t="n"/>
      <c r="B416" s="23" t="n"/>
      <c r="C416" s="23" t="n"/>
      <c r="D416" s="24" t="n"/>
      <c r="E416" s="24" t="n"/>
      <c r="F416" s="23" t="n"/>
      <c r="G416" s="19">
        <f>IFERROR(IF(OR($B416="",$C416=""),"",IF(MATCH($C416,'Ajustes'!$A$5:$A$8,0)&lt;=2,$D416*INDEX('Ajustes'!$C$5:$C$6,MATCH($C416,'Ajustes'!$A$5:$A$8,0)),IF(MATCH($C416,'Ajustes'!$A$5:$A$8,0)=3,-($D416+$E416*INDEX('Equipo'!$B$5:$B$29,MATCH($B416,'Equipo'!$A$5:$A$29,0))),0))),"")</f>
        <v/>
      </c>
      <c r="H416" s="25">
        <f>IFERROR(IF(OR($B416="",$C416=""),"",IF(MATCH($C416,'Ajustes'!$A$5:$A$8,0)=4,$D416/INDEX('Equipo'!$B$5:$B$29,MATCH($B416,'Equipo'!$A$5:$A$29,0))+$E416,0)),"")</f>
        <v/>
      </c>
      <c r="I416" s="26">
        <f>IF($B416='Perfil'!$B$3,COUNTIF($B$4:$B416,'Perfil'!$B$3),"")</f>
        <v/>
      </c>
    </row>
    <row r="417">
      <c r="A417" s="22" t="n"/>
      <c r="B417" s="23" t="n"/>
      <c r="C417" s="23" t="n"/>
      <c r="D417" s="24" t="n"/>
      <c r="E417" s="24" t="n"/>
      <c r="F417" s="23" t="n"/>
      <c r="G417" s="19">
        <f>IFERROR(IF(OR($B417="",$C417=""),"",IF(MATCH($C417,'Ajustes'!$A$5:$A$8,0)&lt;=2,$D417*INDEX('Ajustes'!$C$5:$C$6,MATCH($C417,'Ajustes'!$A$5:$A$8,0)),IF(MATCH($C417,'Ajustes'!$A$5:$A$8,0)=3,-($D417+$E417*INDEX('Equipo'!$B$5:$B$29,MATCH($B417,'Equipo'!$A$5:$A$29,0))),0))),"")</f>
        <v/>
      </c>
      <c r="H417" s="25">
        <f>IFERROR(IF(OR($B417="",$C417=""),"",IF(MATCH($C417,'Ajustes'!$A$5:$A$8,0)=4,$D417/INDEX('Equipo'!$B$5:$B$29,MATCH($B417,'Equipo'!$A$5:$A$29,0))+$E417,0)),"")</f>
        <v/>
      </c>
      <c r="I417" s="26">
        <f>IF($B417='Perfil'!$B$3,COUNTIF($B$4:$B417,'Perfil'!$B$3),"")</f>
        <v/>
      </c>
    </row>
    <row r="418">
      <c r="A418" s="22" t="n"/>
      <c r="B418" s="23" t="n"/>
      <c r="C418" s="23" t="n"/>
      <c r="D418" s="24" t="n"/>
      <c r="E418" s="24" t="n"/>
      <c r="F418" s="23" t="n"/>
      <c r="G418" s="19">
        <f>IFERROR(IF(OR($B418="",$C418=""),"",IF(MATCH($C418,'Ajustes'!$A$5:$A$8,0)&lt;=2,$D418*INDEX('Ajustes'!$C$5:$C$6,MATCH($C418,'Ajustes'!$A$5:$A$8,0)),IF(MATCH($C418,'Ajustes'!$A$5:$A$8,0)=3,-($D418+$E418*INDEX('Equipo'!$B$5:$B$29,MATCH($B418,'Equipo'!$A$5:$A$29,0))),0))),"")</f>
        <v/>
      </c>
      <c r="H418" s="25">
        <f>IFERROR(IF(OR($B418="",$C418=""),"",IF(MATCH($C418,'Ajustes'!$A$5:$A$8,0)=4,$D418/INDEX('Equipo'!$B$5:$B$29,MATCH($B418,'Equipo'!$A$5:$A$29,0))+$E418,0)),"")</f>
        <v/>
      </c>
      <c r="I418" s="26">
        <f>IF($B418='Perfil'!$B$3,COUNTIF($B$4:$B418,'Perfil'!$B$3),"")</f>
        <v/>
      </c>
    </row>
    <row r="419">
      <c r="A419" s="22" t="n"/>
      <c r="B419" s="23" t="n"/>
      <c r="C419" s="23" t="n"/>
      <c r="D419" s="24" t="n"/>
      <c r="E419" s="24" t="n"/>
      <c r="F419" s="23" t="n"/>
      <c r="G419" s="19">
        <f>IFERROR(IF(OR($B419="",$C419=""),"",IF(MATCH($C419,'Ajustes'!$A$5:$A$8,0)&lt;=2,$D419*INDEX('Ajustes'!$C$5:$C$6,MATCH($C419,'Ajustes'!$A$5:$A$8,0)),IF(MATCH($C419,'Ajustes'!$A$5:$A$8,0)=3,-($D419+$E419*INDEX('Equipo'!$B$5:$B$29,MATCH($B419,'Equipo'!$A$5:$A$29,0))),0))),"")</f>
        <v/>
      </c>
      <c r="H419" s="25">
        <f>IFERROR(IF(OR($B419="",$C419=""),"",IF(MATCH($C419,'Ajustes'!$A$5:$A$8,0)=4,$D419/INDEX('Equipo'!$B$5:$B$29,MATCH($B419,'Equipo'!$A$5:$A$29,0))+$E419,0)),"")</f>
        <v/>
      </c>
      <c r="I419" s="26">
        <f>IF($B419='Perfil'!$B$3,COUNTIF($B$4:$B419,'Perfil'!$B$3),"")</f>
        <v/>
      </c>
    </row>
    <row r="420">
      <c r="A420" s="22" t="n"/>
      <c r="B420" s="23" t="n"/>
      <c r="C420" s="23" t="n"/>
      <c r="D420" s="24" t="n"/>
      <c r="E420" s="24" t="n"/>
      <c r="F420" s="23" t="n"/>
      <c r="G420" s="19">
        <f>IFERROR(IF(OR($B420="",$C420=""),"",IF(MATCH($C420,'Ajustes'!$A$5:$A$8,0)&lt;=2,$D420*INDEX('Ajustes'!$C$5:$C$6,MATCH($C420,'Ajustes'!$A$5:$A$8,0)),IF(MATCH($C420,'Ajustes'!$A$5:$A$8,0)=3,-($D420+$E420*INDEX('Equipo'!$B$5:$B$29,MATCH($B420,'Equipo'!$A$5:$A$29,0))),0))),"")</f>
        <v/>
      </c>
      <c r="H420" s="25">
        <f>IFERROR(IF(OR($B420="",$C420=""),"",IF(MATCH($C420,'Ajustes'!$A$5:$A$8,0)=4,$D420/INDEX('Equipo'!$B$5:$B$29,MATCH($B420,'Equipo'!$A$5:$A$29,0))+$E420,0)),"")</f>
        <v/>
      </c>
      <c r="I420" s="26">
        <f>IF($B420='Perfil'!$B$3,COUNTIF($B$4:$B420,'Perfil'!$B$3),"")</f>
        <v/>
      </c>
    </row>
    <row r="421">
      <c r="A421" s="22" t="n"/>
      <c r="B421" s="23" t="n"/>
      <c r="C421" s="23" t="n"/>
      <c r="D421" s="24" t="n"/>
      <c r="E421" s="24" t="n"/>
      <c r="F421" s="23" t="n"/>
      <c r="G421" s="19">
        <f>IFERROR(IF(OR($B421="",$C421=""),"",IF(MATCH($C421,'Ajustes'!$A$5:$A$8,0)&lt;=2,$D421*INDEX('Ajustes'!$C$5:$C$6,MATCH($C421,'Ajustes'!$A$5:$A$8,0)),IF(MATCH($C421,'Ajustes'!$A$5:$A$8,0)=3,-($D421+$E421*INDEX('Equipo'!$B$5:$B$29,MATCH($B421,'Equipo'!$A$5:$A$29,0))),0))),"")</f>
        <v/>
      </c>
      <c r="H421" s="25">
        <f>IFERROR(IF(OR($B421="",$C421=""),"",IF(MATCH($C421,'Ajustes'!$A$5:$A$8,0)=4,$D421/INDEX('Equipo'!$B$5:$B$29,MATCH($B421,'Equipo'!$A$5:$A$29,0))+$E421,0)),"")</f>
        <v/>
      </c>
      <c r="I421" s="26">
        <f>IF($B421='Perfil'!$B$3,COUNTIF($B$4:$B421,'Perfil'!$B$3),"")</f>
        <v/>
      </c>
    </row>
    <row r="422">
      <c r="A422" s="22" t="n"/>
      <c r="B422" s="23" t="n"/>
      <c r="C422" s="23" t="n"/>
      <c r="D422" s="24" t="n"/>
      <c r="E422" s="24" t="n"/>
      <c r="F422" s="23" t="n"/>
      <c r="G422" s="19">
        <f>IFERROR(IF(OR($B422="",$C422=""),"",IF(MATCH($C422,'Ajustes'!$A$5:$A$8,0)&lt;=2,$D422*INDEX('Ajustes'!$C$5:$C$6,MATCH($C422,'Ajustes'!$A$5:$A$8,0)),IF(MATCH($C422,'Ajustes'!$A$5:$A$8,0)=3,-($D422+$E422*INDEX('Equipo'!$B$5:$B$29,MATCH($B422,'Equipo'!$A$5:$A$29,0))),0))),"")</f>
        <v/>
      </c>
      <c r="H422" s="25">
        <f>IFERROR(IF(OR($B422="",$C422=""),"",IF(MATCH($C422,'Ajustes'!$A$5:$A$8,0)=4,$D422/INDEX('Equipo'!$B$5:$B$29,MATCH($B422,'Equipo'!$A$5:$A$29,0))+$E422,0)),"")</f>
        <v/>
      </c>
      <c r="I422" s="26">
        <f>IF($B422='Perfil'!$B$3,COUNTIF($B$4:$B422,'Perfil'!$B$3),"")</f>
        <v/>
      </c>
    </row>
    <row r="423">
      <c r="A423" s="22" t="n"/>
      <c r="B423" s="23" t="n"/>
      <c r="C423" s="23" t="n"/>
      <c r="D423" s="24" t="n"/>
      <c r="E423" s="24" t="n"/>
      <c r="F423" s="23" t="n"/>
      <c r="G423" s="19">
        <f>IFERROR(IF(OR($B423="",$C423=""),"",IF(MATCH($C423,'Ajustes'!$A$5:$A$8,0)&lt;=2,$D423*INDEX('Ajustes'!$C$5:$C$6,MATCH($C423,'Ajustes'!$A$5:$A$8,0)),IF(MATCH($C423,'Ajustes'!$A$5:$A$8,0)=3,-($D423+$E423*INDEX('Equipo'!$B$5:$B$29,MATCH($B423,'Equipo'!$A$5:$A$29,0))),0))),"")</f>
        <v/>
      </c>
      <c r="H423" s="25">
        <f>IFERROR(IF(OR($B423="",$C423=""),"",IF(MATCH($C423,'Ajustes'!$A$5:$A$8,0)=4,$D423/INDEX('Equipo'!$B$5:$B$29,MATCH($B423,'Equipo'!$A$5:$A$29,0))+$E423,0)),"")</f>
        <v/>
      </c>
      <c r="I423" s="26">
        <f>IF($B423='Perfil'!$B$3,COUNTIF($B$4:$B423,'Perfil'!$B$3),"")</f>
        <v/>
      </c>
    </row>
    <row r="424">
      <c r="A424" s="22" t="n"/>
      <c r="B424" s="23" t="n"/>
      <c r="C424" s="23" t="n"/>
      <c r="D424" s="24" t="n"/>
      <c r="E424" s="24" t="n"/>
      <c r="F424" s="23" t="n"/>
      <c r="G424" s="19">
        <f>IFERROR(IF(OR($B424="",$C424=""),"",IF(MATCH($C424,'Ajustes'!$A$5:$A$8,0)&lt;=2,$D424*INDEX('Ajustes'!$C$5:$C$6,MATCH($C424,'Ajustes'!$A$5:$A$8,0)),IF(MATCH($C424,'Ajustes'!$A$5:$A$8,0)=3,-($D424+$E424*INDEX('Equipo'!$B$5:$B$29,MATCH($B424,'Equipo'!$A$5:$A$29,0))),0))),"")</f>
        <v/>
      </c>
      <c r="H424" s="25">
        <f>IFERROR(IF(OR($B424="",$C424=""),"",IF(MATCH($C424,'Ajustes'!$A$5:$A$8,0)=4,$D424/INDEX('Equipo'!$B$5:$B$29,MATCH($B424,'Equipo'!$A$5:$A$29,0))+$E424,0)),"")</f>
        <v/>
      </c>
      <c r="I424" s="26">
        <f>IF($B424='Perfil'!$B$3,COUNTIF($B$4:$B424,'Perfil'!$B$3),"")</f>
        <v/>
      </c>
    </row>
    <row r="425">
      <c r="A425" s="22" t="n"/>
      <c r="B425" s="23" t="n"/>
      <c r="C425" s="23" t="n"/>
      <c r="D425" s="24" t="n"/>
      <c r="E425" s="24" t="n"/>
      <c r="F425" s="23" t="n"/>
      <c r="G425" s="19">
        <f>IFERROR(IF(OR($B425="",$C425=""),"",IF(MATCH($C425,'Ajustes'!$A$5:$A$8,0)&lt;=2,$D425*INDEX('Ajustes'!$C$5:$C$6,MATCH($C425,'Ajustes'!$A$5:$A$8,0)),IF(MATCH($C425,'Ajustes'!$A$5:$A$8,0)=3,-($D425+$E425*INDEX('Equipo'!$B$5:$B$29,MATCH($B425,'Equipo'!$A$5:$A$29,0))),0))),"")</f>
        <v/>
      </c>
      <c r="H425" s="25">
        <f>IFERROR(IF(OR($B425="",$C425=""),"",IF(MATCH($C425,'Ajustes'!$A$5:$A$8,0)=4,$D425/INDEX('Equipo'!$B$5:$B$29,MATCH($B425,'Equipo'!$A$5:$A$29,0))+$E425,0)),"")</f>
        <v/>
      </c>
      <c r="I425" s="26">
        <f>IF($B425='Perfil'!$B$3,COUNTIF($B$4:$B425,'Perfil'!$B$3),"")</f>
        <v/>
      </c>
    </row>
    <row r="426">
      <c r="A426" s="22" t="n"/>
      <c r="B426" s="23" t="n"/>
      <c r="C426" s="23" t="n"/>
      <c r="D426" s="24" t="n"/>
      <c r="E426" s="24" t="n"/>
      <c r="F426" s="23" t="n"/>
      <c r="G426" s="19">
        <f>IFERROR(IF(OR($B426="",$C426=""),"",IF(MATCH($C426,'Ajustes'!$A$5:$A$8,0)&lt;=2,$D426*INDEX('Ajustes'!$C$5:$C$6,MATCH($C426,'Ajustes'!$A$5:$A$8,0)),IF(MATCH($C426,'Ajustes'!$A$5:$A$8,0)=3,-($D426+$E426*INDEX('Equipo'!$B$5:$B$29,MATCH($B426,'Equipo'!$A$5:$A$29,0))),0))),"")</f>
        <v/>
      </c>
      <c r="H426" s="25">
        <f>IFERROR(IF(OR($B426="",$C426=""),"",IF(MATCH($C426,'Ajustes'!$A$5:$A$8,0)=4,$D426/INDEX('Equipo'!$B$5:$B$29,MATCH($B426,'Equipo'!$A$5:$A$29,0))+$E426,0)),"")</f>
        <v/>
      </c>
      <c r="I426" s="26">
        <f>IF($B426='Perfil'!$B$3,COUNTIF($B$4:$B426,'Perfil'!$B$3),"")</f>
        <v/>
      </c>
    </row>
    <row r="427">
      <c r="A427" s="22" t="n"/>
      <c r="B427" s="23" t="n"/>
      <c r="C427" s="23" t="n"/>
      <c r="D427" s="24" t="n"/>
      <c r="E427" s="24" t="n"/>
      <c r="F427" s="23" t="n"/>
      <c r="G427" s="19">
        <f>IFERROR(IF(OR($B427="",$C427=""),"",IF(MATCH($C427,'Ajustes'!$A$5:$A$8,0)&lt;=2,$D427*INDEX('Ajustes'!$C$5:$C$6,MATCH($C427,'Ajustes'!$A$5:$A$8,0)),IF(MATCH($C427,'Ajustes'!$A$5:$A$8,0)=3,-($D427+$E427*INDEX('Equipo'!$B$5:$B$29,MATCH($B427,'Equipo'!$A$5:$A$29,0))),0))),"")</f>
        <v/>
      </c>
      <c r="H427" s="25">
        <f>IFERROR(IF(OR($B427="",$C427=""),"",IF(MATCH($C427,'Ajustes'!$A$5:$A$8,0)=4,$D427/INDEX('Equipo'!$B$5:$B$29,MATCH($B427,'Equipo'!$A$5:$A$29,0))+$E427,0)),"")</f>
        <v/>
      </c>
      <c r="I427" s="26">
        <f>IF($B427='Perfil'!$B$3,COUNTIF($B$4:$B427,'Perfil'!$B$3),"")</f>
        <v/>
      </c>
    </row>
    <row r="428">
      <c r="A428" s="22" t="n"/>
      <c r="B428" s="23" t="n"/>
      <c r="C428" s="23" t="n"/>
      <c r="D428" s="24" t="n"/>
      <c r="E428" s="24" t="n"/>
      <c r="F428" s="23" t="n"/>
      <c r="G428" s="19">
        <f>IFERROR(IF(OR($B428="",$C428=""),"",IF(MATCH($C428,'Ajustes'!$A$5:$A$8,0)&lt;=2,$D428*INDEX('Ajustes'!$C$5:$C$6,MATCH($C428,'Ajustes'!$A$5:$A$8,0)),IF(MATCH($C428,'Ajustes'!$A$5:$A$8,0)=3,-($D428+$E428*INDEX('Equipo'!$B$5:$B$29,MATCH($B428,'Equipo'!$A$5:$A$29,0))),0))),"")</f>
        <v/>
      </c>
      <c r="H428" s="25">
        <f>IFERROR(IF(OR($B428="",$C428=""),"",IF(MATCH($C428,'Ajustes'!$A$5:$A$8,0)=4,$D428/INDEX('Equipo'!$B$5:$B$29,MATCH($B428,'Equipo'!$A$5:$A$29,0))+$E428,0)),"")</f>
        <v/>
      </c>
      <c r="I428" s="26">
        <f>IF($B428='Perfil'!$B$3,COUNTIF($B$4:$B428,'Perfil'!$B$3),"")</f>
        <v/>
      </c>
    </row>
    <row r="429">
      <c r="A429" s="22" t="n"/>
      <c r="B429" s="23" t="n"/>
      <c r="C429" s="23" t="n"/>
      <c r="D429" s="24" t="n"/>
      <c r="E429" s="24" t="n"/>
      <c r="F429" s="23" t="n"/>
      <c r="G429" s="19">
        <f>IFERROR(IF(OR($B429="",$C429=""),"",IF(MATCH($C429,'Ajustes'!$A$5:$A$8,0)&lt;=2,$D429*INDEX('Ajustes'!$C$5:$C$6,MATCH($C429,'Ajustes'!$A$5:$A$8,0)),IF(MATCH($C429,'Ajustes'!$A$5:$A$8,0)=3,-($D429+$E429*INDEX('Equipo'!$B$5:$B$29,MATCH($B429,'Equipo'!$A$5:$A$29,0))),0))),"")</f>
        <v/>
      </c>
      <c r="H429" s="25">
        <f>IFERROR(IF(OR($B429="",$C429=""),"",IF(MATCH($C429,'Ajustes'!$A$5:$A$8,0)=4,$D429/INDEX('Equipo'!$B$5:$B$29,MATCH($B429,'Equipo'!$A$5:$A$29,0))+$E429,0)),"")</f>
        <v/>
      </c>
      <c r="I429" s="26">
        <f>IF($B429='Perfil'!$B$3,COUNTIF($B$4:$B429,'Perfil'!$B$3),"")</f>
        <v/>
      </c>
    </row>
    <row r="430">
      <c r="A430" s="22" t="n"/>
      <c r="B430" s="23" t="n"/>
      <c r="C430" s="23" t="n"/>
      <c r="D430" s="24" t="n"/>
      <c r="E430" s="24" t="n"/>
      <c r="F430" s="23" t="n"/>
      <c r="G430" s="19">
        <f>IFERROR(IF(OR($B430="",$C430=""),"",IF(MATCH($C430,'Ajustes'!$A$5:$A$8,0)&lt;=2,$D430*INDEX('Ajustes'!$C$5:$C$6,MATCH($C430,'Ajustes'!$A$5:$A$8,0)),IF(MATCH($C430,'Ajustes'!$A$5:$A$8,0)=3,-($D430+$E430*INDEX('Equipo'!$B$5:$B$29,MATCH($B430,'Equipo'!$A$5:$A$29,0))),0))),"")</f>
        <v/>
      </c>
      <c r="H430" s="25">
        <f>IFERROR(IF(OR($B430="",$C430=""),"",IF(MATCH($C430,'Ajustes'!$A$5:$A$8,0)=4,$D430/INDEX('Equipo'!$B$5:$B$29,MATCH($B430,'Equipo'!$A$5:$A$29,0))+$E430,0)),"")</f>
        <v/>
      </c>
      <c r="I430" s="26">
        <f>IF($B430='Perfil'!$B$3,COUNTIF($B$4:$B430,'Perfil'!$B$3),"")</f>
        <v/>
      </c>
    </row>
    <row r="431">
      <c r="A431" s="22" t="n"/>
      <c r="B431" s="23" t="n"/>
      <c r="C431" s="23" t="n"/>
      <c r="D431" s="24" t="n"/>
      <c r="E431" s="24" t="n"/>
      <c r="F431" s="23" t="n"/>
      <c r="G431" s="19">
        <f>IFERROR(IF(OR($B431="",$C431=""),"",IF(MATCH($C431,'Ajustes'!$A$5:$A$8,0)&lt;=2,$D431*INDEX('Ajustes'!$C$5:$C$6,MATCH($C431,'Ajustes'!$A$5:$A$8,0)),IF(MATCH($C431,'Ajustes'!$A$5:$A$8,0)=3,-($D431+$E431*INDEX('Equipo'!$B$5:$B$29,MATCH($B431,'Equipo'!$A$5:$A$29,0))),0))),"")</f>
        <v/>
      </c>
      <c r="H431" s="25">
        <f>IFERROR(IF(OR($B431="",$C431=""),"",IF(MATCH($C431,'Ajustes'!$A$5:$A$8,0)=4,$D431/INDEX('Equipo'!$B$5:$B$29,MATCH($B431,'Equipo'!$A$5:$A$29,0))+$E431,0)),"")</f>
        <v/>
      </c>
      <c r="I431" s="26">
        <f>IF($B431='Perfil'!$B$3,COUNTIF($B$4:$B431,'Perfil'!$B$3),"")</f>
        <v/>
      </c>
    </row>
    <row r="432">
      <c r="A432" s="22" t="n"/>
      <c r="B432" s="23" t="n"/>
      <c r="C432" s="23" t="n"/>
      <c r="D432" s="24" t="n"/>
      <c r="E432" s="24" t="n"/>
      <c r="F432" s="23" t="n"/>
      <c r="G432" s="19">
        <f>IFERROR(IF(OR($B432="",$C432=""),"",IF(MATCH($C432,'Ajustes'!$A$5:$A$8,0)&lt;=2,$D432*INDEX('Ajustes'!$C$5:$C$6,MATCH($C432,'Ajustes'!$A$5:$A$8,0)),IF(MATCH($C432,'Ajustes'!$A$5:$A$8,0)=3,-($D432+$E432*INDEX('Equipo'!$B$5:$B$29,MATCH($B432,'Equipo'!$A$5:$A$29,0))),0))),"")</f>
        <v/>
      </c>
      <c r="H432" s="25">
        <f>IFERROR(IF(OR($B432="",$C432=""),"",IF(MATCH($C432,'Ajustes'!$A$5:$A$8,0)=4,$D432/INDEX('Equipo'!$B$5:$B$29,MATCH($B432,'Equipo'!$A$5:$A$29,0))+$E432,0)),"")</f>
        <v/>
      </c>
      <c r="I432" s="26">
        <f>IF($B432='Perfil'!$B$3,COUNTIF($B$4:$B432,'Perfil'!$B$3),"")</f>
        <v/>
      </c>
    </row>
    <row r="433">
      <c r="A433" s="22" t="n"/>
      <c r="B433" s="23" t="n"/>
      <c r="C433" s="23" t="n"/>
      <c r="D433" s="24" t="n"/>
      <c r="E433" s="24" t="n"/>
      <c r="F433" s="23" t="n"/>
      <c r="G433" s="19">
        <f>IFERROR(IF(OR($B433="",$C433=""),"",IF(MATCH($C433,'Ajustes'!$A$5:$A$8,0)&lt;=2,$D433*INDEX('Ajustes'!$C$5:$C$6,MATCH($C433,'Ajustes'!$A$5:$A$8,0)),IF(MATCH($C433,'Ajustes'!$A$5:$A$8,0)=3,-($D433+$E433*INDEX('Equipo'!$B$5:$B$29,MATCH($B433,'Equipo'!$A$5:$A$29,0))),0))),"")</f>
        <v/>
      </c>
      <c r="H433" s="25">
        <f>IFERROR(IF(OR($B433="",$C433=""),"",IF(MATCH($C433,'Ajustes'!$A$5:$A$8,0)=4,$D433/INDEX('Equipo'!$B$5:$B$29,MATCH($B433,'Equipo'!$A$5:$A$29,0))+$E433,0)),"")</f>
        <v/>
      </c>
      <c r="I433" s="26">
        <f>IF($B433='Perfil'!$B$3,COUNTIF($B$4:$B433,'Perfil'!$B$3),"")</f>
        <v/>
      </c>
    </row>
    <row r="434">
      <c r="A434" s="22" t="n"/>
      <c r="B434" s="23" t="n"/>
      <c r="C434" s="23" t="n"/>
      <c r="D434" s="24" t="n"/>
      <c r="E434" s="24" t="n"/>
      <c r="F434" s="23" t="n"/>
      <c r="G434" s="19">
        <f>IFERROR(IF(OR($B434="",$C434=""),"",IF(MATCH($C434,'Ajustes'!$A$5:$A$8,0)&lt;=2,$D434*INDEX('Ajustes'!$C$5:$C$6,MATCH($C434,'Ajustes'!$A$5:$A$8,0)),IF(MATCH($C434,'Ajustes'!$A$5:$A$8,0)=3,-($D434+$E434*INDEX('Equipo'!$B$5:$B$29,MATCH($B434,'Equipo'!$A$5:$A$29,0))),0))),"")</f>
        <v/>
      </c>
      <c r="H434" s="25">
        <f>IFERROR(IF(OR($B434="",$C434=""),"",IF(MATCH($C434,'Ajustes'!$A$5:$A$8,0)=4,$D434/INDEX('Equipo'!$B$5:$B$29,MATCH($B434,'Equipo'!$A$5:$A$29,0))+$E434,0)),"")</f>
        <v/>
      </c>
      <c r="I434" s="26">
        <f>IF($B434='Perfil'!$B$3,COUNTIF($B$4:$B434,'Perfil'!$B$3),"")</f>
        <v/>
      </c>
    </row>
    <row r="435">
      <c r="A435" s="22" t="n"/>
      <c r="B435" s="23" t="n"/>
      <c r="C435" s="23" t="n"/>
      <c r="D435" s="24" t="n"/>
      <c r="E435" s="24" t="n"/>
      <c r="F435" s="23" t="n"/>
      <c r="G435" s="19">
        <f>IFERROR(IF(OR($B435="",$C435=""),"",IF(MATCH($C435,'Ajustes'!$A$5:$A$8,0)&lt;=2,$D435*INDEX('Ajustes'!$C$5:$C$6,MATCH($C435,'Ajustes'!$A$5:$A$8,0)),IF(MATCH($C435,'Ajustes'!$A$5:$A$8,0)=3,-($D435+$E435*INDEX('Equipo'!$B$5:$B$29,MATCH($B435,'Equipo'!$A$5:$A$29,0))),0))),"")</f>
        <v/>
      </c>
      <c r="H435" s="25">
        <f>IFERROR(IF(OR($B435="",$C435=""),"",IF(MATCH($C435,'Ajustes'!$A$5:$A$8,0)=4,$D435/INDEX('Equipo'!$B$5:$B$29,MATCH($B435,'Equipo'!$A$5:$A$29,0))+$E435,0)),"")</f>
        <v/>
      </c>
      <c r="I435" s="26">
        <f>IF($B435='Perfil'!$B$3,COUNTIF($B$4:$B435,'Perfil'!$B$3),"")</f>
        <v/>
      </c>
    </row>
    <row r="436">
      <c r="A436" s="22" t="n"/>
      <c r="B436" s="23" t="n"/>
      <c r="C436" s="23" t="n"/>
      <c r="D436" s="24" t="n"/>
      <c r="E436" s="24" t="n"/>
      <c r="F436" s="23" t="n"/>
      <c r="G436" s="19">
        <f>IFERROR(IF(OR($B436="",$C436=""),"",IF(MATCH($C436,'Ajustes'!$A$5:$A$8,0)&lt;=2,$D436*INDEX('Ajustes'!$C$5:$C$6,MATCH($C436,'Ajustes'!$A$5:$A$8,0)),IF(MATCH($C436,'Ajustes'!$A$5:$A$8,0)=3,-($D436+$E436*INDEX('Equipo'!$B$5:$B$29,MATCH($B436,'Equipo'!$A$5:$A$29,0))),0))),"")</f>
        <v/>
      </c>
      <c r="H436" s="25">
        <f>IFERROR(IF(OR($B436="",$C436=""),"",IF(MATCH($C436,'Ajustes'!$A$5:$A$8,0)=4,$D436/INDEX('Equipo'!$B$5:$B$29,MATCH($B436,'Equipo'!$A$5:$A$29,0))+$E436,0)),"")</f>
        <v/>
      </c>
      <c r="I436" s="26">
        <f>IF($B436='Perfil'!$B$3,COUNTIF($B$4:$B436,'Perfil'!$B$3),"")</f>
        <v/>
      </c>
    </row>
    <row r="437">
      <c r="A437" s="22" t="n"/>
      <c r="B437" s="23" t="n"/>
      <c r="C437" s="23" t="n"/>
      <c r="D437" s="24" t="n"/>
      <c r="E437" s="24" t="n"/>
      <c r="F437" s="23" t="n"/>
      <c r="G437" s="19">
        <f>IFERROR(IF(OR($B437="",$C437=""),"",IF(MATCH($C437,'Ajustes'!$A$5:$A$8,0)&lt;=2,$D437*INDEX('Ajustes'!$C$5:$C$6,MATCH($C437,'Ajustes'!$A$5:$A$8,0)),IF(MATCH($C437,'Ajustes'!$A$5:$A$8,0)=3,-($D437+$E437*INDEX('Equipo'!$B$5:$B$29,MATCH($B437,'Equipo'!$A$5:$A$29,0))),0))),"")</f>
        <v/>
      </c>
      <c r="H437" s="25">
        <f>IFERROR(IF(OR($B437="",$C437=""),"",IF(MATCH($C437,'Ajustes'!$A$5:$A$8,0)=4,$D437/INDEX('Equipo'!$B$5:$B$29,MATCH($B437,'Equipo'!$A$5:$A$29,0))+$E437,0)),"")</f>
        <v/>
      </c>
      <c r="I437" s="26">
        <f>IF($B437='Perfil'!$B$3,COUNTIF($B$4:$B437,'Perfil'!$B$3),"")</f>
        <v/>
      </c>
    </row>
    <row r="438">
      <c r="A438" s="22" t="n"/>
      <c r="B438" s="23" t="n"/>
      <c r="C438" s="23" t="n"/>
      <c r="D438" s="24" t="n"/>
      <c r="E438" s="24" t="n"/>
      <c r="F438" s="23" t="n"/>
      <c r="G438" s="19">
        <f>IFERROR(IF(OR($B438="",$C438=""),"",IF(MATCH($C438,'Ajustes'!$A$5:$A$8,0)&lt;=2,$D438*INDEX('Ajustes'!$C$5:$C$6,MATCH($C438,'Ajustes'!$A$5:$A$8,0)),IF(MATCH($C438,'Ajustes'!$A$5:$A$8,0)=3,-($D438+$E438*INDEX('Equipo'!$B$5:$B$29,MATCH($B438,'Equipo'!$A$5:$A$29,0))),0))),"")</f>
        <v/>
      </c>
      <c r="H438" s="25">
        <f>IFERROR(IF(OR($B438="",$C438=""),"",IF(MATCH($C438,'Ajustes'!$A$5:$A$8,0)=4,$D438/INDEX('Equipo'!$B$5:$B$29,MATCH($B438,'Equipo'!$A$5:$A$29,0))+$E438,0)),"")</f>
        <v/>
      </c>
      <c r="I438" s="26">
        <f>IF($B438='Perfil'!$B$3,COUNTIF($B$4:$B438,'Perfil'!$B$3),"")</f>
        <v/>
      </c>
    </row>
    <row r="439">
      <c r="A439" s="22" t="n"/>
      <c r="B439" s="23" t="n"/>
      <c r="C439" s="23" t="n"/>
      <c r="D439" s="24" t="n"/>
      <c r="E439" s="24" t="n"/>
      <c r="F439" s="23" t="n"/>
      <c r="G439" s="19">
        <f>IFERROR(IF(OR($B439="",$C439=""),"",IF(MATCH($C439,'Ajustes'!$A$5:$A$8,0)&lt;=2,$D439*INDEX('Ajustes'!$C$5:$C$6,MATCH($C439,'Ajustes'!$A$5:$A$8,0)),IF(MATCH($C439,'Ajustes'!$A$5:$A$8,0)=3,-($D439+$E439*INDEX('Equipo'!$B$5:$B$29,MATCH($B439,'Equipo'!$A$5:$A$29,0))),0))),"")</f>
        <v/>
      </c>
      <c r="H439" s="25">
        <f>IFERROR(IF(OR($B439="",$C439=""),"",IF(MATCH($C439,'Ajustes'!$A$5:$A$8,0)=4,$D439/INDEX('Equipo'!$B$5:$B$29,MATCH($B439,'Equipo'!$A$5:$A$29,0))+$E439,0)),"")</f>
        <v/>
      </c>
      <c r="I439" s="26">
        <f>IF($B439='Perfil'!$B$3,COUNTIF($B$4:$B439,'Perfil'!$B$3),"")</f>
        <v/>
      </c>
    </row>
    <row r="440">
      <c r="A440" s="22" t="n"/>
      <c r="B440" s="23" t="n"/>
      <c r="C440" s="23" t="n"/>
      <c r="D440" s="24" t="n"/>
      <c r="E440" s="24" t="n"/>
      <c r="F440" s="23" t="n"/>
      <c r="G440" s="19">
        <f>IFERROR(IF(OR($B440="",$C440=""),"",IF(MATCH($C440,'Ajustes'!$A$5:$A$8,0)&lt;=2,$D440*INDEX('Ajustes'!$C$5:$C$6,MATCH($C440,'Ajustes'!$A$5:$A$8,0)),IF(MATCH($C440,'Ajustes'!$A$5:$A$8,0)=3,-($D440+$E440*INDEX('Equipo'!$B$5:$B$29,MATCH($B440,'Equipo'!$A$5:$A$29,0))),0))),"")</f>
        <v/>
      </c>
      <c r="H440" s="25">
        <f>IFERROR(IF(OR($B440="",$C440=""),"",IF(MATCH($C440,'Ajustes'!$A$5:$A$8,0)=4,$D440/INDEX('Equipo'!$B$5:$B$29,MATCH($B440,'Equipo'!$A$5:$A$29,0))+$E440,0)),"")</f>
        <v/>
      </c>
      <c r="I440" s="26">
        <f>IF($B440='Perfil'!$B$3,COUNTIF($B$4:$B440,'Perfil'!$B$3),"")</f>
        <v/>
      </c>
    </row>
    <row r="441">
      <c r="A441" s="22" t="n"/>
      <c r="B441" s="23" t="n"/>
      <c r="C441" s="23" t="n"/>
      <c r="D441" s="24" t="n"/>
      <c r="E441" s="24" t="n"/>
      <c r="F441" s="23" t="n"/>
      <c r="G441" s="19">
        <f>IFERROR(IF(OR($B441="",$C441=""),"",IF(MATCH($C441,'Ajustes'!$A$5:$A$8,0)&lt;=2,$D441*INDEX('Ajustes'!$C$5:$C$6,MATCH($C441,'Ajustes'!$A$5:$A$8,0)),IF(MATCH($C441,'Ajustes'!$A$5:$A$8,0)=3,-($D441+$E441*INDEX('Equipo'!$B$5:$B$29,MATCH($B441,'Equipo'!$A$5:$A$29,0))),0))),"")</f>
        <v/>
      </c>
      <c r="H441" s="25">
        <f>IFERROR(IF(OR($B441="",$C441=""),"",IF(MATCH($C441,'Ajustes'!$A$5:$A$8,0)=4,$D441/INDEX('Equipo'!$B$5:$B$29,MATCH($B441,'Equipo'!$A$5:$A$29,0))+$E441,0)),"")</f>
        <v/>
      </c>
      <c r="I441" s="26">
        <f>IF($B441='Perfil'!$B$3,COUNTIF($B$4:$B441,'Perfil'!$B$3),"")</f>
        <v/>
      </c>
    </row>
    <row r="442">
      <c r="A442" s="22" t="n"/>
      <c r="B442" s="23" t="n"/>
      <c r="C442" s="23" t="n"/>
      <c r="D442" s="24" t="n"/>
      <c r="E442" s="24" t="n"/>
      <c r="F442" s="23" t="n"/>
      <c r="G442" s="19">
        <f>IFERROR(IF(OR($B442="",$C442=""),"",IF(MATCH($C442,'Ajustes'!$A$5:$A$8,0)&lt;=2,$D442*INDEX('Ajustes'!$C$5:$C$6,MATCH($C442,'Ajustes'!$A$5:$A$8,0)),IF(MATCH($C442,'Ajustes'!$A$5:$A$8,0)=3,-($D442+$E442*INDEX('Equipo'!$B$5:$B$29,MATCH($B442,'Equipo'!$A$5:$A$29,0))),0))),"")</f>
        <v/>
      </c>
      <c r="H442" s="25">
        <f>IFERROR(IF(OR($B442="",$C442=""),"",IF(MATCH($C442,'Ajustes'!$A$5:$A$8,0)=4,$D442/INDEX('Equipo'!$B$5:$B$29,MATCH($B442,'Equipo'!$A$5:$A$29,0))+$E442,0)),"")</f>
        <v/>
      </c>
      <c r="I442" s="26">
        <f>IF($B442='Perfil'!$B$3,COUNTIF($B$4:$B442,'Perfil'!$B$3),"")</f>
        <v/>
      </c>
    </row>
    <row r="443">
      <c r="A443" s="22" t="n"/>
      <c r="B443" s="23" t="n"/>
      <c r="C443" s="23" t="n"/>
      <c r="D443" s="24" t="n"/>
      <c r="E443" s="24" t="n"/>
      <c r="F443" s="23" t="n"/>
      <c r="G443" s="19">
        <f>IFERROR(IF(OR($B443="",$C443=""),"",IF(MATCH($C443,'Ajustes'!$A$5:$A$8,0)&lt;=2,$D443*INDEX('Ajustes'!$C$5:$C$6,MATCH($C443,'Ajustes'!$A$5:$A$8,0)),IF(MATCH($C443,'Ajustes'!$A$5:$A$8,0)=3,-($D443+$E443*INDEX('Equipo'!$B$5:$B$29,MATCH($B443,'Equipo'!$A$5:$A$29,0))),0))),"")</f>
        <v/>
      </c>
      <c r="H443" s="25">
        <f>IFERROR(IF(OR($B443="",$C443=""),"",IF(MATCH($C443,'Ajustes'!$A$5:$A$8,0)=4,$D443/INDEX('Equipo'!$B$5:$B$29,MATCH($B443,'Equipo'!$A$5:$A$29,0))+$E443,0)),"")</f>
        <v/>
      </c>
      <c r="I443" s="26">
        <f>IF($B443='Perfil'!$B$3,COUNTIF($B$4:$B443,'Perfil'!$B$3),"")</f>
        <v/>
      </c>
    </row>
    <row r="444">
      <c r="A444" s="22" t="n"/>
      <c r="B444" s="23" t="n"/>
      <c r="C444" s="23" t="n"/>
      <c r="D444" s="24" t="n"/>
      <c r="E444" s="24" t="n"/>
      <c r="F444" s="23" t="n"/>
      <c r="G444" s="19">
        <f>IFERROR(IF(OR($B444="",$C444=""),"",IF(MATCH($C444,'Ajustes'!$A$5:$A$8,0)&lt;=2,$D444*INDEX('Ajustes'!$C$5:$C$6,MATCH($C444,'Ajustes'!$A$5:$A$8,0)),IF(MATCH($C444,'Ajustes'!$A$5:$A$8,0)=3,-($D444+$E444*INDEX('Equipo'!$B$5:$B$29,MATCH($B444,'Equipo'!$A$5:$A$29,0))),0))),"")</f>
        <v/>
      </c>
      <c r="H444" s="25">
        <f>IFERROR(IF(OR($B444="",$C444=""),"",IF(MATCH($C444,'Ajustes'!$A$5:$A$8,0)=4,$D444/INDEX('Equipo'!$B$5:$B$29,MATCH($B444,'Equipo'!$A$5:$A$29,0))+$E444,0)),"")</f>
        <v/>
      </c>
      <c r="I444" s="26">
        <f>IF($B444='Perfil'!$B$3,COUNTIF($B$4:$B444,'Perfil'!$B$3),"")</f>
        <v/>
      </c>
    </row>
    <row r="445">
      <c r="A445" s="22" t="n"/>
      <c r="B445" s="23" t="n"/>
      <c r="C445" s="23" t="n"/>
      <c r="D445" s="24" t="n"/>
      <c r="E445" s="24" t="n"/>
      <c r="F445" s="23" t="n"/>
      <c r="G445" s="19">
        <f>IFERROR(IF(OR($B445="",$C445=""),"",IF(MATCH($C445,'Ajustes'!$A$5:$A$8,0)&lt;=2,$D445*INDEX('Ajustes'!$C$5:$C$6,MATCH($C445,'Ajustes'!$A$5:$A$8,0)),IF(MATCH($C445,'Ajustes'!$A$5:$A$8,0)=3,-($D445+$E445*INDEX('Equipo'!$B$5:$B$29,MATCH($B445,'Equipo'!$A$5:$A$29,0))),0))),"")</f>
        <v/>
      </c>
      <c r="H445" s="25">
        <f>IFERROR(IF(OR($B445="",$C445=""),"",IF(MATCH($C445,'Ajustes'!$A$5:$A$8,0)=4,$D445/INDEX('Equipo'!$B$5:$B$29,MATCH($B445,'Equipo'!$A$5:$A$29,0))+$E445,0)),"")</f>
        <v/>
      </c>
      <c r="I445" s="26">
        <f>IF($B445='Perfil'!$B$3,COUNTIF($B$4:$B445,'Perfil'!$B$3),"")</f>
        <v/>
      </c>
    </row>
    <row r="446">
      <c r="A446" s="22" t="n"/>
      <c r="B446" s="23" t="n"/>
      <c r="C446" s="23" t="n"/>
      <c r="D446" s="24" t="n"/>
      <c r="E446" s="24" t="n"/>
      <c r="F446" s="23" t="n"/>
      <c r="G446" s="19">
        <f>IFERROR(IF(OR($B446="",$C446=""),"",IF(MATCH($C446,'Ajustes'!$A$5:$A$8,0)&lt;=2,$D446*INDEX('Ajustes'!$C$5:$C$6,MATCH($C446,'Ajustes'!$A$5:$A$8,0)),IF(MATCH($C446,'Ajustes'!$A$5:$A$8,0)=3,-($D446+$E446*INDEX('Equipo'!$B$5:$B$29,MATCH($B446,'Equipo'!$A$5:$A$29,0))),0))),"")</f>
        <v/>
      </c>
      <c r="H446" s="25">
        <f>IFERROR(IF(OR($B446="",$C446=""),"",IF(MATCH($C446,'Ajustes'!$A$5:$A$8,0)=4,$D446/INDEX('Equipo'!$B$5:$B$29,MATCH($B446,'Equipo'!$A$5:$A$29,0))+$E446,0)),"")</f>
        <v/>
      </c>
      <c r="I446" s="26">
        <f>IF($B446='Perfil'!$B$3,COUNTIF($B$4:$B446,'Perfil'!$B$3),"")</f>
        <v/>
      </c>
    </row>
    <row r="447">
      <c r="A447" s="22" t="n"/>
      <c r="B447" s="23" t="n"/>
      <c r="C447" s="23" t="n"/>
      <c r="D447" s="24" t="n"/>
      <c r="E447" s="24" t="n"/>
      <c r="F447" s="23" t="n"/>
      <c r="G447" s="19">
        <f>IFERROR(IF(OR($B447="",$C447=""),"",IF(MATCH($C447,'Ajustes'!$A$5:$A$8,0)&lt;=2,$D447*INDEX('Ajustes'!$C$5:$C$6,MATCH($C447,'Ajustes'!$A$5:$A$8,0)),IF(MATCH($C447,'Ajustes'!$A$5:$A$8,0)=3,-($D447+$E447*INDEX('Equipo'!$B$5:$B$29,MATCH($B447,'Equipo'!$A$5:$A$29,0))),0))),"")</f>
        <v/>
      </c>
      <c r="H447" s="25">
        <f>IFERROR(IF(OR($B447="",$C447=""),"",IF(MATCH($C447,'Ajustes'!$A$5:$A$8,0)=4,$D447/INDEX('Equipo'!$B$5:$B$29,MATCH($B447,'Equipo'!$A$5:$A$29,0))+$E447,0)),"")</f>
        <v/>
      </c>
      <c r="I447" s="26">
        <f>IF($B447='Perfil'!$B$3,COUNTIF($B$4:$B447,'Perfil'!$B$3),"")</f>
        <v/>
      </c>
    </row>
    <row r="448">
      <c r="A448" s="22" t="n"/>
      <c r="B448" s="23" t="n"/>
      <c r="C448" s="23" t="n"/>
      <c r="D448" s="24" t="n"/>
      <c r="E448" s="24" t="n"/>
      <c r="F448" s="23" t="n"/>
      <c r="G448" s="19">
        <f>IFERROR(IF(OR($B448="",$C448=""),"",IF(MATCH($C448,'Ajustes'!$A$5:$A$8,0)&lt;=2,$D448*INDEX('Ajustes'!$C$5:$C$6,MATCH($C448,'Ajustes'!$A$5:$A$8,0)),IF(MATCH($C448,'Ajustes'!$A$5:$A$8,0)=3,-($D448+$E448*INDEX('Equipo'!$B$5:$B$29,MATCH($B448,'Equipo'!$A$5:$A$29,0))),0))),"")</f>
        <v/>
      </c>
      <c r="H448" s="25">
        <f>IFERROR(IF(OR($B448="",$C448=""),"",IF(MATCH($C448,'Ajustes'!$A$5:$A$8,0)=4,$D448/INDEX('Equipo'!$B$5:$B$29,MATCH($B448,'Equipo'!$A$5:$A$29,0))+$E448,0)),"")</f>
        <v/>
      </c>
      <c r="I448" s="26">
        <f>IF($B448='Perfil'!$B$3,COUNTIF($B$4:$B448,'Perfil'!$B$3),"")</f>
        <v/>
      </c>
    </row>
    <row r="449">
      <c r="A449" s="22" t="n"/>
      <c r="B449" s="23" t="n"/>
      <c r="C449" s="23" t="n"/>
      <c r="D449" s="24" t="n"/>
      <c r="E449" s="24" t="n"/>
      <c r="F449" s="23" t="n"/>
      <c r="G449" s="19">
        <f>IFERROR(IF(OR($B449="",$C449=""),"",IF(MATCH($C449,'Ajustes'!$A$5:$A$8,0)&lt;=2,$D449*INDEX('Ajustes'!$C$5:$C$6,MATCH($C449,'Ajustes'!$A$5:$A$8,0)),IF(MATCH($C449,'Ajustes'!$A$5:$A$8,0)=3,-($D449+$E449*INDEX('Equipo'!$B$5:$B$29,MATCH($B449,'Equipo'!$A$5:$A$29,0))),0))),"")</f>
        <v/>
      </c>
      <c r="H449" s="25">
        <f>IFERROR(IF(OR($B449="",$C449=""),"",IF(MATCH($C449,'Ajustes'!$A$5:$A$8,0)=4,$D449/INDEX('Equipo'!$B$5:$B$29,MATCH($B449,'Equipo'!$A$5:$A$29,0))+$E449,0)),"")</f>
        <v/>
      </c>
      <c r="I449" s="26">
        <f>IF($B449='Perfil'!$B$3,COUNTIF($B$4:$B449,'Perfil'!$B$3),"")</f>
        <v/>
      </c>
    </row>
    <row r="450">
      <c r="A450" s="22" t="n"/>
      <c r="B450" s="23" t="n"/>
      <c r="C450" s="23" t="n"/>
      <c r="D450" s="24" t="n"/>
      <c r="E450" s="24" t="n"/>
      <c r="F450" s="23" t="n"/>
      <c r="G450" s="19">
        <f>IFERROR(IF(OR($B450="",$C450=""),"",IF(MATCH($C450,'Ajustes'!$A$5:$A$8,0)&lt;=2,$D450*INDEX('Ajustes'!$C$5:$C$6,MATCH($C450,'Ajustes'!$A$5:$A$8,0)),IF(MATCH($C450,'Ajustes'!$A$5:$A$8,0)=3,-($D450+$E450*INDEX('Equipo'!$B$5:$B$29,MATCH($B450,'Equipo'!$A$5:$A$29,0))),0))),"")</f>
        <v/>
      </c>
      <c r="H450" s="25">
        <f>IFERROR(IF(OR($B450="",$C450=""),"",IF(MATCH($C450,'Ajustes'!$A$5:$A$8,0)=4,$D450/INDEX('Equipo'!$B$5:$B$29,MATCH($B450,'Equipo'!$A$5:$A$29,0))+$E450,0)),"")</f>
        <v/>
      </c>
      <c r="I450" s="26">
        <f>IF($B450='Perfil'!$B$3,COUNTIF($B$4:$B450,'Perfil'!$B$3),"")</f>
        <v/>
      </c>
    </row>
    <row r="451">
      <c r="A451" s="22" t="n"/>
      <c r="B451" s="23" t="n"/>
      <c r="C451" s="23" t="n"/>
      <c r="D451" s="24" t="n"/>
      <c r="E451" s="24" t="n"/>
      <c r="F451" s="23" t="n"/>
      <c r="G451" s="19">
        <f>IFERROR(IF(OR($B451="",$C451=""),"",IF(MATCH($C451,'Ajustes'!$A$5:$A$8,0)&lt;=2,$D451*INDEX('Ajustes'!$C$5:$C$6,MATCH($C451,'Ajustes'!$A$5:$A$8,0)),IF(MATCH($C451,'Ajustes'!$A$5:$A$8,0)=3,-($D451+$E451*INDEX('Equipo'!$B$5:$B$29,MATCH($B451,'Equipo'!$A$5:$A$29,0))),0))),"")</f>
        <v/>
      </c>
      <c r="H451" s="25">
        <f>IFERROR(IF(OR($B451="",$C451=""),"",IF(MATCH($C451,'Ajustes'!$A$5:$A$8,0)=4,$D451/INDEX('Equipo'!$B$5:$B$29,MATCH($B451,'Equipo'!$A$5:$A$29,0))+$E451,0)),"")</f>
        <v/>
      </c>
      <c r="I451" s="26">
        <f>IF($B451='Perfil'!$B$3,COUNTIF($B$4:$B451,'Perfil'!$B$3),"")</f>
        <v/>
      </c>
    </row>
    <row r="452">
      <c r="A452" s="22" t="n"/>
      <c r="B452" s="23" t="n"/>
      <c r="C452" s="23" t="n"/>
      <c r="D452" s="24" t="n"/>
      <c r="E452" s="24" t="n"/>
      <c r="F452" s="23" t="n"/>
      <c r="G452" s="19">
        <f>IFERROR(IF(OR($B452="",$C452=""),"",IF(MATCH($C452,'Ajustes'!$A$5:$A$8,0)&lt;=2,$D452*INDEX('Ajustes'!$C$5:$C$6,MATCH($C452,'Ajustes'!$A$5:$A$8,0)),IF(MATCH($C452,'Ajustes'!$A$5:$A$8,0)=3,-($D452+$E452*INDEX('Equipo'!$B$5:$B$29,MATCH($B452,'Equipo'!$A$5:$A$29,0))),0))),"")</f>
        <v/>
      </c>
      <c r="H452" s="25">
        <f>IFERROR(IF(OR($B452="",$C452=""),"",IF(MATCH($C452,'Ajustes'!$A$5:$A$8,0)=4,$D452/INDEX('Equipo'!$B$5:$B$29,MATCH($B452,'Equipo'!$A$5:$A$29,0))+$E452,0)),"")</f>
        <v/>
      </c>
      <c r="I452" s="26">
        <f>IF($B452='Perfil'!$B$3,COUNTIF($B$4:$B452,'Perfil'!$B$3),"")</f>
        <v/>
      </c>
    </row>
    <row r="453">
      <c r="A453" s="22" t="n"/>
      <c r="B453" s="23" t="n"/>
      <c r="C453" s="23" t="n"/>
      <c r="D453" s="24" t="n"/>
      <c r="E453" s="24" t="n"/>
      <c r="F453" s="23" t="n"/>
      <c r="G453" s="19">
        <f>IFERROR(IF(OR($B453="",$C453=""),"",IF(MATCH($C453,'Ajustes'!$A$5:$A$8,0)&lt;=2,$D453*INDEX('Ajustes'!$C$5:$C$6,MATCH($C453,'Ajustes'!$A$5:$A$8,0)),IF(MATCH($C453,'Ajustes'!$A$5:$A$8,0)=3,-($D453+$E453*INDEX('Equipo'!$B$5:$B$29,MATCH($B453,'Equipo'!$A$5:$A$29,0))),0))),"")</f>
        <v/>
      </c>
      <c r="H453" s="25">
        <f>IFERROR(IF(OR($B453="",$C453=""),"",IF(MATCH($C453,'Ajustes'!$A$5:$A$8,0)=4,$D453/INDEX('Equipo'!$B$5:$B$29,MATCH($B453,'Equipo'!$A$5:$A$29,0))+$E453,0)),"")</f>
        <v/>
      </c>
      <c r="I453" s="26">
        <f>IF($B453='Perfil'!$B$3,COUNTIF($B$4:$B453,'Perfil'!$B$3),"")</f>
        <v/>
      </c>
    </row>
    <row r="454">
      <c r="A454" s="22" t="n"/>
      <c r="B454" s="23" t="n"/>
      <c r="C454" s="23" t="n"/>
      <c r="D454" s="24" t="n"/>
      <c r="E454" s="24" t="n"/>
      <c r="F454" s="23" t="n"/>
      <c r="G454" s="19">
        <f>IFERROR(IF(OR($B454="",$C454=""),"",IF(MATCH($C454,'Ajustes'!$A$5:$A$8,0)&lt;=2,$D454*INDEX('Ajustes'!$C$5:$C$6,MATCH($C454,'Ajustes'!$A$5:$A$8,0)),IF(MATCH($C454,'Ajustes'!$A$5:$A$8,0)=3,-($D454+$E454*INDEX('Equipo'!$B$5:$B$29,MATCH($B454,'Equipo'!$A$5:$A$29,0))),0))),"")</f>
        <v/>
      </c>
      <c r="H454" s="25">
        <f>IFERROR(IF(OR($B454="",$C454=""),"",IF(MATCH($C454,'Ajustes'!$A$5:$A$8,0)=4,$D454/INDEX('Equipo'!$B$5:$B$29,MATCH($B454,'Equipo'!$A$5:$A$29,0))+$E454,0)),"")</f>
        <v/>
      </c>
      <c r="I454" s="26">
        <f>IF($B454='Perfil'!$B$3,COUNTIF($B$4:$B454,'Perfil'!$B$3),"")</f>
        <v/>
      </c>
    </row>
    <row r="455">
      <c r="A455" s="22" t="n"/>
      <c r="B455" s="23" t="n"/>
      <c r="C455" s="23" t="n"/>
      <c r="D455" s="24" t="n"/>
      <c r="E455" s="24" t="n"/>
      <c r="F455" s="23" t="n"/>
      <c r="G455" s="19">
        <f>IFERROR(IF(OR($B455="",$C455=""),"",IF(MATCH($C455,'Ajustes'!$A$5:$A$8,0)&lt;=2,$D455*INDEX('Ajustes'!$C$5:$C$6,MATCH($C455,'Ajustes'!$A$5:$A$8,0)),IF(MATCH($C455,'Ajustes'!$A$5:$A$8,0)=3,-($D455+$E455*INDEX('Equipo'!$B$5:$B$29,MATCH($B455,'Equipo'!$A$5:$A$29,0))),0))),"")</f>
        <v/>
      </c>
      <c r="H455" s="25">
        <f>IFERROR(IF(OR($B455="",$C455=""),"",IF(MATCH($C455,'Ajustes'!$A$5:$A$8,0)=4,$D455/INDEX('Equipo'!$B$5:$B$29,MATCH($B455,'Equipo'!$A$5:$A$29,0))+$E455,0)),"")</f>
        <v/>
      </c>
      <c r="I455" s="26">
        <f>IF($B455='Perfil'!$B$3,COUNTIF($B$4:$B455,'Perfil'!$B$3),"")</f>
        <v/>
      </c>
    </row>
    <row r="456">
      <c r="A456" s="22" t="n"/>
      <c r="B456" s="23" t="n"/>
      <c r="C456" s="23" t="n"/>
      <c r="D456" s="24" t="n"/>
      <c r="E456" s="24" t="n"/>
      <c r="F456" s="23" t="n"/>
      <c r="G456" s="19">
        <f>IFERROR(IF(OR($B456="",$C456=""),"",IF(MATCH($C456,'Ajustes'!$A$5:$A$8,0)&lt;=2,$D456*INDEX('Ajustes'!$C$5:$C$6,MATCH($C456,'Ajustes'!$A$5:$A$8,0)),IF(MATCH($C456,'Ajustes'!$A$5:$A$8,0)=3,-($D456+$E456*INDEX('Equipo'!$B$5:$B$29,MATCH($B456,'Equipo'!$A$5:$A$29,0))),0))),"")</f>
        <v/>
      </c>
      <c r="H456" s="25">
        <f>IFERROR(IF(OR($B456="",$C456=""),"",IF(MATCH($C456,'Ajustes'!$A$5:$A$8,0)=4,$D456/INDEX('Equipo'!$B$5:$B$29,MATCH($B456,'Equipo'!$A$5:$A$29,0))+$E456,0)),"")</f>
        <v/>
      </c>
      <c r="I456" s="26">
        <f>IF($B456='Perfil'!$B$3,COUNTIF($B$4:$B456,'Perfil'!$B$3),"")</f>
        <v/>
      </c>
    </row>
    <row r="457">
      <c r="A457" s="22" t="n"/>
      <c r="B457" s="23" t="n"/>
      <c r="C457" s="23" t="n"/>
      <c r="D457" s="24" t="n"/>
      <c r="E457" s="24" t="n"/>
      <c r="F457" s="23" t="n"/>
      <c r="G457" s="19">
        <f>IFERROR(IF(OR($B457="",$C457=""),"",IF(MATCH($C457,'Ajustes'!$A$5:$A$8,0)&lt;=2,$D457*INDEX('Ajustes'!$C$5:$C$6,MATCH($C457,'Ajustes'!$A$5:$A$8,0)),IF(MATCH($C457,'Ajustes'!$A$5:$A$8,0)=3,-($D457+$E457*INDEX('Equipo'!$B$5:$B$29,MATCH($B457,'Equipo'!$A$5:$A$29,0))),0))),"")</f>
        <v/>
      </c>
      <c r="H457" s="25">
        <f>IFERROR(IF(OR($B457="",$C457=""),"",IF(MATCH($C457,'Ajustes'!$A$5:$A$8,0)=4,$D457/INDEX('Equipo'!$B$5:$B$29,MATCH($B457,'Equipo'!$A$5:$A$29,0))+$E457,0)),"")</f>
        <v/>
      </c>
      <c r="I457" s="26">
        <f>IF($B457='Perfil'!$B$3,COUNTIF($B$4:$B457,'Perfil'!$B$3),"")</f>
        <v/>
      </c>
    </row>
    <row r="458">
      <c r="A458" s="22" t="n"/>
      <c r="B458" s="23" t="n"/>
      <c r="C458" s="23" t="n"/>
      <c r="D458" s="24" t="n"/>
      <c r="E458" s="24" t="n"/>
      <c r="F458" s="23" t="n"/>
      <c r="G458" s="19">
        <f>IFERROR(IF(OR($B458="",$C458=""),"",IF(MATCH($C458,'Ajustes'!$A$5:$A$8,0)&lt;=2,$D458*INDEX('Ajustes'!$C$5:$C$6,MATCH($C458,'Ajustes'!$A$5:$A$8,0)),IF(MATCH($C458,'Ajustes'!$A$5:$A$8,0)=3,-($D458+$E458*INDEX('Equipo'!$B$5:$B$29,MATCH($B458,'Equipo'!$A$5:$A$29,0))),0))),"")</f>
        <v/>
      </c>
      <c r="H458" s="25">
        <f>IFERROR(IF(OR($B458="",$C458=""),"",IF(MATCH($C458,'Ajustes'!$A$5:$A$8,0)=4,$D458/INDEX('Equipo'!$B$5:$B$29,MATCH($B458,'Equipo'!$A$5:$A$29,0))+$E458,0)),"")</f>
        <v/>
      </c>
      <c r="I458" s="26">
        <f>IF($B458='Perfil'!$B$3,COUNTIF($B$4:$B458,'Perfil'!$B$3),"")</f>
        <v/>
      </c>
    </row>
    <row r="459">
      <c r="A459" s="22" t="n"/>
      <c r="B459" s="23" t="n"/>
      <c r="C459" s="23" t="n"/>
      <c r="D459" s="24" t="n"/>
      <c r="E459" s="24" t="n"/>
      <c r="F459" s="23" t="n"/>
      <c r="G459" s="19">
        <f>IFERROR(IF(OR($B459="",$C459=""),"",IF(MATCH($C459,'Ajustes'!$A$5:$A$8,0)&lt;=2,$D459*INDEX('Ajustes'!$C$5:$C$6,MATCH($C459,'Ajustes'!$A$5:$A$8,0)),IF(MATCH($C459,'Ajustes'!$A$5:$A$8,0)=3,-($D459+$E459*INDEX('Equipo'!$B$5:$B$29,MATCH($B459,'Equipo'!$A$5:$A$29,0))),0))),"")</f>
        <v/>
      </c>
      <c r="H459" s="25">
        <f>IFERROR(IF(OR($B459="",$C459=""),"",IF(MATCH($C459,'Ajustes'!$A$5:$A$8,0)=4,$D459/INDEX('Equipo'!$B$5:$B$29,MATCH($B459,'Equipo'!$A$5:$A$29,0))+$E459,0)),"")</f>
        <v/>
      </c>
      <c r="I459" s="26">
        <f>IF($B459='Perfil'!$B$3,COUNTIF($B$4:$B459,'Perfil'!$B$3),"")</f>
        <v/>
      </c>
    </row>
    <row r="460">
      <c r="A460" s="22" t="n"/>
      <c r="B460" s="23" t="n"/>
      <c r="C460" s="23" t="n"/>
      <c r="D460" s="24" t="n"/>
      <c r="E460" s="24" t="n"/>
      <c r="F460" s="23" t="n"/>
      <c r="G460" s="19">
        <f>IFERROR(IF(OR($B460="",$C460=""),"",IF(MATCH($C460,'Ajustes'!$A$5:$A$8,0)&lt;=2,$D460*INDEX('Ajustes'!$C$5:$C$6,MATCH($C460,'Ajustes'!$A$5:$A$8,0)),IF(MATCH($C460,'Ajustes'!$A$5:$A$8,0)=3,-($D460+$E460*INDEX('Equipo'!$B$5:$B$29,MATCH($B460,'Equipo'!$A$5:$A$29,0))),0))),"")</f>
        <v/>
      </c>
      <c r="H460" s="25">
        <f>IFERROR(IF(OR($B460="",$C460=""),"",IF(MATCH($C460,'Ajustes'!$A$5:$A$8,0)=4,$D460/INDEX('Equipo'!$B$5:$B$29,MATCH($B460,'Equipo'!$A$5:$A$29,0))+$E460,0)),"")</f>
        <v/>
      </c>
      <c r="I460" s="26">
        <f>IF($B460='Perfil'!$B$3,COUNTIF($B$4:$B460,'Perfil'!$B$3),"")</f>
        <v/>
      </c>
    </row>
    <row r="461">
      <c r="A461" s="22" t="n"/>
      <c r="B461" s="23" t="n"/>
      <c r="C461" s="23" t="n"/>
      <c r="D461" s="24" t="n"/>
      <c r="E461" s="24" t="n"/>
      <c r="F461" s="23" t="n"/>
      <c r="G461" s="19">
        <f>IFERROR(IF(OR($B461="",$C461=""),"",IF(MATCH($C461,'Ajustes'!$A$5:$A$8,0)&lt;=2,$D461*INDEX('Ajustes'!$C$5:$C$6,MATCH($C461,'Ajustes'!$A$5:$A$8,0)),IF(MATCH($C461,'Ajustes'!$A$5:$A$8,0)=3,-($D461+$E461*INDEX('Equipo'!$B$5:$B$29,MATCH($B461,'Equipo'!$A$5:$A$29,0))),0))),"")</f>
        <v/>
      </c>
      <c r="H461" s="25">
        <f>IFERROR(IF(OR($B461="",$C461=""),"",IF(MATCH($C461,'Ajustes'!$A$5:$A$8,0)=4,$D461/INDEX('Equipo'!$B$5:$B$29,MATCH($B461,'Equipo'!$A$5:$A$29,0))+$E461,0)),"")</f>
        <v/>
      </c>
      <c r="I461" s="26">
        <f>IF($B461='Perfil'!$B$3,COUNTIF($B$4:$B461,'Perfil'!$B$3),"")</f>
        <v/>
      </c>
    </row>
    <row r="462">
      <c r="A462" s="22" t="n"/>
      <c r="B462" s="23" t="n"/>
      <c r="C462" s="23" t="n"/>
      <c r="D462" s="24" t="n"/>
      <c r="E462" s="24" t="n"/>
      <c r="F462" s="23" t="n"/>
      <c r="G462" s="19">
        <f>IFERROR(IF(OR($B462="",$C462=""),"",IF(MATCH($C462,'Ajustes'!$A$5:$A$8,0)&lt;=2,$D462*INDEX('Ajustes'!$C$5:$C$6,MATCH($C462,'Ajustes'!$A$5:$A$8,0)),IF(MATCH($C462,'Ajustes'!$A$5:$A$8,0)=3,-($D462+$E462*INDEX('Equipo'!$B$5:$B$29,MATCH($B462,'Equipo'!$A$5:$A$29,0))),0))),"")</f>
        <v/>
      </c>
      <c r="H462" s="25">
        <f>IFERROR(IF(OR($B462="",$C462=""),"",IF(MATCH($C462,'Ajustes'!$A$5:$A$8,0)=4,$D462/INDEX('Equipo'!$B$5:$B$29,MATCH($B462,'Equipo'!$A$5:$A$29,0))+$E462,0)),"")</f>
        <v/>
      </c>
      <c r="I462" s="26">
        <f>IF($B462='Perfil'!$B$3,COUNTIF($B$4:$B462,'Perfil'!$B$3),"")</f>
        <v/>
      </c>
    </row>
    <row r="463">
      <c r="A463" s="22" t="n"/>
      <c r="B463" s="23" t="n"/>
      <c r="C463" s="23" t="n"/>
      <c r="D463" s="24" t="n"/>
      <c r="E463" s="24" t="n"/>
      <c r="F463" s="23" t="n"/>
      <c r="G463" s="19">
        <f>IFERROR(IF(OR($B463="",$C463=""),"",IF(MATCH($C463,'Ajustes'!$A$5:$A$8,0)&lt;=2,$D463*INDEX('Ajustes'!$C$5:$C$6,MATCH($C463,'Ajustes'!$A$5:$A$8,0)),IF(MATCH($C463,'Ajustes'!$A$5:$A$8,0)=3,-($D463+$E463*INDEX('Equipo'!$B$5:$B$29,MATCH($B463,'Equipo'!$A$5:$A$29,0))),0))),"")</f>
        <v/>
      </c>
      <c r="H463" s="25">
        <f>IFERROR(IF(OR($B463="",$C463=""),"",IF(MATCH($C463,'Ajustes'!$A$5:$A$8,0)=4,$D463/INDEX('Equipo'!$B$5:$B$29,MATCH($B463,'Equipo'!$A$5:$A$29,0))+$E463,0)),"")</f>
        <v/>
      </c>
      <c r="I463" s="26">
        <f>IF($B463='Perfil'!$B$3,COUNTIF($B$4:$B463,'Perfil'!$B$3),"")</f>
        <v/>
      </c>
    </row>
    <row r="464">
      <c r="A464" s="22" t="n"/>
      <c r="B464" s="23" t="n"/>
      <c r="C464" s="23" t="n"/>
      <c r="D464" s="24" t="n"/>
      <c r="E464" s="24" t="n"/>
      <c r="F464" s="23" t="n"/>
      <c r="G464" s="19">
        <f>IFERROR(IF(OR($B464="",$C464=""),"",IF(MATCH($C464,'Ajustes'!$A$5:$A$8,0)&lt;=2,$D464*INDEX('Ajustes'!$C$5:$C$6,MATCH($C464,'Ajustes'!$A$5:$A$8,0)),IF(MATCH($C464,'Ajustes'!$A$5:$A$8,0)=3,-($D464+$E464*INDEX('Equipo'!$B$5:$B$29,MATCH($B464,'Equipo'!$A$5:$A$29,0))),0))),"")</f>
        <v/>
      </c>
      <c r="H464" s="25">
        <f>IFERROR(IF(OR($B464="",$C464=""),"",IF(MATCH($C464,'Ajustes'!$A$5:$A$8,0)=4,$D464/INDEX('Equipo'!$B$5:$B$29,MATCH($B464,'Equipo'!$A$5:$A$29,0))+$E464,0)),"")</f>
        <v/>
      </c>
      <c r="I464" s="26">
        <f>IF($B464='Perfil'!$B$3,COUNTIF($B$4:$B464,'Perfil'!$B$3),"")</f>
        <v/>
      </c>
    </row>
    <row r="465">
      <c r="A465" s="22" t="n"/>
      <c r="B465" s="23" t="n"/>
      <c r="C465" s="23" t="n"/>
      <c r="D465" s="24" t="n"/>
      <c r="E465" s="24" t="n"/>
      <c r="F465" s="23" t="n"/>
      <c r="G465" s="19">
        <f>IFERROR(IF(OR($B465="",$C465=""),"",IF(MATCH($C465,'Ajustes'!$A$5:$A$8,0)&lt;=2,$D465*INDEX('Ajustes'!$C$5:$C$6,MATCH($C465,'Ajustes'!$A$5:$A$8,0)),IF(MATCH($C465,'Ajustes'!$A$5:$A$8,0)=3,-($D465+$E465*INDEX('Equipo'!$B$5:$B$29,MATCH($B465,'Equipo'!$A$5:$A$29,0))),0))),"")</f>
        <v/>
      </c>
      <c r="H465" s="25">
        <f>IFERROR(IF(OR($B465="",$C465=""),"",IF(MATCH($C465,'Ajustes'!$A$5:$A$8,0)=4,$D465/INDEX('Equipo'!$B$5:$B$29,MATCH($B465,'Equipo'!$A$5:$A$29,0))+$E465,0)),"")</f>
        <v/>
      </c>
      <c r="I465" s="26">
        <f>IF($B465='Perfil'!$B$3,COUNTIF($B$4:$B465,'Perfil'!$B$3),"")</f>
        <v/>
      </c>
    </row>
    <row r="466">
      <c r="A466" s="22" t="n"/>
      <c r="B466" s="23" t="n"/>
      <c r="C466" s="23" t="n"/>
      <c r="D466" s="24" t="n"/>
      <c r="E466" s="24" t="n"/>
      <c r="F466" s="23" t="n"/>
      <c r="G466" s="19">
        <f>IFERROR(IF(OR($B466="",$C466=""),"",IF(MATCH($C466,'Ajustes'!$A$5:$A$8,0)&lt;=2,$D466*INDEX('Ajustes'!$C$5:$C$6,MATCH($C466,'Ajustes'!$A$5:$A$8,0)),IF(MATCH($C466,'Ajustes'!$A$5:$A$8,0)=3,-($D466+$E466*INDEX('Equipo'!$B$5:$B$29,MATCH($B466,'Equipo'!$A$5:$A$29,0))),0))),"")</f>
        <v/>
      </c>
      <c r="H466" s="25">
        <f>IFERROR(IF(OR($B466="",$C466=""),"",IF(MATCH($C466,'Ajustes'!$A$5:$A$8,0)=4,$D466/INDEX('Equipo'!$B$5:$B$29,MATCH($B466,'Equipo'!$A$5:$A$29,0))+$E466,0)),"")</f>
        <v/>
      </c>
      <c r="I466" s="26">
        <f>IF($B466='Perfil'!$B$3,COUNTIF($B$4:$B466,'Perfil'!$B$3),"")</f>
        <v/>
      </c>
    </row>
    <row r="467">
      <c r="A467" s="22" t="n"/>
      <c r="B467" s="23" t="n"/>
      <c r="C467" s="23" t="n"/>
      <c r="D467" s="24" t="n"/>
      <c r="E467" s="24" t="n"/>
      <c r="F467" s="23" t="n"/>
      <c r="G467" s="19">
        <f>IFERROR(IF(OR($B467="",$C467=""),"",IF(MATCH($C467,'Ajustes'!$A$5:$A$8,0)&lt;=2,$D467*INDEX('Ajustes'!$C$5:$C$6,MATCH($C467,'Ajustes'!$A$5:$A$8,0)),IF(MATCH($C467,'Ajustes'!$A$5:$A$8,0)=3,-($D467+$E467*INDEX('Equipo'!$B$5:$B$29,MATCH($B467,'Equipo'!$A$5:$A$29,0))),0))),"")</f>
        <v/>
      </c>
      <c r="H467" s="25">
        <f>IFERROR(IF(OR($B467="",$C467=""),"",IF(MATCH($C467,'Ajustes'!$A$5:$A$8,0)=4,$D467/INDEX('Equipo'!$B$5:$B$29,MATCH($B467,'Equipo'!$A$5:$A$29,0))+$E467,0)),"")</f>
        <v/>
      </c>
      <c r="I467" s="26">
        <f>IF($B467='Perfil'!$B$3,COUNTIF($B$4:$B467,'Perfil'!$B$3),"")</f>
        <v/>
      </c>
    </row>
    <row r="468">
      <c r="A468" s="22" t="n"/>
      <c r="B468" s="23" t="n"/>
      <c r="C468" s="23" t="n"/>
      <c r="D468" s="24" t="n"/>
      <c r="E468" s="24" t="n"/>
      <c r="F468" s="23" t="n"/>
      <c r="G468" s="19">
        <f>IFERROR(IF(OR($B468="",$C468=""),"",IF(MATCH($C468,'Ajustes'!$A$5:$A$8,0)&lt;=2,$D468*INDEX('Ajustes'!$C$5:$C$6,MATCH($C468,'Ajustes'!$A$5:$A$8,0)),IF(MATCH($C468,'Ajustes'!$A$5:$A$8,0)=3,-($D468+$E468*INDEX('Equipo'!$B$5:$B$29,MATCH($B468,'Equipo'!$A$5:$A$29,0))),0))),"")</f>
        <v/>
      </c>
      <c r="H468" s="25">
        <f>IFERROR(IF(OR($B468="",$C468=""),"",IF(MATCH($C468,'Ajustes'!$A$5:$A$8,0)=4,$D468/INDEX('Equipo'!$B$5:$B$29,MATCH($B468,'Equipo'!$A$5:$A$29,0))+$E468,0)),"")</f>
        <v/>
      </c>
      <c r="I468" s="26">
        <f>IF($B468='Perfil'!$B$3,COUNTIF($B$4:$B468,'Perfil'!$B$3),"")</f>
        <v/>
      </c>
    </row>
    <row r="469">
      <c r="A469" s="22" t="n"/>
      <c r="B469" s="23" t="n"/>
      <c r="C469" s="23" t="n"/>
      <c r="D469" s="24" t="n"/>
      <c r="E469" s="24" t="n"/>
      <c r="F469" s="23" t="n"/>
      <c r="G469" s="19">
        <f>IFERROR(IF(OR($B469="",$C469=""),"",IF(MATCH($C469,'Ajustes'!$A$5:$A$8,0)&lt;=2,$D469*INDEX('Ajustes'!$C$5:$C$6,MATCH($C469,'Ajustes'!$A$5:$A$8,0)),IF(MATCH($C469,'Ajustes'!$A$5:$A$8,0)=3,-($D469+$E469*INDEX('Equipo'!$B$5:$B$29,MATCH($B469,'Equipo'!$A$5:$A$29,0))),0))),"")</f>
        <v/>
      </c>
      <c r="H469" s="25">
        <f>IFERROR(IF(OR($B469="",$C469=""),"",IF(MATCH($C469,'Ajustes'!$A$5:$A$8,0)=4,$D469/INDEX('Equipo'!$B$5:$B$29,MATCH($B469,'Equipo'!$A$5:$A$29,0))+$E469,0)),"")</f>
        <v/>
      </c>
      <c r="I469" s="26">
        <f>IF($B469='Perfil'!$B$3,COUNTIF($B$4:$B469,'Perfil'!$B$3),"")</f>
        <v/>
      </c>
    </row>
    <row r="470">
      <c r="A470" s="22" t="n"/>
      <c r="B470" s="23" t="n"/>
      <c r="C470" s="23" t="n"/>
      <c r="D470" s="24" t="n"/>
      <c r="E470" s="24" t="n"/>
      <c r="F470" s="23" t="n"/>
      <c r="G470" s="19">
        <f>IFERROR(IF(OR($B470="",$C470=""),"",IF(MATCH($C470,'Ajustes'!$A$5:$A$8,0)&lt;=2,$D470*INDEX('Ajustes'!$C$5:$C$6,MATCH($C470,'Ajustes'!$A$5:$A$8,0)),IF(MATCH($C470,'Ajustes'!$A$5:$A$8,0)=3,-($D470+$E470*INDEX('Equipo'!$B$5:$B$29,MATCH($B470,'Equipo'!$A$5:$A$29,0))),0))),"")</f>
        <v/>
      </c>
      <c r="H470" s="25">
        <f>IFERROR(IF(OR($B470="",$C470=""),"",IF(MATCH($C470,'Ajustes'!$A$5:$A$8,0)=4,$D470/INDEX('Equipo'!$B$5:$B$29,MATCH($B470,'Equipo'!$A$5:$A$29,0))+$E470,0)),"")</f>
        <v/>
      </c>
      <c r="I470" s="26">
        <f>IF($B470='Perfil'!$B$3,COUNTIF($B$4:$B470,'Perfil'!$B$3),"")</f>
        <v/>
      </c>
    </row>
    <row r="471">
      <c r="A471" s="22" t="n"/>
      <c r="B471" s="23" t="n"/>
      <c r="C471" s="23" t="n"/>
      <c r="D471" s="24" t="n"/>
      <c r="E471" s="24" t="n"/>
      <c r="F471" s="23" t="n"/>
      <c r="G471" s="19">
        <f>IFERROR(IF(OR($B471="",$C471=""),"",IF(MATCH($C471,'Ajustes'!$A$5:$A$8,0)&lt;=2,$D471*INDEX('Ajustes'!$C$5:$C$6,MATCH($C471,'Ajustes'!$A$5:$A$8,0)),IF(MATCH($C471,'Ajustes'!$A$5:$A$8,0)=3,-($D471+$E471*INDEX('Equipo'!$B$5:$B$29,MATCH($B471,'Equipo'!$A$5:$A$29,0))),0))),"")</f>
        <v/>
      </c>
      <c r="H471" s="25">
        <f>IFERROR(IF(OR($B471="",$C471=""),"",IF(MATCH($C471,'Ajustes'!$A$5:$A$8,0)=4,$D471/INDEX('Equipo'!$B$5:$B$29,MATCH($B471,'Equipo'!$A$5:$A$29,0))+$E471,0)),"")</f>
        <v/>
      </c>
      <c r="I471" s="26">
        <f>IF($B471='Perfil'!$B$3,COUNTIF($B$4:$B471,'Perfil'!$B$3),"")</f>
        <v/>
      </c>
    </row>
    <row r="472">
      <c r="A472" s="22" t="n"/>
      <c r="B472" s="23" t="n"/>
      <c r="C472" s="23" t="n"/>
      <c r="D472" s="24" t="n"/>
      <c r="E472" s="24" t="n"/>
      <c r="F472" s="23" t="n"/>
      <c r="G472" s="19">
        <f>IFERROR(IF(OR($B472="",$C472=""),"",IF(MATCH($C472,'Ajustes'!$A$5:$A$8,0)&lt;=2,$D472*INDEX('Ajustes'!$C$5:$C$6,MATCH($C472,'Ajustes'!$A$5:$A$8,0)),IF(MATCH($C472,'Ajustes'!$A$5:$A$8,0)=3,-($D472+$E472*INDEX('Equipo'!$B$5:$B$29,MATCH($B472,'Equipo'!$A$5:$A$29,0))),0))),"")</f>
        <v/>
      </c>
      <c r="H472" s="25">
        <f>IFERROR(IF(OR($B472="",$C472=""),"",IF(MATCH($C472,'Ajustes'!$A$5:$A$8,0)=4,$D472/INDEX('Equipo'!$B$5:$B$29,MATCH($B472,'Equipo'!$A$5:$A$29,0))+$E472,0)),"")</f>
        <v/>
      </c>
      <c r="I472" s="26">
        <f>IF($B472='Perfil'!$B$3,COUNTIF($B$4:$B472,'Perfil'!$B$3),"")</f>
        <v/>
      </c>
    </row>
    <row r="473">
      <c r="A473" s="22" t="n"/>
      <c r="B473" s="23" t="n"/>
      <c r="C473" s="23" t="n"/>
      <c r="D473" s="24" t="n"/>
      <c r="E473" s="24" t="n"/>
      <c r="F473" s="23" t="n"/>
      <c r="G473" s="19">
        <f>IFERROR(IF(OR($B473="",$C473=""),"",IF(MATCH($C473,'Ajustes'!$A$5:$A$8,0)&lt;=2,$D473*INDEX('Ajustes'!$C$5:$C$6,MATCH($C473,'Ajustes'!$A$5:$A$8,0)),IF(MATCH($C473,'Ajustes'!$A$5:$A$8,0)=3,-($D473+$E473*INDEX('Equipo'!$B$5:$B$29,MATCH($B473,'Equipo'!$A$5:$A$29,0))),0))),"")</f>
        <v/>
      </c>
      <c r="H473" s="25">
        <f>IFERROR(IF(OR($B473="",$C473=""),"",IF(MATCH($C473,'Ajustes'!$A$5:$A$8,0)=4,$D473/INDEX('Equipo'!$B$5:$B$29,MATCH($B473,'Equipo'!$A$5:$A$29,0))+$E473,0)),"")</f>
        <v/>
      </c>
      <c r="I473" s="26">
        <f>IF($B473='Perfil'!$B$3,COUNTIF($B$4:$B473,'Perfil'!$B$3),"")</f>
        <v/>
      </c>
    </row>
    <row r="474">
      <c r="A474" s="22" t="n"/>
      <c r="B474" s="23" t="n"/>
      <c r="C474" s="23" t="n"/>
      <c r="D474" s="24" t="n"/>
      <c r="E474" s="24" t="n"/>
      <c r="F474" s="23" t="n"/>
      <c r="G474" s="19">
        <f>IFERROR(IF(OR($B474="",$C474=""),"",IF(MATCH($C474,'Ajustes'!$A$5:$A$8,0)&lt;=2,$D474*INDEX('Ajustes'!$C$5:$C$6,MATCH($C474,'Ajustes'!$A$5:$A$8,0)),IF(MATCH($C474,'Ajustes'!$A$5:$A$8,0)=3,-($D474+$E474*INDEX('Equipo'!$B$5:$B$29,MATCH($B474,'Equipo'!$A$5:$A$29,0))),0))),"")</f>
        <v/>
      </c>
      <c r="H474" s="25">
        <f>IFERROR(IF(OR($B474="",$C474=""),"",IF(MATCH($C474,'Ajustes'!$A$5:$A$8,0)=4,$D474/INDEX('Equipo'!$B$5:$B$29,MATCH($B474,'Equipo'!$A$5:$A$29,0))+$E474,0)),"")</f>
        <v/>
      </c>
      <c r="I474" s="26">
        <f>IF($B474='Perfil'!$B$3,COUNTIF($B$4:$B474,'Perfil'!$B$3),"")</f>
        <v/>
      </c>
    </row>
    <row r="475">
      <c r="A475" s="22" t="n"/>
      <c r="B475" s="23" t="n"/>
      <c r="C475" s="23" t="n"/>
      <c r="D475" s="24" t="n"/>
      <c r="E475" s="24" t="n"/>
      <c r="F475" s="23" t="n"/>
      <c r="G475" s="19">
        <f>IFERROR(IF(OR($B475="",$C475=""),"",IF(MATCH($C475,'Ajustes'!$A$5:$A$8,0)&lt;=2,$D475*INDEX('Ajustes'!$C$5:$C$6,MATCH($C475,'Ajustes'!$A$5:$A$8,0)),IF(MATCH($C475,'Ajustes'!$A$5:$A$8,0)=3,-($D475+$E475*INDEX('Equipo'!$B$5:$B$29,MATCH($B475,'Equipo'!$A$5:$A$29,0))),0))),"")</f>
        <v/>
      </c>
      <c r="H475" s="25">
        <f>IFERROR(IF(OR($B475="",$C475=""),"",IF(MATCH($C475,'Ajustes'!$A$5:$A$8,0)=4,$D475/INDEX('Equipo'!$B$5:$B$29,MATCH($B475,'Equipo'!$A$5:$A$29,0))+$E475,0)),"")</f>
        <v/>
      </c>
      <c r="I475" s="26">
        <f>IF($B475='Perfil'!$B$3,COUNTIF($B$4:$B475,'Perfil'!$B$3),"")</f>
        <v/>
      </c>
    </row>
    <row r="476">
      <c r="A476" s="22" t="n"/>
      <c r="B476" s="23" t="n"/>
      <c r="C476" s="23" t="n"/>
      <c r="D476" s="24" t="n"/>
      <c r="E476" s="24" t="n"/>
      <c r="F476" s="23" t="n"/>
      <c r="G476" s="19">
        <f>IFERROR(IF(OR($B476="",$C476=""),"",IF(MATCH($C476,'Ajustes'!$A$5:$A$8,0)&lt;=2,$D476*INDEX('Ajustes'!$C$5:$C$6,MATCH($C476,'Ajustes'!$A$5:$A$8,0)),IF(MATCH($C476,'Ajustes'!$A$5:$A$8,0)=3,-($D476+$E476*INDEX('Equipo'!$B$5:$B$29,MATCH($B476,'Equipo'!$A$5:$A$29,0))),0))),"")</f>
        <v/>
      </c>
      <c r="H476" s="25">
        <f>IFERROR(IF(OR($B476="",$C476=""),"",IF(MATCH($C476,'Ajustes'!$A$5:$A$8,0)=4,$D476/INDEX('Equipo'!$B$5:$B$29,MATCH($B476,'Equipo'!$A$5:$A$29,0))+$E476,0)),"")</f>
        <v/>
      </c>
      <c r="I476" s="26">
        <f>IF($B476='Perfil'!$B$3,COUNTIF($B$4:$B476,'Perfil'!$B$3),"")</f>
        <v/>
      </c>
    </row>
    <row r="477">
      <c r="A477" s="22" t="n"/>
      <c r="B477" s="23" t="n"/>
      <c r="C477" s="23" t="n"/>
      <c r="D477" s="24" t="n"/>
      <c r="E477" s="24" t="n"/>
      <c r="F477" s="23" t="n"/>
      <c r="G477" s="19">
        <f>IFERROR(IF(OR($B477="",$C477=""),"",IF(MATCH($C477,'Ajustes'!$A$5:$A$8,0)&lt;=2,$D477*INDEX('Ajustes'!$C$5:$C$6,MATCH($C477,'Ajustes'!$A$5:$A$8,0)),IF(MATCH($C477,'Ajustes'!$A$5:$A$8,0)=3,-($D477+$E477*INDEX('Equipo'!$B$5:$B$29,MATCH($B477,'Equipo'!$A$5:$A$29,0))),0))),"")</f>
        <v/>
      </c>
      <c r="H477" s="25">
        <f>IFERROR(IF(OR($B477="",$C477=""),"",IF(MATCH($C477,'Ajustes'!$A$5:$A$8,0)=4,$D477/INDEX('Equipo'!$B$5:$B$29,MATCH($B477,'Equipo'!$A$5:$A$29,0))+$E477,0)),"")</f>
        <v/>
      </c>
      <c r="I477" s="26">
        <f>IF($B477='Perfil'!$B$3,COUNTIF($B$4:$B477,'Perfil'!$B$3),"")</f>
        <v/>
      </c>
    </row>
    <row r="478">
      <c r="A478" s="22" t="n"/>
      <c r="B478" s="23" t="n"/>
      <c r="C478" s="23" t="n"/>
      <c r="D478" s="24" t="n"/>
      <c r="E478" s="24" t="n"/>
      <c r="F478" s="23" t="n"/>
      <c r="G478" s="19">
        <f>IFERROR(IF(OR($B478="",$C478=""),"",IF(MATCH($C478,'Ajustes'!$A$5:$A$8,0)&lt;=2,$D478*INDEX('Ajustes'!$C$5:$C$6,MATCH($C478,'Ajustes'!$A$5:$A$8,0)),IF(MATCH($C478,'Ajustes'!$A$5:$A$8,0)=3,-($D478+$E478*INDEX('Equipo'!$B$5:$B$29,MATCH($B478,'Equipo'!$A$5:$A$29,0))),0))),"")</f>
        <v/>
      </c>
      <c r="H478" s="25">
        <f>IFERROR(IF(OR($B478="",$C478=""),"",IF(MATCH($C478,'Ajustes'!$A$5:$A$8,0)=4,$D478/INDEX('Equipo'!$B$5:$B$29,MATCH($B478,'Equipo'!$A$5:$A$29,0))+$E478,0)),"")</f>
        <v/>
      </c>
      <c r="I478" s="26">
        <f>IF($B478='Perfil'!$B$3,COUNTIF($B$4:$B478,'Perfil'!$B$3),"")</f>
        <v/>
      </c>
    </row>
    <row r="479">
      <c r="A479" s="22" t="n"/>
      <c r="B479" s="23" t="n"/>
      <c r="C479" s="23" t="n"/>
      <c r="D479" s="24" t="n"/>
      <c r="E479" s="24" t="n"/>
      <c r="F479" s="23" t="n"/>
      <c r="G479" s="19">
        <f>IFERROR(IF(OR($B479="",$C479=""),"",IF(MATCH($C479,'Ajustes'!$A$5:$A$8,0)&lt;=2,$D479*INDEX('Ajustes'!$C$5:$C$6,MATCH($C479,'Ajustes'!$A$5:$A$8,0)),IF(MATCH($C479,'Ajustes'!$A$5:$A$8,0)=3,-($D479+$E479*INDEX('Equipo'!$B$5:$B$29,MATCH($B479,'Equipo'!$A$5:$A$29,0))),0))),"")</f>
        <v/>
      </c>
      <c r="H479" s="25">
        <f>IFERROR(IF(OR($B479="",$C479=""),"",IF(MATCH($C479,'Ajustes'!$A$5:$A$8,0)=4,$D479/INDEX('Equipo'!$B$5:$B$29,MATCH($B479,'Equipo'!$A$5:$A$29,0))+$E479,0)),"")</f>
        <v/>
      </c>
      <c r="I479" s="26">
        <f>IF($B479='Perfil'!$B$3,COUNTIF($B$4:$B479,'Perfil'!$B$3),"")</f>
        <v/>
      </c>
    </row>
    <row r="480">
      <c r="A480" s="22" t="n"/>
      <c r="B480" s="23" t="n"/>
      <c r="C480" s="23" t="n"/>
      <c r="D480" s="24" t="n"/>
      <c r="E480" s="24" t="n"/>
      <c r="F480" s="23" t="n"/>
      <c r="G480" s="19">
        <f>IFERROR(IF(OR($B480="",$C480=""),"",IF(MATCH($C480,'Ajustes'!$A$5:$A$8,0)&lt;=2,$D480*INDEX('Ajustes'!$C$5:$C$6,MATCH($C480,'Ajustes'!$A$5:$A$8,0)),IF(MATCH($C480,'Ajustes'!$A$5:$A$8,0)=3,-($D480+$E480*INDEX('Equipo'!$B$5:$B$29,MATCH($B480,'Equipo'!$A$5:$A$29,0))),0))),"")</f>
        <v/>
      </c>
      <c r="H480" s="25">
        <f>IFERROR(IF(OR($B480="",$C480=""),"",IF(MATCH($C480,'Ajustes'!$A$5:$A$8,0)=4,$D480/INDEX('Equipo'!$B$5:$B$29,MATCH($B480,'Equipo'!$A$5:$A$29,0))+$E480,0)),"")</f>
        <v/>
      </c>
      <c r="I480" s="26">
        <f>IF($B480='Perfil'!$B$3,COUNTIF($B$4:$B480,'Perfil'!$B$3),"")</f>
        <v/>
      </c>
    </row>
    <row r="481">
      <c r="A481" s="22" t="n"/>
      <c r="B481" s="23" t="n"/>
      <c r="C481" s="23" t="n"/>
      <c r="D481" s="24" t="n"/>
      <c r="E481" s="24" t="n"/>
      <c r="F481" s="23" t="n"/>
      <c r="G481" s="19">
        <f>IFERROR(IF(OR($B481="",$C481=""),"",IF(MATCH($C481,'Ajustes'!$A$5:$A$8,0)&lt;=2,$D481*INDEX('Ajustes'!$C$5:$C$6,MATCH($C481,'Ajustes'!$A$5:$A$8,0)),IF(MATCH($C481,'Ajustes'!$A$5:$A$8,0)=3,-($D481+$E481*INDEX('Equipo'!$B$5:$B$29,MATCH($B481,'Equipo'!$A$5:$A$29,0))),0))),"")</f>
        <v/>
      </c>
      <c r="H481" s="25">
        <f>IFERROR(IF(OR($B481="",$C481=""),"",IF(MATCH($C481,'Ajustes'!$A$5:$A$8,0)=4,$D481/INDEX('Equipo'!$B$5:$B$29,MATCH($B481,'Equipo'!$A$5:$A$29,0))+$E481,0)),"")</f>
        <v/>
      </c>
      <c r="I481" s="26">
        <f>IF($B481='Perfil'!$B$3,COUNTIF($B$4:$B481,'Perfil'!$B$3),"")</f>
        <v/>
      </c>
    </row>
    <row r="482">
      <c r="A482" s="22" t="n"/>
      <c r="B482" s="23" t="n"/>
      <c r="C482" s="23" t="n"/>
      <c r="D482" s="24" t="n"/>
      <c r="E482" s="24" t="n"/>
      <c r="F482" s="23" t="n"/>
      <c r="G482" s="19">
        <f>IFERROR(IF(OR($B482="",$C482=""),"",IF(MATCH($C482,'Ajustes'!$A$5:$A$8,0)&lt;=2,$D482*INDEX('Ajustes'!$C$5:$C$6,MATCH($C482,'Ajustes'!$A$5:$A$8,0)),IF(MATCH($C482,'Ajustes'!$A$5:$A$8,0)=3,-($D482+$E482*INDEX('Equipo'!$B$5:$B$29,MATCH($B482,'Equipo'!$A$5:$A$29,0))),0))),"")</f>
        <v/>
      </c>
      <c r="H482" s="25">
        <f>IFERROR(IF(OR($B482="",$C482=""),"",IF(MATCH($C482,'Ajustes'!$A$5:$A$8,0)=4,$D482/INDEX('Equipo'!$B$5:$B$29,MATCH($B482,'Equipo'!$A$5:$A$29,0))+$E482,0)),"")</f>
        <v/>
      </c>
      <c r="I482" s="26">
        <f>IF($B482='Perfil'!$B$3,COUNTIF($B$4:$B482,'Perfil'!$B$3),"")</f>
        <v/>
      </c>
    </row>
    <row r="483">
      <c r="A483" s="22" t="n"/>
      <c r="B483" s="23" t="n"/>
      <c r="C483" s="23" t="n"/>
      <c r="D483" s="24" t="n"/>
      <c r="E483" s="24" t="n"/>
      <c r="F483" s="23" t="n"/>
      <c r="G483" s="19">
        <f>IFERROR(IF(OR($B483="",$C483=""),"",IF(MATCH($C483,'Ajustes'!$A$5:$A$8,0)&lt;=2,$D483*INDEX('Ajustes'!$C$5:$C$6,MATCH($C483,'Ajustes'!$A$5:$A$8,0)),IF(MATCH($C483,'Ajustes'!$A$5:$A$8,0)=3,-($D483+$E483*INDEX('Equipo'!$B$5:$B$29,MATCH($B483,'Equipo'!$A$5:$A$29,0))),0))),"")</f>
        <v/>
      </c>
      <c r="H483" s="25">
        <f>IFERROR(IF(OR($B483="",$C483=""),"",IF(MATCH($C483,'Ajustes'!$A$5:$A$8,0)=4,$D483/INDEX('Equipo'!$B$5:$B$29,MATCH($B483,'Equipo'!$A$5:$A$29,0))+$E483,0)),"")</f>
        <v/>
      </c>
      <c r="I483" s="26">
        <f>IF($B483='Perfil'!$B$3,COUNTIF($B$4:$B483,'Perfil'!$B$3),"")</f>
        <v/>
      </c>
    </row>
    <row r="484">
      <c r="A484" s="22" t="n"/>
      <c r="B484" s="23" t="n"/>
      <c r="C484" s="23" t="n"/>
      <c r="D484" s="24" t="n"/>
      <c r="E484" s="24" t="n"/>
      <c r="F484" s="23" t="n"/>
      <c r="G484" s="19">
        <f>IFERROR(IF(OR($B484="",$C484=""),"",IF(MATCH($C484,'Ajustes'!$A$5:$A$8,0)&lt;=2,$D484*INDEX('Ajustes'!$C$5:$C$6,MATCH($C484,'Ajustes'!$A$5:$A$8,0)),IF(MATCH($C484,'Ajustes'!$A$5:$A$8,0)=3,-($D484+$E484*INDEX('Equipo'!$B$5:$B$29,MATCH($B484,'Equipo'!$A$5:$A$29,0))),0))),"")</f>
        <v/>
      </c>
      <c r="H484" s="25">
        <f>IFERROR(IF(OR($B484="",$C484=""),"",IF(MATCH($C484,'Ajustes'!$A$5:$A$8,0)=4,$D484/INDEX('Equipo'!$B$5:$B$29,MATCH($B484,'Equipo'!$A$5:$A$29,0))+$E484,0)),"")</f>
        <v/>
      </c>
      <c r="I484" s="26">
        <f>IF($B484='Perfil'!$B$3,COUNTIF($B$4:$B484,'Perfil'!$B$3),"")</f>
        <v/>
      </c>
    </row>
    <row r="485">
      <c r="A485" s="22" t="n"/>
      <c r="B485" s="23" t="n"/>
      <c r="C485" s="23" t="n"/>
      <c r="D485" s="24" t="n"/>
      <c r="E485" s="24" t="n"/>
      <c r="F485" s="23" t="n"/>
      <c r="G485" s="19">
        <f>IFERROR(IF(OR($B485="",$C485=""),"",IF(MATCH($C485,'Ajustes'!$A$5:$A$8,0)&lt;=2,$D485*INDEX('Ajustes'!$C$5:$C$6,MATCH($C485,'Ajustes'!$A$5:$A$8,0)),IF(MATCH($C485,'Ajustes'!$A$5:$A$8,0)=3,-($D485+$E485*INDEX('Equipo'!$B$5:$B$29,MATCH($B485,'Equipo'!$A$5:$A$29,0))),0))),"")</f>
        <v/>
      </c>
      <c r="H485" s="25">
        <f>IFERROR(IF(OR($B485="",$C485=""),"",IF(MATCH($C485,'Ajustes'!$A$5:$A$8,0)=4,$D485/INDEX('Equipo'!$B$5:$B$29,MATCH($B485,'Equipo'!$A$5:$A$29,0))+$E485,0)),"")</f>
        <v/>
      </c>
      <c r="I485" s="26">
        <f>IF($B485='Perfil'!$B$3,COUNTIF($B$4:$B485,'Perfil'!$B$3),"")</f>
        <v/>
      </c>
    </row>
    <row r="486">
      <c r="A486" s="22" t="n"/>
      <c r="B486" s="23" t="n"/>
      <c r="C486" s="23" t="n"/>
      <c r="D486" s="24" t="n"/>
      <c r="E486" s="24" t="n"/>
      <c r="F486" s="23" t="n"/>
      <c r="G486" s="19">
        <f>IFERROR(IF(OR($B486="",$C486=""),"",IF(MATCH($C486,'Ajustes'!$A$5:$A$8,0)&lt;=2,$D486*INDEX('Ajustes'!$C$5:$C$6,MATCH($C486,'Ajustes'!$A$5:$A$8,0)),IF(MATCH($C486,'Ajustes'!$A$5:$A$8,0)=3,-($D486+$E486*INDEX('Equipo'!$B$5:$B$29,MATCH($B486,'Equipo'!$A$5:$A$29,0))),0))),"")</f>
        <v/>
      </c>
      <c r="H486" s="25">
        <f>IFERROR(IF(OR($B486="",$C486=""),"",IF(MATCH($C486,'Ajustes'!$A$5:$A$8,0)=4,$D486/INDEX('Equipo'!$B$5:$B$29,MATCH($B486,'Equipo'!$A$5:$A$29,0))+$E486,0)),"")</f>
        <v/>
      </c>
      <c r="I486" s="26">
        <f>IF($B486='Perfil'!$B$3,COUNTIF($B$4:$B486,'Perfil'!$B$3),"")</f>
        <v/>
      </c>
    </row>
    <row r="487">
      <c r="A487" s="22" t="n"/>
      <c r="B487" s="23" t="n"/>
      <c r="C487" s="23" t="n"/>
      <c r="D487" s="24" t="n"/>
      <c r="E487" s="24" t="n"/>
      <c r="F487" s="23" t="n"/>
      <c r="G487" s="19">
        <f>IFERROR(IF(OR($B487="",$C487=""),"",IF(MATCH($C487,'Ajustes'!$A$5:$A$8,0)&lt;=2,$D487*INDEX('Ajustes'!$C$5:$C$6,MATCH($C487,'Ajustes'!$A$5:$A$8,0)),IF(MATCH($C487,'Ajustes'!$A$5:$A$8,0)=3,-($D487+$E487*INDEX('Equipo'!$B$5:$B$29,MATCH($B487,'Equipo'!$A$5:$A$29,0))),0))),"")</f>
        <v/>
      </c>
      <c r="H487" s="25">
        <f>IFERROR(IF(OR($B487="",$C487=""),"",IF(MATCH($C487,'Ajustes'!$A$5:$A$8,0)=4,$D487/INDEX('Equipo'!$B$5:$B$29,MATCH($B487,'Equipo'!$A$5:$A$29,0))+$E487,0)),"")</f>
        <v/>
      </c>
      <c r="I487" s="26">
        <f>IF($B487='Perfil'!$B$3,COUNTIF($B$4:$B487,'Perfil'!$B$3),"")</f>
        <v/>
      </c>
    </row>
    <row r="488">
      <c r="A488" s="22" t="n"/>
      <c r="B488" s="23" t="n"/>
      <c r="C488" s="23" t="n"/>
      <c r="D488" s="24" t="n"/>
      <c r="E488" s="24" t="n"/>
      <c r="F488" s="23" t="n"/>
      <c r="G488" s="19">
        <f>IFERROR(IF(OR($B488="",$C488=""),"",IF(MATCH($C488,'Ajustes'!$A$5:$A$8,0)&lt;=2,$D488*INDEX('Ajustes'!$C$5:$C$6,MATCH($C488,'Ajustes'!$A$5:$A$8,0)),IF(MATCH($C488,'Ajustes'!$A$5:$A$8,0)=3,-($D488+$E488*INDEX('Equipo'!$B$5:$B$29,MATCH($B488,'Equipo'!$A$5:$A$29,0))),0))),"")</f>
        <v/>
      </c>
      <c r="H488" s="25">
        <f>IFERROR(IF(OR($B488="",$C488=""),"",IF(MATCH($C488,'Ajustes'!$A$5:$A$8,0)=4,$D488/INDEX('Equipo'!$B$5:$B$29,MATCH($B488,'Equipo'!$A$5:$A$29,0))+$E488,0)),"")</f>
        <v/>
      </c>
      <c r="I488" s="26">
        <f>IF($B488='Perfil'!$B$3,COUNTIF($B$4:$B488,'Perfil'!$B$3),"")</f>
        <v/>
      </c>
    </row>
    <row r="489">
      <c r="A489" s="22" t="n"/>
      <c r="B489" s="23" t="n"/>
      <c r="C489" s="23" t="n"/>
      <c r="D489" s="24" t="n"/>
      <c r="E489" s="24" t="n"/>
      <c r="F489" s="23" t="n"/>
      <c r="G489" s="19">
        <f>IFERROR(IF(OR($B489="",$C489=""),"",IF(MATCH($C489,'Ajustes'!$A$5:$A$8,0)&lt;=2,$D489*INDEX('Ajustes'!$C$5:$C$6,MATCH($C489,'Ajustes'!$A$5:$A$8,0)),IF(MATCH($C489,'Ajustes'!$A$5:$A$8,0)=3,-($D489+$E489*INDEX('Equipo'!$B$5:$B$29,MATCH($B489,'Equipo'!$A$5:$A$29,0))),0))),"")</f>
        <v/>
      </c>
      <c r="H489" s="25">
        <f>IFERROR(IF(OR($B489="",$C489=""),"",IF(MATCH($C489,'Ajustes'!$A$5:$A$8,0)=4,$D489/INDEX('Equipo'!$B$5:$B$29,MATCH($B489,'Equipo'!$A$5:$A$29,0))+$E489,0)),"")</f>
        <v/>
      </c>
      <c r="I489" s="26">
        <f>IF($B489='Perfil'!$B$3,COUNTIF($B$4:$B489,'Perfil'!$B$3),"")</f>
        <v/>
      </c>
    </row>
    <row r="490">
      <c r="A490" s="22" t="n"/>
      <c r="B490" s="23" t="n"/>
      <c r="C490" s="23" t="n"/>
      <c r="D490" s="24" t="n"/>
      <c r="E490" s="24" t="n"/>
      <c r="F490" s="23" t="n"/>
      <c r="G490" s="19">
        <f>IFERROR(IF(OR($B490="",$C490=""),"",IF(MATCH($C490,'Ajustes'!$A$5:$A$8,0)&lt;=2,$D490*INDEX('Ajustes'!$C$5:$C$6,MATCH($C490,'Ajustes'!$A$5:$A$8,0)),IF(MATCH($C490,'Ajustes'!$A$5:$A$8,0)=3,-($D490+$E490*INDEX('Equipo'!$B$5:$B$29,MATCH($B490,'Equipo'!$A$5:$A$29,0))),0))),"")</f>
        <v/>
      </c>
      <c r="H490" s="25">
        <f>IFERROR(IF(OR($B490="",$C490=""),"",IF(MATCH($C490,'Ajustes'!$A$5:$A$8,0)=4,$D490/INDEX('Equipo'!$B$5:$B$29,MATCH($B490,'Equipo'!$A$5:$A$29,0))+$E490,0)),"")</f>
        <v/>
      </c>
      <c r="I490" s="26">
        <f>IF($B490='Perfil'!$B$3,COUNTIF($B$4:$B490,'Perfil'!$B$3),"")</f>
        <v/>
      </c>
    </row>
    <row r="491">
      <c r="A491" s="22" t="n"/>
      <c r="B491" s="23" t="n"/>
      <c r="C491" s="23" t="n"/>
      <c r="D491" s="24" t="n"/>
      <c r="E491" s="24" t="n"/>
      <c r="F491" s="23" t="n"/>
      <c r="G491" s="19">
        <f>IFERROR(IF(OR($B491="",$C491=""),"",IF(MATCH($C491,'Ajustes'!$A$5:$A$8,0)&lt;=2,$D491*INDEX('Ajustes'!$C$5:$C$6,MATCH($C491,'Ajustes'!$A$5:$A$8,0)),IF(MATCH($C491,'Ajustes'!$A$5:$A$8,0)=3,-($D491+$E491*INDEX('Equipo'!$B$5:$B$29,MATCH($B491,'Equipo'!$A$5:$A$29,0))),0))),"")</f>
        <v/>
      </c>
      <c r="H491" s="25">
        <f>IFERROR(IF(OR($B491="",$C491=""),"",IF(MATCH($C491,'Ajustes'!$A$5:$A$8,0)=4,$D491/INDEX('Equipo'!$B$5:$B$29,MATCH($B491,'Equipo'!$A$5:$A$29,0))+$E491,0)),"")</f>
        <v/>
      </c>
      <c r="I491" s="26">
        <f>IF($B491='Perfil'!$B$3,COUNTIF($B$4:$B491,'Perfil'!$B$3),"")</f>
        <v/>
      </c>
    </row>
    <row r="492">
      <c r="A492" s="22" t="n"/>
      <c r="B492" s="23" t="n"/>
      <c r="C492" s="23" t="n"/>
      <c r="D492" s="24" t="n"/>
      <c r="E492" s="24" t="n"/>
      <c r="F492" s="23" t="n"/>
      <c r="G492" s="19">
        <f>IFERROR(IF(OR($B492="",$C492=""),"",IF(MATCH($C492,'Ajustes'!$A$5:$A$8,0)&lt;=2,$D492*INDEX('Ajustes'!$C$5:$C$6,MATCH($C492,'Ajustes'!$A$5:$A$8,0)),IF(MATCH($C492,'Ajustes'!$A$5:$A$8,0)=3,-($D492+$E492*INDEX('Equipo'!$B$5:$B$29,MATCH($B492,'Equipo'!$A$5:$A$29,0))),0))),"")</f>
        <v/>
      </c>
      <c r="H492" s="25">
        <f>IFERROR(IF(OR($B492="",$C492=""),"",IF(MATCH($C492,'Ajustes'!$A$5:$A$8,0)=4,$D492/INDEX('Equipo'!$B$5:$B$29,MATCH($B492,'Equipo'!$A$5:$A$29,0))+$E492,0)),"")</f>
        <v/>
      </c>
      <c r="I492" s="26">
        <f>IF($B492='Perfil'!$B$3,COUNTIF($B$4:$B492,'Perfil'!$B$3),"")</f>
        <v/>
      </c>
    </row>
    <row r="493">
      <c r="A493" s="22" t="n"/>
      <c r="B493" s="23" t="n"/>
      <c r="C493" s="23" t="n"/>
      <c r="D493" s="24" t="n"/>
      <c r="E493" s="24" t="n"/>
      <c r="F493" s="23" t="n"/>
      <c r="G493" s="19">
        <f>IFERROR(IF(OR($B493="",$C493=""),"",IF(MATCH($C493,'Ajustes'!$A$5:$A$8,0)&lt;=2,$D493*INDEX('Ajustes'!$C$5:$C$6,MATCH($C493,'Ajustes'!$A$5:$A$8,0)),IF(MATCH($C493,'Ajustes'!$A$5:$A$8,0)=3,-($D493+$E493*INDEX('Equipo'!$B$5:$B$29,MATCH($B493,'Equipo'!$A$5:$A$29,0))),0))),"")</f>
        <v/>
      </c>
      <c r="H493" s="25">
        <f>IFERROR(IF(OR($B493="",$C493=""),"",IF(MATCH($C493,'Ajustes'!$A$5:$A$8,0)=4,$D493/INDEX('Equipo'!$B$5:$B$29,MATCH($B493,'Equipo'!$A$5:$A$29,0))+$E493,0)),"")</f>
        <v/>
      </c>
      <c r="I493" s="26">
        <f>IF($B493='Perfil'!$B$3,COUNTIF($B$4:$B493,'Perfil'!$B$3),"")</f>
        <v/>
      </c>
    </row>
    <row r="494">
      <c r="A494" s="22" t="n"/>
      <c r="B494" s="23" t="n"/>
      <c r="C494" s="23" t="n"/>
      <c r="D494" s="24" t="n"/>
      <c r="E494" s="24" t="n"/>
      <c r="F494" s="23" t="n"/>
      <c r="G494" s="19">
        <f>IFERROR(IF(OR($B494="",$C494=""),"",IF(MATCH($C494,'Ajustes'!$A$5:$A$8,0)&lt;=2,$D494*INDEX('Ajustes'!$C$5:$C$6,MATCH($C494,'Ajustes'!$A$5:$A$8,0)),IF(MATCH($C494,'Ajustes'!$A$5:$A$8,0)=3,-($D494+$E494*INDEX('Equipo'!$B$5:$B$29,MATCH($B494,'Equipo'!$A$5:$A$29,0))),0))),"")</f>
        <v/>
      </c>
      <c r="H494" s="25">
        <f>IFERROR(IF(OR($B494="",$C494=""),"",IF(MATCH($C494,'Ajustes'!$A$5:$A$8,0)=4,$D494/INDEX('Equipo'!$B$5:$B$29,MATCH($B494,'Equipo'!$A$5:$A$29,0))+$E494,0)),"")</f>
        <v/>
      </c>
      <c r="I494" s="26">
        <f>IF($B494='Perfil'!$B$3,COUNTIF($B$4:$B494,'Perfil'!$B$3),"")</f>
        <v/>
      </c>
    </row>
    <row r="495">
      <c r="A495" s="22" t="n"/>
      <c r="B495" s="23" t="n"/>
      <c r="C495" s="23" t="n"/>
      <c r="D495" s="24" t="n"/>
      <c r="E495" s="24" t="n"/>
      <c r="F495" s="23" t="n"/>
      <c r="G495" s="19">
        <f>IFERROR(IF(OR($B495="",$C495=""),"",IF(MATCH($C495,'Ajustes'!$A$5:$A$8,0)&lt;=2,$D495*INDEX('Ajustes'!$C$5:$C$6,MATCH($C495,'Ajustes'!$A$5:$A$8,0)),IF(MATCH($C495,'Ajustes'!$A$5:$A$8,0)=3,-($D495+$E495*INDEX('Equipo'!$B$5:$B$29,MATCH($B495,'Equipo'!$A$5:$A$29,0))),0))),"")</f>
        <v/>
      </c>
      <c r="H495" s="25">
        <f>IFERROR(IF(OR($B495="",$C495=""),"",IF(MATCH($C495,'Ajustes'!$A$5:$A$8,0)=4,$D495/INDEX('Equipo'!$B$5:$B$29,MATCH($B495,'Equipo'!$A$5:$A$29,0))+$E495,0)),"")</f>
        <v/>
      </c>
      <c r="I495" s="26">
        <f>IF($B495='Perfil'!$B$3,COUNTIF($B$4:$B495,'Perfil'!$B$3),"")</f>
        <v/>
      </c>
    </row>
    <row r="496">
      <c r="A496" s="22" t="n"/>
      <c r="B496" s="23" t="n"/>
      <c r="C496" s="23" t="n"/>
      <c r="D496" s="24" t="n"/>
      <c r="E496" s="24" t="n"/>
      <c r="F496" s="23" t="n"/>
      <c r="G496" s="19">
        <f>IFERROR(IF(OR($B496="",$C496=""),"",IF(MATCH($C496,'Ajustes'!$A$5:$A$8,0)&lt;=2,$D496*INDEX('Ajustes'!$C$5:$C$6,MATCH($C496,'Ajustes'!$A$5:$A$8,0)),IF(MATCH($C496,'Ajustes'!$A$5:$A$8,0)=3,-($D496+$E496*INDEX('Equipo'!$B$5:$B$29,MATCH($B496,'Equipo'!$A$5:$A$29,0))),0))),"")</f>
        <v/>
      </c>
      <c r="H496" s="25">
        <f>IFERROR(IF(OR($B496="",$C496=""),"",IF(MATCH($C496,'Ajustes'!$A$5:$A$8,0)=4,$D496/INDEX('Equipo'!$B$5:$B$29,MATCH($B496,'Equipo'!$A$5:$A$29,0))+$E496,0)),"")</f>
        <v/>
      </c>
      <c r="I496" s="26">
        <f>IF($B496='Perfil'!$B$3,COUNTIF($B$4:$B496,'Perfil'!$B$3),"")</f>
        <v/>
      </c>
    </row>
    <row r="497">
      <c r="A497" s="22" t="n"/>
      <c r="B497" s="23" t="n"/>
      <c r="C497" s="23" t="n"/>
      <c r="D497" s="24" t="n"/>
      <c r="E497" s="24" t="n"/>
      <c r="F497" s="23" t="n"/>
      <c r="G497" s="19">
        <f>IFERROR(IF(OR($B497="",$C497=""),"",IF(MATCH($C497,'Ajustes'!$A$5:$A$8,0)&lt;=2,$D497*INDEX('Ajustes'!$C$5:$C$6,MATCH($C497,'Ajustes'!$A$5:$A$8,0)),IF(MATCH($C497,'Ajustes'!$A$5:$A$8,0)=3,-($D497+$E497*INDEX('Equipo'!$B$5:$B$29,MATCH($B497,'Equipo'!$A$5:$A$29,0))),0))),"")</f>
        <v/>
      </c>
      <c r="H497" s="25">
        <f>IFERROR(IF(OR($B497="",$C497=""),"",IF(MATCH($C497,'Ajustes'!$A$5:$A$8,0)=4,$D497/INDEX('Equipo'!$B$5:$B$29,MATCH($B497,'Equipo'!$A$5:$A$29,0))+$E497,0)),"")</f>
        <v/>
      </c>
      <c r="I497" s="26">
        <f>IF($B497='Perfil'!$B$3,COUNTIF($B$4:$B497,'Perfil'!$B$3),"")</f>
        <v/>
      </c>
    </row>
    <row r="498">
      <c r="A498" s="22" t="n"/>
      <c r="B498" s="23" t="n"/>
      <c r="C498" s="23" t="n"/>
      <c r="D498" s="24" t="n"/>
      <c r="E498" s="24" t="n"/>
      <c r="F498" s="23" t="n"/>
      <c r="G498" s="19">
        <f>IFERROR(IF(OR($B498="",$C498=""),"",IF(MATCH($C498,'Ajustes'!$A$5:$A$8,0)&lt;=2,$D498*INDEX('Ajustes'!$C$5:$C$6,MATCH($C498,'Ajustes'!$A$5:$A$8,0)),IF(MATCH($C498,'Ajustes'!$A$5:$A$8,0)=3,-($D498+$E498*INDEX('Equipo'!$B$5:$B$29,MATCH($B498,'Equipo'!$A$5:$A$29,0))),0))),"")</f>
        <v/>
      </c>
      <c r="H498" s="25">
        <f>IFERROR(IF(OR($B498="",$C498=""),"",IF(MATCH($C498,'Ajustes'!$A$5:$A$8,0)=4,$D498/INDEX('Equipo'!$B$5:$B$29,MATCH($B498,'Equipo'!$A$5:$A$29,0))+$E498,0)),"")</f>
        <v/>
      </c>
      <c r="I498" s="26">
        <f>IF($B498='Perfil'!$B$3,COUNTIF($B$4:$B498,'Perfil'!$B$3),"")</f>
        <v/>
      </c>
    </row>
    <row r="499">
      <c r="A499" s="22" t="n"/>
      <c r="B499" s="23" t="n"/>
      <c r="C499" s="23" t="n"/>
      <c r="D499" s="24" t="n"/>
      <c r="E499" s="24" t="n"/>
      <c r="F499" s="23" t="n"/>
      <c r="G499" s="19">
        <f>IFERROR(IF(OR($B499="",$C499=""),"",IF(MATCH($C499,'Ajustes'!$A$5:$A$8,0)&lt;=2,$D499*INDEX('Ajustes'!$C$5:$C$6,MATCH($C499,'Ajustes'!$A$5:$A$8,0)),IF(MATCH($C499,'Ajustes'!$A$5:$A$8,0)=3,-($D499+$E499*INDEX('Equipo'!$B$5:$B$29,MATCH($B499,'Equipo'!$A$5:$A$29,0))),0))),"")</f>
        <v/>
      </c>
      <c r="H499" s="25">
        <f>IFERROR(IF(OR($B499="",$C499=""),"",IF(MATCH($C499,'Ajustes'!$A$5:$A$8,0)=4,$D499/INDEX('Equipo'!$B$5:$B$29,MATCH($B499,'Equipo'!$A$5:$A$29,0))+$E499,0)),"")</f>
        <v/>
      </c>
      <c r="I499" s="26">
        <f>IF($B499='Perfil'!$B$3,COUNTIF($B$4:$B499,'Perfil'!$B$3),"")</f>
        <v/>
      </c>
    </row>
    <row r="500">
      <c r="A500" s="22" t="n"/>
      <c r="B500" s="23" t="n"/>
      <c r="C500" s="23" t="n"/>
      <c r="D500" s="24" t="n"/>
      <c r="E500" s="24" t="n"/>
      <c r="F500" s="23" t="n"/>
      <c r="G500" s="19">
        <f>IFERROR(IF(OR($B500="",$C500=""),"",IF(MATCH($C500,'Ajustes'!$A$5:$A$8,0)&lt;=2,$D500*INDEX('Ajustes'!$C$5:$C$6,MATCH($C500,'Ajustes'!$A$5:$A$8,0)),IF(MATCH($C500,'Ajustes'!$A$5:$A$8,0)=3,-($D500+$E500*INDEX('Equipo'!$B$5:$B$29,MATCH($B500,'Equipo'!$A$5:$A$29,0))),0))),"")</f>
        <v/>
      </c>
      <c r="H500" s="25">
        <f>IFERROR(IF(OR($B500="",$C500=""),"",IF(MATCH($C500,'Ajustes'!$A$5:$A$8,0)=4,$D500/INDEX('Equipo'!$B$5:$B$29,MATCH($B500,'Equipo'!$A$5:$A$29,0))+$E500,0)),"")</f>
        <v/>
      </c>
      <c r="I500" s="26">
        <f>IF($B500='Perfil'!$B$3,COUNTIF($B$4:$B500,'Perfil'!$B$3),"")</f>
        <v/>
      </c>
    </row>
    <row r="501">
      <c r="A501" s="22" t="n"/>
      <c r="B501" s="23" t="n"/>
      <c r="C501" s="23" t="n"/>
      <c r="D501" s="24" t="n"/>
      <c r="E501" s="24" t="n"/>
      <c r="F501" s="23" t="n"/>
      <c r="G501" s="19">
        <f>IFERROR(IF(OR($B501="",$C501=""),"",IF(MATCH($C501,'Ajustes'!$A$5:$A$8,0)&lt;=2,$D501*INDEX('Ajustes'!$C$5:$C$6,MATCH($C501,'Ajustes'!$A$5:$A$8,0)),IF(MATCH($C501,'Ajustes'!$A$5:$A$8,0)=3,-($D501+$E501*INDEX('Equipo'!$B$5:$B$29,MATCH($B501,'Equipo'!$A$5:$A$29,0))),0))),"")</f>
        <v/>
      </c>
      <c r="H501" s="25">
        <f>IFERROR(IF(OR($B501="",$C501=""),"",IF(MATCH($C501,'Ajustes'!$A$5:$A$8,0)=4,$D501/INDEX('Equipo'!$B$5:$B$29,MATCH($B501,'Equipo'!$A$5:$A$29,0))+$E501,0)),"")</f>
        <v/>
      </c>
      <c r="I501" s="26">
        <f>IF($B501='Perfil'!$B$3,COUNTIF($B$4:$B501,'Perfil'!$B$3),"")</f>
        <v/>
      </c>
    </row>
    <row r="502">
      <c r="A502" s="22" t="n"/>
      <c r="B502" s="23" t="n"/>
      <c r="C502" s="23" t="n"/>
      <c r="D502" s="24" t="n"/>
      <c r="E502" s="24" t="n"/>
      <c r="F502" s="23" t="n"/>
      <c r="G502" s="19">
        <f>IFERROR(IF(OR($B502="",$C502=""),"",IF(MATCH($C502,'Ajustes'!$A$5:$A$8,0)&lt;=2,$D502*INDEX('Ajustes'!$C$5:$C$6,MATCH($C502,'Ajustes'!$A$5:$A$8,0)),IF(MATCH($C502,'Ajustes'!$A$5:$A$8,0)=3,-($D502+$E502*INDEX('Equipo'!$B$5:$B$29,MATCH($B502,'Equipo'!$A$5:$A$29,0))),0))),"")</f>
        <v/>
      </c>
      <c r="H502" s="25">
        <f>IFERROR(IF(OR($B502="",$C502=""),"",IF(MATCH($C502,'Ajustes'!$A$5:$A$8,0)=4,$D502/INDEX('Equipo'!$B$5:$B$29,MATCH($B502,'Equipo'!$A$5:$A$29,0))+$E502,0)),"")</f>
        <v/>
      </c>
      <c r="I502" s="26">
        <f>IF($B502='Perfil'!$B$3,COUNTIF($B$4:$B502,'Perfil'!$B$3),"")</f>
        <v/>
      </c>
    </row>
    <row r="503">
      <c r="A503" s="22" t="n"/>
      <c r="B503" s="23" t="n"/>
      <c r="C503" s="23" t="n"/>
      <c r="D503" s="24" t="n"/>
      <c r="E503" s="24" t="n"/>
      <c r="F503" s="23" t="n"/>
      <c r="G503" s="19">
        <f>IFERROR(IF(OR($B503="",$C503=""),"",IF(MATCH($C503,'Ajustes'!$A$5:$A$8,0)&lt;=2,$D503*INDEX('Ajustes'!$C$5:$C$6,MATCH($C503,'Ajustes'!$A$5:$A$8,0)),IF(MATCH($C503,'Ajustes'!$A$5:$A$8,0)=3,-($D503+$E503*INDEX('Equipo'!$B$5:$B$29,MATCH($B503,'Equipo'!$A$5:$A$29,0))),0))),"")</f>
        <v/>
      </c>
      <c r="H503" s="25">
        <f>IFERROR(IF(OR($B503="",$C503=""),"",IF(MATCH($C503,'Ajustes'!$A$5:$A$8,0)=4,$D503/INDEX('Equipo'!$B$5:$B$29,MATCH($B503,'Equipo'!$A$5:$A$29,0))+$E503,0)),"")</f>
        <v/>
      </c>
      <c r="I503" s="26">
        <f>IF($B503='Perfil'!$B$3,COUNTIF($B$4:$B503,'Perfil'!$B$3),"")</f>
        <v/>
      </c>
    </row>
    <row r="504">
      <c r="A504" s="22" t="n"/>
      <c r="B504" s="23" t="n"/>
      <c r="C504" s="23" t="n"/>
      <c r="D504" s="24" t="n"/>
      <c r="E504" s="24" t="n"/>
      <c r="F504" s="23" t="n"/>
      <c r="G504" s="19">
        <f>IFERROR(IF(OR($B504="",$C504=""),"",IF(MATCH($C504,'Ajustes'!$A$5:$A$8,0)&lt;=2,$D504*INDEX('Ajustes'!$C$5:$C$6,MATCH($C504,'Ajustes'!$A$5:$A$8,0)),IF(MATCH($C504,'Ajustes'!$A$5:$A$8,0)=3,-($D504+$E504*INDEX('Equipo'!$B$5:$B$29,MATCH($B504,'Equipo'!$A$5:$A$29,0))),0))),"")</f>
        <v/>
      </c>
      <c r="H504" s="25">
        <f>IFERROR(IF(OR($B504="",$C504=""),"",IF(MATCH($C504,'Ajustes'!$A$5:$A$8,0)=4,$D504/INDEX('Equipo'!$B$5:$B$29,MATCH($B504,'Equipo'!$A$5:$A$29,0))+$E504,0)),"")</f>
        <v/>
      </c>
      <c r="I504" s="26">
        <f>IF($B504='Perfil'!$B$3,COUNTIF($B$4:$B504,'Perfil'!$B$3),"")</f>
        <v/>
      </c>
    </row>
    <row r="505">
      <c r="A505" s="22" t="n"/>
      <c r="B505" s="23" t="n"/>
      <c r="C505" s="23" t="n"/>
      <c r="D505" s="24" t="n"/>
      <c r="E505" s="24" t="n"/>
      <c r="F505" s="23" t="n"/>
      <c r="G505" s="19">
        <f>IFERROR(IF(OR($B505="",$C505=""),"",IF(MATCH($C505,'Ajustes'!$A$5:$A$8,0)&lt;=2,$D505*INDEX('Ajustes'!$C$5:$C$6,MATCH($C505,'Ajustes'!$A$5:$A$8,0)),IF(MATCH($C505,'Ajustes'!$A$5:$A$8,0)=3,-($D505+$E505*INDEX('Equipo'!$B$5:$B$29,MATCH($B505,'Equipo'!$A$5:$A$29,0))),0))),"")</f>
        <v/>
      </c>
      <c r="H505" s="25">
        <f>IFERROR(IF(OR($B505="",$C505=""),"",IF(MATCH($C505,'Ajustes'!$A$5:$A$8,0)=4,$D505/INDEX('Equipo'!$B$5:$B$29,MATCH($B505,'Equipo'!$A$5:$A$29,0))+$E505,0)),"")</f>
        <v/>
      </c>
      <c r="I505" s="26">
        <f>IF($B505='Perfil'!$B$3,COUNTIF($B$4:$B505,'Perfil'!$B$3),"")</f>
        <v/>
      </c>
    </row>
    <row r="506">
      <c r="A506" s="22" t="n"/>
      <c r="B506" s="23" t="n"/>
      <c r="C506" s="23" t="n"/>
      <c r="D506" s="24" t="n"/>
      <c r="E506" s="24" t="n"/>
      <c r="F506" s="23" t="n"/>
      <c r="G506" s="19">
        <f>IFERROR(IF(OR($B506="",$C506=""),"",IF(MATCH($C506,'Ajustes'!$A$5:$A$8,0)&lt;=2,$D506*INDEX('Ajustes'!$C$5:$C$6,MATCH($C506,'Ajustes'!$A$5:$A$8,0)),IF(MATCH($C506,'Ajustes'!$A$5:$A$8,0)=3,-($D506+$E506*INDEX('Equipo'!$B$5:$B$29,MATCH($B506,'Equipo'!$A$5:$A$29,0))),0))),"")</f>
        <v/>
      </c>
      <c r="H506" s="25">
        <f>IFERROR(IF(OR($B506="",$C506=""),"",IF(MATCH($C506,'Ajustes'!$A$5:$A$8,0)=4,$D506/INDEX('Equipo'!$B$5:$B$29,MATCH($B506,'Equipo'!$A$5:$A$29,0))+$E506,0)),"")</f>
        <v/>
      </c>
      <c r="I506" s="26">
        <f>IF($B506='Perfil'!$B$3,COUNTIF($B$4:$B506,'Perfil'!$B$3),"")</f>
        <v/>
      </c>
    </row>
    <row r="507">
      <c r="A507" s="22" t="n"/>
      <c r="B507" s="23" t="n"/>
      <c r="C507" s="23" t="n"/>
      <c r="D507" s="24" t="n"/>
      <c r="E507" s="24" t="n"/>
      <c r="F507" s="23" t="n"/>
      <c r="G507" s="19">
        <f>IFERROR(IF(OR($B507="",$C507=""),"",IF(MATCH($C507,'Ajustes'!$A$5:$A$8,0)&lt;=2,$D507*INDEX('Ajustes'!$C$5:$C$6,MATCH($C507,'Ajustes'!$A$5:$A$8,0)),IF(MATCH($C507,'Ajustes'!$A$5:$A$8,0)=3,-($D507+$E507*INDEX('Equipo'!$B$5:$B$29,MATCH($B507,'Equipo'!$A$5:$A$29,0))),0))),"")</f>
        <v/>
      </c>
      <c r="H507" s="25">
        <f>IFERROR(IF(OR($B507="",$C507=""),"",IF(MATCH($C507,'Ajustes'!$A$5:$A$8,0)=4,$D507/INDEX('Equipo'!$B$5:$B$29,MATCH($B507,'Equipo'!$A$5:$A$29,0))+$E507,0)),"")</f>
        <v/>
      </c>
      <c r="I507" s="26">
        <f>IF($B507='Perfil'!$B$3,COUNTIF($B$4:$B507,'Perfil'!$B$3),"")</f>
        <v/>
      </c>
    </row>
    <row r="508">
      <c r="A508" s="22" t="n"/>
      <c r="B508" s="23" t="n"/>
      <c r="C508" s="23" t="n"/>
      <c r="D508" s="24" t="n"/>
      <c r="E508" s="24" t="n"/>
      <c r="F508" s="23" t="n"/>
      <c r="G508" s="19">
        <f>IFERROR(IF(OR($B508="",$C508=""),"",IF(MATCH($C508,'Ajustes'!$A$5:$A$8,0)&lt;=2,$D508*INDEX('Ajustes'!$C$5:$C$6,MATCH($C508,'Ajustes'!$A$5:$A$8,0)),IF(MATCH($C508,'Ajustes'!$A$5:$A$8,0)=3,-($D508+$E508*INDEX('Equipo'!$B$5:$B$29,MATCH($B508,'Equipo'!$A$5:$A$29,0))),0))),"")</f>
        <v/>
      </c>
      <c r="H508" s="25">
        <f>IFERROR(IF(OR($B508="",$C508=""),"",IF(MATCH($C508,'Ajustes'!$A$5:$A$8,0)=4,$D508/INDEX('Equipo'!$B$5:$B$29,MATCH($B508,'Equipo'!$A$5:$A$29,0))+$E508,0)),"")</f>
        <v/>
      </c>
      <c r="I508" s="26">
        <f>IF($B508='Perfil'!$B$3,COUNTIF($B$4:$B508,'Perfil'!$B$3),"")</f>
        <v/>
      </c>
    </row>
    <row r="509">
      <c r="A509" s="22" t="n"/>
      <c r="B509" s="23" t="n"/>
      <c r="C509" s="23" t="n"/>
      <c r="D509" s="24" t="n"/>
      <c r="E509" s="24" t="n"/>
      <c r="F509" s="23" t="n"/>
      <c r="G509" s="19">
        <f>IFERROR(IF(OR($B509="",$C509=""),"",IF(MATCH($C509,'Ajustes'!$A$5:$A$8,0)&lt;=2,$D509*INDEX('Ajustes'!$C$5:$C$6,MATCH($C509,'Ajustes'!$A$5:$A$8,0)),IF(MATCH($C509,'Ajustes'!$A$5:$A$8,0)=3,-($D509+$E509*INDEX('Equipo'!$B$5:$B$29,MATCH($B509,'Equipo'!$A$5:$A$29,0))),0))),"")</f>
        <v/>
      </c>
      <c r="H509" s="25">
        <f>IFERROR(IF(OR($B509="",$C509=""),"",IF(MATCH($C509,'Ajustes'!$A$5:$A$8,0)=4,$D509/INDEX('Equipo'!$B$5:$B$29,MATCH($B509,'Equipo'!$A$5:$A$29,0))+$E509,0)),"")</f>
        <v/>
      </c>
      <c r="I509" s="26">
        <f>IF($B509='Perfil'!$B$3,COUNTIF($B$4:$B509,'Perfil'!$B$3),"")</f>
        <v/>
      </c>
    </row>
    <row r="510">
      <c r="A510" s="22" t="n"/>
      <c r="B510" s="23" t="n"/>
      <c r="C510" s="23" t="n"/>
      <c r="D510" s="24" t="n"/>
      <c r="E510" s="24" t="n"/>
      <c r="F510" s="23" t="n"/>
      <c r="G510" s="19">
        <f>IFERROR(IF(OR($B510="",$C510=""),"",IF(MATCH($C510,'Ajustes'!$A$5:$A$8,0)&lt;=2,$D510*INDEX('Ajustes'!$C$5:$C$6,MATCH($C510,'Ajustes'!$A$5:$A$8,0)),IF(MATCH($C510,'Ajustes'!$A$5:$A$8,0)=3,-($D510+$E510*INDEX('Equipo'!$B$5:$B$29,MATCH($B510,'Equipo'!$A$5:$A$29,0))),0))),"")</f>
        <v/>
      </c>
      <c r="H510" s="25">
        <f>IFERROR(IF(OR($B510="",$C510=""),"",IF(MATCH($C510,'Ajustes'!$A$5:$A$8,0)=4,$D510/INDEX('Equipo'!$B$5:$B$29,MATCH($B510,'Equipo'!$A$5:$A$29,0))+$E510,0)),"")</f>
        <v/>
      </c>
      <c r="I510" s="26">
        <f>IF($B510='Perfil'!$B$3,COUNTIF($B$4:$B510,'Perfil'!$B$3),"")</f>
        <v/>
      </c>
    </row>
    <row r="511">
      <c r="A511" s="22" t="n"/>
      <c r="B511" s="23" t="n"/>
      <c r="C511" s="23" t="n"/>
      <c r="D511" s="24" t="n"/>
      <c r="E511" s="24" t="n"/>
      <c r="F511" s="23" t="n"/>
      <c r="G511" s="19">
        <f>IFERROR(IF(OR($B511="",$C511=""),"",IF(MATCH($C511,'Ajustes'!$A$5:$A$8,0)&lt;=2,$D511*INDEX('Ajustes'!$C$5:$C$6,MATCH($C511,'Ajustes'!$A$5:$A$8,0)),IF(MATCH($C511,'Ajustes'!$A$5:$A$8,0)=3,-($D511+$E511*INDEX('Equipo'!$B$5:$B$29,MATCH($B511,'Equipo'!$A$5:$A$29,0))),0))),"")</f>
        <v/>
      </c>
      <c r="H511" s="25">
        <f>IFERROR(IF(OR($B511="",$C511=""),"",IF(MATCH($C511,'Ajustes'!$A$5:$A$8,0)=4,$D511/INDEX('Equipo'!$B$5:$B$29,MATCH($B511,'Equipo'!$A$5:$A$29,0))+$E511,0)),"")</f>
        <v/>
      </c>
      <c r="I511" s="26">
        <f>IF($B511='Perfil'!$B$3,COUNTIF($B$4:$B511,'Perfil'!$B$3),"")</f>
        <v/>
      </c>
    </row>
    <row r="512">
      <c r="A512" s="22" t="n"/>
      <c r="B512" s="23" t="n"/>
      <c r="C512" s="23" t="n"/>
      <c r="D512" s="24" t="n"/>
      <c r="E512" s="24" t="n"/>
      <c r="F512" s="23" t="n"/>
      <c r="G512" s="19">
        <f>IFERROR(IF(OR($B512="",$C512=""),"",IF(MATCH($C512,'Ajustes'!$A$5:$A$8,0)&lt;=2,$D512*INDEX('Ajustes'!$C$5:$C$6,MATCH($C512,'Ajustes'!$A$5:$A$8,0)),IF(MATCH($C512,'Ajustes'!$A$5:$A$8,0)=3,-($D512+$E512*INDEX('Equipo'!$B$5:$B$29,MATCH($B512,'Equipo'!$A$5:$A$29,0))),0))),"")</f>
        <v/>
      </c>
      <c r="H512" s="25">
        <f>IFERROR(IF(OR($B512="",$C512=""),"",IF(MATCH($C512,'Ajustes'!$A$5:$A$8,0)=4,$D512/INDEX('Equipo'!$B$5:$B$29,MATCH($B512,'Equipo'!$A$5:$A$29,0))+$E512,0)),"")</f>
        <v/>
      </c>
      <c r="I512" s="26">
        <f>IF($B512='Perfil'!$B$3,COUNTIF($B$4:$B512,'Perfil'!$B$3),"")</f>
        <v/>
      </c>
    </row>
    <row r="513">
      <c r="A513" s="22" t="n"/>
      <c r="B513" s="23" t="n"/>
      <c r="C513" s="23" t="n"/>
      <c r="D513" s="24" t="n"/>
      <c r="E513" s="24" t="n"/>
      <c r="F513" s="23" t="n"/>
      <c r="G513" s="19">
        <f>IFERROR(IF(OR($B513="",$C513=""),"",IF(MATCH($C513,'Ajustes'!$A$5:$A$8,0)&lt;=2,$D513*INDEX('Ajustes'!$C$5:$C$6,MATCH($C513,'Ajustes'!$A$5:$A$8,0)),IF(MATCH($C513,'Ajustes'!$A$5:$A$8,0)=3,-($D513+$E513*INDEX('Equipo'!$B$5:$B$29,MATCH($B513,'Equipo'!$A$5:$A$29,0))),0))),"")</f>
        <v/>
      </c>
      <c r="H513" s="25">
        <f>IFERROR(IF(OR($B513="",$C513=""),"",IF(MATCH($C513,'Ajustes'!$A$5:$A$8,0)=4,$D513/INDEX('Equipo'!$B$5:$B$29,MATCH($B513,'Equipo'!$A$5:$A$29,0))+$E513,0)),"")</f>
        <v/>
      </c>
      <c r="I513" s="26">
        <f>IF($B513='Perfil'!$B$3,COUNTIF($B$4:$B513,'Perfil'!$B$3),"")</f>
        <v/>
      </c>
    </row>
    <row r="514">
      <c r="A514" s="22" t="n"/>
      <c r="B514" s="23" t="n"/>
      <c r="C514" s="23" t="n"/>
      <c r="D514" s="24" t="n"/>
      <c r="E514" s="24" t="n"/>
      <c r="F514" s="23" t="n"/>
      <c r="G514" s="19">
        <f>IFERROR(IF(OR($B514="",$C514=""),"",IF(MATCH($C514,'Ajustes'!$A$5:$A$8,0)&lt;=2,$D514*INDEX('Ajustes'!$C$5:$C$6,MATCH($C514,'Ajustes'!$A$5:$A$8,0)),IF(MATCH($C514,'Ajustes'!$A$5:$A$8,0)=3,-($D514+$E514*INDEX('Equipo'!$B$5:$B$29,MATCH($B514,'Equipo'!$A$5:$A$29,0))),0))),"")</f>
        <v/>
      </c>
      <c r="H514" s="25">
        <f>IFERROR(IF(OR($B514="",$C514=""),"",IF(MATCH($C514,'Ajustes'!$A$5:$A$8,0)=4,$D514/INDEX('Equipo'!$B$5:$B$29,MATCH($B514,'Equipo'!$A$5:$A$29,0))+$E514,0)),"")</f>
        <v/>
      </c>
      <c r="I514" s="26">
        <f>IF($B514='Perfil'!$B$3,COUNTIF($B$4:$B514,'Perfil'!$B$3),"")</f>
        <v/>
      </c>
    </row>
    <row r="515">
      <c r="A515" s="22" t="n"/>
      <c r="B515" s="23" t="n"/>
      <c r="C515" s="23" t="n"/>
      <c r="D515" s="24" t="n"/>
      <c r="E515" s="24" t="n"/>
      <c r="F515" s="23" t="n"/>
      <c r="G515" s="19">
        <f>IFERROR(IF(OR($B515="",$C515=""),"",IF(MATCH($C515,'Ajustes'!$A$5:$A$8,0)&lt;=2,$D515*INDEX('Ajustes'!$C$5:$C$6,MATCH($C515,'Ajustes'!$A$5:$A$8,0)),IF(MATCH($C515,'Ajustes'!$A$5:$A$8,0)=3,-($D515+$E515*INDEX('Equipo'!$B$5:$B$29,MATCH($B515,'Equipo'!$A$5:$A$29,0))),0))),"")</f>
        <v/>
      </c>
      <c r="H515" s="25">
        <f>IFERROR(IF(OR($B515="",$C515=""),"",IF(MATCH($C515,'Ajustes'!$A$5:$A$8,0)=4,$D515/INDEX('Equipo'!$B$5:$B$29,MATCH($B515,'Equipo'!$A$5:$A$29,0))+$E515,0)),"")</f>
        <v/>
      </c>
      <c r="I515" s="26">
        <f>IF($B515='Perfil'!$B$3,COUNTIF($B$4:$B515,'Perfil'!$B$3),"")</f>
        <v/>
      </c>
    </row>
    <row r="516">
      <c r="A516" s="22" t="n"/>
      <c r="B516" s="23" t="n"/>
      <c r="C516" s="23" t="n"/>
      <c r="D516" s="24" t="n"/>
      <c r="E516" s="24" t="n"/>
      <c r="F516" s="23" t="n"/>
      <c r="G516" s="19">
        <f>IFERROR(IF(OR($B516="",$C516=""),"",IF(MATCH($C516,'Ajustes'!$A$5:$A$8,0)&lt;=2,$D516*INDEX('Ajustes'!$C$5:$C$6,MATCH($C516,'Ajustes'!$A$5:$A$8,0)),IF(MATCH($C516,'Ajustes'!$A$5:$A$8,0)=3,-($D516+$E516*INDEX('Equipo'!$B$5:$B$29,MATCH($B516,'Equipo'!$A$5:$A$29,0))),0))),"")</f>
        <v/>
      </c>
      <c r="H516" s="25">
        <f>IFERROR(IF(OR($B516="",$C516=""),"",IF(MATCH($C516,'Ajustes'!$A$5:$A$8,0)=4,$D516/INDEX('Equipo'!$B$5:$B$29,MATCH($B516,'Equipo'!$A$5:$A$29,0))+$E516,0)),"")</f>
        <v/>
      </c>
      <c r="I516" s="26">
        <f>IF($B516='Perfil'!$B$3,COUNTIF($B$4:$B516,'Perfil'!$B$3),"")</f>
        <v/>
      </c>
    </row>
    <row r="517">
      <c r="A517" s="22" t="n"/>
      <c r="B517" s="23" t="n"/>
      <c r="C517" s="23" t="n"/>
      <c r="D517" s="24" t="n"/>
      <c r="E517" s="24" t="n"/>
      <c r="F517" s="23" t="n"/>
      <c r="G517" s="19">
        <f>IFERROR(IF(OR($B517="",$C517=""),"",IF(MATCH($C517,'Ajustes'!$A$5:$A$8,0)&lt;=2,$D517*INDEX('Ajustes'!$C$5:$C$6,MATCH($C517,'Ajustes'!$A$5:$A$8,0)),IF(MATCH($C517,'Ajustes'!$A$5:$A$8,0)=3,-($D517+$E517*INDEX('Equipo'!$B$5:$B$29,MATCH($B517,'Equipo'!$A$5:$A$29,0))),0))),"")</f>
        <v/>
      </c>
      <c r="H517" s="25">
        <f>IFERROR(IF(OR($B517="",$C517=""),"",IF(MATCH($C517,'Ajustes'!$A$5:$A$8,0)=4,$D517/INDEX('Equipo'!$B$5:$B$29,MATCH($B517,'Equipo'!$A$5:$A$29,0))+$E517,0)),"")</f>
        <v/>
      </c>
      <c r="I517" s="26">
        <f>IF($B517='Perfil'!$B$3,COUNTIF($B$4:$B517,'Perfil'!$B$3),"")</f>
        <v/>
      </c>
    </row>
    <row r="518">
      <c r="A518" s="22" t="n"/>
      <c r="B518" s="23" t="n"/>
      <c r="C518" s="23" t="n"/>
      <c r="D518" s="24" t="n"/>
      <c r="E518" s="24" t="n"/>
      <c r="F518" s="23" t="n"/>
      <c r="G518" s="19">
        <f>IFERROR(IF(OR($B518="",$C518=""),"",IF(MATCH($C518,'Ajustes'!$A$5:$A$8,0)&lt;=2,$D518*INDEX('Ajustes'!$C$5:$C$6,MATCH($C518,'Ajustes'!$A$5:$A$8,0)),IF(MATCH($C518,'Ajustes'!$A$5:$A$8,0)=3,-($D518+$E518*INDEX('Equipo'!$B$5:$B$29,MATCH($B518,'Equipo'!$A$5:$A$29,0))),0))),"")</f>
        <v/>
      </c>
      <c r="H518" s="25">
        <f>IFERROR(IF(OR($B518="",$C518=""),"",IF(MATCH($C518,'Ajustes'!$A$5:$A$8,0)=4,$D518/INDEX('Equipo'!$B$5:$B$29,MATCH($B518,'Equipo'!$A$5:$A$29,0))+$E518,0)),"")</f>
        <v/>
      </c>
      <c r="I518" s="26">
        <f>IF($B518='Perfil'!$B$3,COUNTIF($B$4:$B518,'Perfil'!$B$3),"")</f>
        <v/>
      </c>
    </row>
    <row r="519">
      <c r="A519" s="22" t="n"/>
      <c r="B519" s="23" t="n"/>
      <c r="C519" s="23" t="n"/>
      <c r="D519" s="24" t="n"/>
      <c r="E519" s="24" t="n"/>
      <c r="F519" s="23" t="n"/>
      <c r="G519" s="19">
        <f>IFERROR(IF(OR($B519="",$C519=""),"",IF(MATCH($C519,'Ajustes'!$A$5:$A$8,0)&lt;=2,$D519*INDEX('Ajustes'!$C$5:$C$6,MATCH($C519,'Ajustes'!$A$5:$A$8,0)),IF(MATCH($C519,'Ajustes'!$A$5:$A$8,0)=3,-($D519+$E519*INDEX('Equipo'!$B$5:$B$29,MATCH($B519,'Equipo'!$A$5:$A$29,0))),0))),"")</f>
        <v/>
      </c>
      <c r="H519" s="25">
        <f>IFERROR(IF(OR($B519="",$C519=""),"",IF(MATCH($C519,'Ajustes'!$A$5:$A$8,0)=4,$D519/INDEX('Equipo'!$B$5:$B$29,MATCH($B519,'Equipo'!$A$5:$A$29,0))+$E519,0)),"")</f>
        <v/>
      </c>
      <c r="I519" s="26">
        <f>IF($B519='Perfil'!$B$3,COUNTIF($B$4:$B519,'Perfil'!$B$3),"")</f>
        <v/>
      </c>
    </row>
    <row r="520">
      <c r="A520" s="22" t="n"/>
      <c r="B520" s="23" t="n"/>
      <c r="C520" s="23" t="n"/>
      <c r="D520" s="24" t="n"/>
      <c r="E520" s="24" t="n"/>
      <c r="F520" s="23" t="n"/>
      <c r="G520" s="19">
        <f>IFERROR(IF(OR($B520="",$C520=""),"",IF(MATCH($C520,'Ajustes'!$A$5:$A$8,0)&lt;=2,$D520*INDEX('Ajustes'!$C$5:$C$6,MATCH($C520,'Ajustes'!$A$5:$A$8,0)),IF(MATCH($C520,'Ajustes'!$A$5:$A$8,0)=3,-($D520+$E520*INDEX('Equipo'!$B$5:$B$29,MATCH($B520,'Equipo'!$A$5:$A$29,0))),0))),"")</f>
        <v/>
      </c>
      <c r="H520" s="25">
        <f>IFERROR(IF(OR($B520="",$C520=""),"",IF(MATCH($C520,'Ajustes'!$A$5:$A$8,0)=4,$D520/INDEX('Equipo'!$B$5:$B$29,MATCH($B520,'Equipo'!$A$5:$A$29,0))+$E520,0)),"")</f>
        <v/>
      </c>
      <c r="I520" s="26">
        <f>IF($B520='Perfil'!$B$3,COUNTIF($B$4:$B520,'Perfil'!$B$3),"")</f>
        <v/>
      </c>
    </row>
    <row r="521">
      <c r="A521" s="22" t="n"/>
      <c r="B521" s="23" t="n"/>
      <c r="C521" s="23" t="n"/>
      <c r="D521" s="24" t="n"/>
      <c r="E521" s="24" t="n"/>
      <c r="F521" s="23" t="n"/>
      <c r="G521" s="19">
        <f>IFERROR(IF(OR($B521="",$C521=""),"",IF(MATCH($C521,'Ajustes'!$A$5:$A$8,0)&lt;=2,$D521*INDEX('Ajustes'!$C$5:$C$6,MATCH($C521,'Ajustes'!$A$5:$A$8,0)),IF(MATCH($C521,'Ajustes'!$A$5:$A$8,0)=3,-($D521+$E521*INDEX('Equipo'!$B$5:$B$29,MATCH($B521,'Equipo'!$A$5:$A$29,0))),0))),"")</f>
        <v/>
      </c>
      <c r="H521" s="25">
        <f>IFERROR(IF(OR($B521="",$C521=""),"",IF(MATCH($C521,'Ajustes'!$A$5:$A$8,0)=4,$D521/INDEX('Equipo'!$B$5:$B$29,MATCH($B521,'Equipo'!$A$5:$A$29,0))+$E521,0)),"")</f>
        <v/>
      </c>
      <c r="I521" s="26">
        <f>IF($B521='Perfil'!$B$3,COUNTIF($B$4:$B521,'Perfil'!$B$3),"")</f>
        <v/>
      </c>
    </row>
    <row r="522">
      <c r="A522" s="22" t="n"/>
      <c r="B522" s="23" t="n"/>
      <c r="C522" s="23" t="n"/>
      <c r="D522" s="24" t="n"/>
      <c r="E522" s="24" t="n"/>
      <c r="F522" s="23" t="n"/>
      <c r="G522" s="19">
        <f>IFERROR(IF(OR($B522="",$C522=""),"",IF(MATCH($C522,'Ajustes'!$A$5:$A$8,0)&lt;=2,$D522*INDEX('Ajustes'!$C$5:$C$6,MATCH($C522,'Ajustes'!$A$5:$A$8,0)),IF(MATCH($C522,'Ajustes'!$A$5:$A$8,0)=3,-($D522+$E522*INDEX('Equipo'!$B$5:$B$29,MATCH($B522,'Equipo'!$A$5:$A$29,0))),0))),"")</f>
        <v/>
      </c>
      <c r="H522" s="25">
        <f>IFERROR(IF(OR($B522="",$C522=""),"",IF(MATCH($C522,'Ajustes'!$A$5:$A$8,0)=4,$D522/INDEX('Equipo'!$B$5:$B$29,MATCH($B522,'Equipo'!$A$5:$A$29,0))+$E522,0)),"")</f>
        <v/>
      </c>
      <c r="I522" s="26">
        <f>IF($B522='Perfil'!$B$3,COUNTIF($B$4:$B522,'Perfil'!$B$3),"")</f>
        <v/>
      </c>
    </row>
    <row r="523">
      <c r="A523" s="22" t="n"/>
      <c r="B523" s="23" t="n"/>
      <c r="C523" s="23" t="n"/>
      <c r="D523" s="24" t="n"/>
      <c r="E523" s="24" t="n"/>
      <c r="F523" s="23" t="n"/>
      <c r="G523" s="19">
        <f>IFERROR(IF(OR($B523="",$C523=""),"",IF(MATCH($C523,'Ajustes'!$A$5:$A$8,0)&lt;=2,$D523*INDEX('Ajustes'!$C$5:$C$6,MATCH($C523,'Ajustes'!$A$5:$A$8,0)),IF(MATCH($C523,'Ajustes'!$A$5:$A$8,0)=3,-($D523+$E523*INDEX('Equipo'!$B$5:$B$29,MATCH($B523,'Equipo'!$A$5:$A$29,0))),0))),"")</f>
        <v/>
      </c>
      <c r="H523" s="25">
        <f>IFERROR(IF(OR($B523="",$C523=""),"",IF(MATCH($C523,'Ajustes'!$A$5:$A$8,0)=4,$D523/INDEX('Equipo'!$B$5:$B$29,MATCH($B523,'Equipo'!$A$5:$A$29,0))+$E523,0)),"")</f>
        <v/>
      </c>
      <c r="I523" s="26">
        <f>IF($B523='Perfil'!$B$3,COUNTIF($B$4:$B523,'Perfil'!$B$3),"")</f>
        <v/>
      </c>
    </row>
    <row r="524">
      <c r="A524" s="22" t="n"/>
      <c r="B524" s="23" t="n"/>
      <c r="C524" s="23" t="n"/>
      <c r="D524" s="24" t="n"/>
      <c r="E524" s="24" t="n"/>
      <c r="F524" s="23" t="n"/>
      <c r="G524" s="19">
        <f>IFERROR(IF(OR($B524="",$C524=""),"",IF(MATCH($C524,'Ajustes'!$A$5:$A$8,0)&lt;=2,$D524*INDEX('Ajustes'!$C$5:$C$6,MATCH($C524,'Ajustes'!$A$5:$A$8,0)),IF(MATCH($C524,'Ajustes'!$A$5:$A$8,0)=3,-($D524+$E524*INDEX('Equipo'!$B$5:$B$29,MATCH($B524,'Equipo'!$A$5:$A$29,0))),0))),"")</f>
        <v/>
      </c>
      <c r="H524" s="25">
        <f>IFERROR(IF(OR($B524="",$C524=""),"",IF(MATCH($C524,'Ajustes'!$A$5:$A$8,0)=4,$D524/INDEX('Equipo'!$B$5:$B$29,MATCH($B524,'Equipo'!$A$5:$A$29,0))+$E524,0)),"")</f>
        <v/>
      </c>
      <c r="I524" s="26">
        <f>IF($B524='Perfil'!$B$3,COUNTIF($B$4:$B524,'Perfil'!$B$3),"")</f>
        <v/>
      </c>
    </row>
    <row r="525">
      <c r="A525" s="22" t="n"/>
      <c r="B525" s="23" t="n"/>
      <c r="C525" s="23" t="n"/>
      <c r="D525" s="24" t="n"/>
      <c r="E525" s="24" t="n"/>
      <c r="F525" s="23" t="n"/>
      <c r="G525" s="19">
        <f>IFERROR(IF(OR($B525="",$C525=""),"",IF(MATCH($C525,'Ajustes'!$A$5:$A$8,0)&lt;=2,$D525*INDEX('Ajustes'!$C$5:$C$6,MATCH($C525,'Ajustes'!$A$5:$A$8,0)),IF(MATCH($C525,'Ajustes'!$A$5:$A$8,0)=3,-($D525+$E525*INDEX('Equipo'!$B$5:$B$29,MATCH($B525,'Equipo'!$A$5:$A$29,0))),0))),"")</f>
        <v/>
      </c>
      <c r="H525" s="25">
        <f>IFERROR(IF(OR($B525="",$C525=""),"",IF(MATCH($C525,'Ajustes'!$A$5:$A$8,0)=4,$D525/INDEX('Equipo'!$B$5:$B$29,MATCH($B525,'Equipo'!$A$5:$A$29,0))+$E525,0)),"")</f>
        <v/>
      </c>
      <c r="I525" s="26">
        <f>IF($B525='Perfil'!$B$3,COUNTIF($B$4:$B525,'Perfil'!$B$3),"")</f>
        <v/>
      </c>
    </row>
    <row r="526">
      <c r="A526" s="22" t="n"/>
      <c r="B526" s="23" t="n"/>
      <c r="C526" s="23" t="n"/>
      <c r="D526" s="24" t="n"/>
      <c r="E526" s="24" t="n"/>
      <c r="F526" s="23" t="n"/>
      <c r="G526" s="19">
        <f>IFERROR(IF(OR($B526="",$C526=""),"",IF(MATCH($C526,'Ajustes'!$A$5:$A$8,0)&lt;=2,$D526*INDEX('Ajustes'!$C$5:$C$6,MATCH($C526,'Ajustes'!$A$5:$A$8,0)),IF(MATCH($C526,'Ajustes'!$A$5:$A$8,0)=3,-($D526+$E526*INDEX('Equipo'!$B$5:$B$29,MATCH($B526,'Equipo'!$A$5:$A$29,0))),0))),"")</f>
        <v/>
      </c>
      <c r="H526" s="25">
        <f>IFERROR(IF(OR($B526="",$C526=""),"",IF(MATCH($C526,'Ajustes'!$A$5:$A$8,0)=4,$D526/INDEX('Equipo'!$B$5:$B$29,MATCH($B526,'Equipo'!$A$5:$A$29,0))+$E526,0)),"")</f>
        <v/>
      </c>
      <c r="I526" s="26">
        <f>IF($B526='Perfil'!$B$3,COUNTIF($B$4:$B526,'Perfil'!$B$3),"")</f>
        <v/>
      </c>
    </row>
    <row r="527">
      <c r="A527" s="22" t="n"/>
      <c r="B527" s="23" t="n"/>
      <c r="C527" s="23" t="n"/>
      <c r="D527" s="24" t="n"/>
      <c r="E527" s="24" t="n"/>
      <c r="F527" s="23" t="n"/>
      <c r="G527" s="19">
        <f>IFERROR(IF(OR($B527="",$C527=""),"",IF(MATCH($C527,'Ajustes'!$A$5:$A$8,0)&lt;=2,$D527*INDEX('Ajustes'!$C$5:$C$6,MATCH($C527,'Ajustes'!$A$5:$A$8,0)),IF(MATCH($C527,'Ajustes'!$A$5:$A$8,0)=3,-($D527+$E527*INDEX('Equipo'!$B$5:$B$29,MATCH($B527,'Equipo'!$A$5:$A$29,0))),0))),"")</f>
        <v/>
      </c>
      <c r="H527" s="25">
        <f>IFERROR(IF(OR($B527="",$C527=""),"",IF(MATCH($C527,'Ajustes'!$A$5:$A$8,0)=4,$D527/INDEX('Equipo'!$B$5:$B$29,MATCH($B527,'Equipo'!$A$5:$A$29,0))+$E527,0)),"")</f>
        <v/>
      </c>
      <c r="I527" s="26">
        <f>IF($B527='Perfil'!$B$3,COUNTIF($B$4:$B527,'Perfil'!$B$3),"")</f>
        <v/>
      </c>
    </row>
    <row r="528">
      <c r="A528" s="22" t="n"/>
      <c r="B528" s="23" t="n"/>
      <c r="C528" s="23" t="n"/>
      <c r="D528" s="24" t="n"/>
      <c r="E528" s="24" t="n"/>
      <c r="F528" s="23" t="n"/>
      <c r="G528" s="19">
        <f>IFERROR(IF(OR($B528="",$C528=""),"",IF(MATCH($C528,'Ajustes'!$A$5:$A$8,0)&lt;=2,$D528*INDEX('Ajustes'!$C$5:$C$6,MATCH($C528,'Ajustes'!$A$5:$A$8,0)),IF(MATCH($C528,'Ajustes'!$A$5:$A$8,0)=3,-($D528+$E528*INDEX('Equipo'!$B$5:$B$29,MATCH($B528,'Equipo'!$A$5:$A$29,0))),0))),"")</f>
        <v/>
      </c>
      <c r="H528" s="25">
        <f>IFERROR(IF(OR($B528="",$C528=""),"",IF(MATCH($C528,'Ajustes'!$A$5:$A$8,0)=4,$D528/INDEX('Equipo'!$B$5:$B$29,MATCH($B528,'Equipo'!$A$5:$A$29,0))+$E528,0)),"")</f>
        <v/>
      </c>
      <c r="I528" s="26">
        <f>IF($B528='Perfil'!$B$3,COUNTIF($B$4:$B528,'Perfil'!$B$3),"")</f>
        <v/>
      </c>
    </row>
    <row r="529">
      <c r="A529" s="22" t="n"/>
      <c r="B529" s="23" t="n"/>
      <c r="C529" s="23" t="n"/>
      <c r="D529" s="24" t="n"/>
      <c r="E529" s="24" t="n"/>
      <c r="F529" s="23" t="n"/>
      <c r="G529" s="19">
        <f>IFERROR(IF(OR($B529="",$C529=""),"",IF(MATCH($C529,'Ajustes'!$A$5:$A$8,0)&lt;=2,$D529*INDEX('Ajustes'!$C$5:$C$6,MATCH($C529,'Ajustes'!$A$5:$A$8,0)),IF(MATCH($C529,'Ajustes'!$A$5:$A$8,0)=3,-($D529+$E529*INDEX('Equipo'!$B$5:$B$29,MATCH($B529,'Equipo'!$A$5:$A$29,0))),0))),"")</f>
        <v/>
      </c>
      <c r="H529" s="25">
        <f>IFERROR(IF(OR($B529="",$C529=""),"",IF(MATCH($C529,'Ajustes'!$A$5:$A$8,0)=4,$D529/INDEX('Equipo'!$B$5:$B$29,MATCH($B529,'Equipo'!$A$5:$A$29,0))+$E529,0)),"")</f>
        <v/>
      </c>
      <c r="I529" s="26">
        <f>IF($B529='Perfil'!$B$3,COUNTIF($B$4:$B529,'Perfil'!$B$3),"")</f>
        <v/>
      </c>
    </row>
    <row r="530">
      <c r="A530" s="22" t="n"/>
      <c r="B530" s="23" t="n"/>
      <c r="C530" s="23" t="n"/>
      <c r="D530" s="24" t="n"/>
      <c r="E530" s="24" t="n"/>
      <c r="F530" s="23" t="n"/>
      <c r="G530" s="19">
        <f>IFERROR(IF(OR($B530="",$C530=""),"",IF(MATCH($C530,'Ajustes'!$A$5:$A$8,0)&lt;=2,$D530*INDEX('Ajustes'!$C$5:$C$6,MATCH($C530,'Ajustes'!$A$5:$A$8,0)),IF(MATCH($C530,'Ajustes'!$A$5:$A$8,0)=3,-($D530+$E530*INDEX('Equipo'!$B$5:$B$29,MATCH($B530,'Equipo'!$A$5:$A$29,0))),0))),"")</f>
        <v/>
      </c>
      <c r="H530" s="25">
        <f>IFERROR(IF(OR($B530="",$C530=""),"",IF(MATCH($C530,'Ajustes'!$A$5:$A$8,0)=4,$D530/INDEX('Equipo'!$B$5:$B$29,MATCH($B530,'Equipo'!$A$5:$A$29,0))+$E530,0)),"")</f>
        <v/>
      </c>
      <c r="I530" s="26">
        <f>IF($B530='Perfil'!$B$3,COUNTIF($B$4:$B530,'Perfil'!$B$3),"")</f>
        <v/>
      </c>
    </row>
    <row r="531">
      <c r="A531" s="22" t="n"/>
      <c r="B531" s="23" t="n"/>
      <c r="C531" s="23" t="n"/>
      <c r="D531" s="24" t="n"/>
      <c r="E531" s="24" t="n"/>
      <c r="F531" s="23" t="n"/>
      <c r="G531" s="19">
        <f>IFERROR(IF(OR($B531="",$C531=""),"",IF(MATCH($C531,'Ajustes'!$A$5:$A$8,0)&lt;=2,$D531*INDEX('Ajustes'!$C$5:$C$6,MATCH($C531,'Ajustes'!$A$5:$A$8,0)),IF(MATCH($C531,'Ajustes'!$A$5:$A$8,0)=3,-($D531+$E531*INDEX('Equipo'!$B$5:$B$29,MATCH($B531,'Equipo'!$A$5:$A$29,0))),0))),"")</f>
        <v/>
      </c>
      <c r="H531" s="25">
        <f>IFERROR(IF(OR($B531="",$C531=""),"",IF(MATCH($C531,'Ajustes'!$A$5:$A$8,0)=4,$D531/INDEX('Equipo'!$B$5:$B$29,MATCH($B531,'Equipo'!$A$5:$A$29,0))+$E531,0)),"")</f>
        <v/>
      </c>
      <c r="I531" s="26">
        <f>IF($B531='Perfil'!$B$3,COUNTIF($B$4:$B531,'Perfil'!$B$3),"")</f>
        <v/>
      </c>
    </row>
    <row r="532">
      <c r="A532" s="22" t="n"/>
      <c r="B532" s="23" t="n"/>
      <c r="C532" s="23" t="n"/>
      <c r="D532" s="24" t="n"/>
      <c r="E532" s="24" t="n"/>
      <c r="F532" s="23" t="n"/>
      <c r="G532" s="19">
        <f>IFERROR(IF(OR($B532="",$C532=""),"",IF(MATCH($C532,'Ajustes'!$A$5:$A$8,0)&lt;=2,$D532*INDEX('Ajustes'!$C$5:$C$6,MATCH($C532,'Ajustes'!$A$5:$A$8,0)),IF(MATCH($C532,'Ajustes'!$A$5:$A$8,0)=3,-($D532+$E532*INDEX('Equipo'!$B$5:$B$29,MATCH($B532,'Equipo'!$A$5:$A$29,0))),0))),"")</f>
        <v/>
      </c>
      <c r="H532" s="25">
        <f>IFERROR(IF(OR($B532="",$C532=""),"",IF(MATCH($C532,'Ajustes'!$A$5:$A$8,0)=4,$D532/INDEX('Equipo'!$B$5:$B$29,MATCH($B532,'Equipo'!$A$5:$A$29,0))+$E532,0)),"")</f>
        <v/>
      </c>
      <c r="I532" s="26">
        <f>IF($B532='Perfil'!$B$3,COUNTIF($B$4:$B532,'Perfil'!$B$3),"")</f>
        <v/>
      </c>
    </row>
    <row r="533">
      <c r="A533" s="22" t="n"/>
      <c r="B533" s="23" t="n"/>
      <c r="C533" s="23" t="n"/>
      <c r="D533" s="24" t="n"/>
      <c r="E533" s="24" t="n"/>
      <c r="F533" s="23" t="n"/>
      <c r="G533" s="19">
        <f>IFERROR(IF(OR($B533="",$C533=""),"",IF(MATCH($C533,'Ajustes'!$A$5:$A$8,0)&lt;=2,$D533*INDEX('Ajustes'!$C$5:$C$6,MATCH($C533,'Ajustes'!$A$5:$A$8,0)),IF(MATCH($C533,'Ajustes'!$A$5:$A$8,0)=3,-($D533+$E533*INDEX('Equipo'!$B$5:$B$29,MATCH($B533,'Equipo'!$A$5:$A$29,0))),0))),"")</f>
        <v/>
      </c>
      <c r="H533" s="25">
        <f>IFERROR(IF(OR($B533="",$C533=""),"",IF(MATCH($C533,'Ajustes'!$A$5:$A$8,0)=4,$D533/INDEX('Equipo'!$B$5:$B$29,MATCH($B533,'Equipo'!$A$5:$A$29,0))+$E533,0)),"")</f>
        <v/>
      </c>
      <c r="I533" s="26">
        <f>IF($B533='Perfil'!$B$3,COUNTIF($B$4:$B533,'Perfil'!$B$3),"")</f>
        <v/>
      </c>
    </row>
    <row r="534">
      <c r="A534" s="22" t="n"/>
      <c r="B534" s="23" t="n"/>
      <c r="C534" s="23" t="n"/>
      <c r="D534" s="24" t="n"/>
      <c r="E534" s="24" t="n"/>
      <c r="F534" s="23" t="n"/>
      <c r="G534" s="19">
        <f>IFERROR(IF(OR($B534="",$C534=""),"",IF(MATCH($C534,'Ajustes'!$A$5:$A$8,0)&lt;=2,$D534*INDEX('Ajustes'!$C$5:$C$6,MATCH($C534,'Ajustes'!$A$5:$A$8,0)),IF(MATCH($C534,'Ajustes'!$A$5:$A$8,0)=3,-($D534+$E534*INDEX('Equipo'!$B$5:$B$29,MATCH($B534,'Equipo'!$A$5:$A$29,0))),0))),"")</f>
        <v/>
      </c>
      <c r="H534" s="25">
        <f>IFERROR(IF(OR($B534="",$C534=""),"",IF(MATCH($C534,'Ajustes'!$A$5:$A$8,0)=4,$D534/INDEX('Equipo'!$B$5:$B$29,MATCH($B534,'Equipo'!$A$5:$A$29,0))+$E534,0)),"")</f>
        <v/>
      </c>
      <c r="I534" s="26">
        <f>IF($B534='Perfil'!$B$3,COUNTIF($B$4:$B534,'Perfil'!$B$3),"")</f>
        <v/>
      </c>
    </row>
    <row r="535">
      <c r="A535" s="22" t="n"/>
      <c r="B535" s="23" t="n"/>
      <c r="C535" s="23" t="n"/>
      <c r="D535" s="24" t="n"/>
      <c r="E535" s="24" t="n"/>
      <c r="F535" s="23" t="n"/>
      <c r="G535" s="19">
        <f>IFERROR(IF(OR($B535="",$C535=""),"",IF(MATCH($C535,'Ajustes'!$A$5:$A$8,0)&lt;=2,$D535*INDEX('Ajustes'!$C$5:$C$6,MATCH($C535,'Ajustes'!$A$5:$A$8,0)),IF(MATCH($C535,'Ajustes'!$A$5:$A$8,0)=3,-($D535+$E535*INDEX('Equipo'!$B$5:$B$29,MATCH($B535,'Equipo'!$A$5:$A$29,0))),0))),"")</f>
        <v/>
      </c>
      <c r="H535" s="25">
        <f>IFERROR(IF(OR($B535="",$C535=""),"",IF(MATCH($C535,'Ajustes'!$A$5:$A$8,0)=4,$D535/INDEX('Equipo'!$B$5:$B$29,MATCH($B535,'Equipo'!$A$5:$A$29,0))+$E535,0)),"")</f>
        <v/>
      </c>
      <c r="I535" s="26">
        <f>IF($B535='Perfil'!$B$3,COUNTIF($B$4:$B535,'Perfil'!$B$3),"")</f>
        <v/>
      </c>
    </row>
    <row r="536">
      <c r="A536" s="22" t="n"/>
      <c r="B536" s="23" t="n"/>
      <c r="C536" s="23" t="n"/>
      <c r="D536" s="24" t="n"/>
      <c r="E536" s="24" t="n"/>
      <c r="F536" s="23" t="n"/>
      <c r="G536" s="19">
        <f>IFERROR(IF(OR($B536="",$C536=""),"",IF(MATCH($C536,'Ajustes'!$A$5:$A$8,0)&lt;=2,$D536*INDEX('Ajustes'!$C$5:$C$6,MATCH($C536,'Ajustes'!$A$5:$A$8,0)),IF(MATCH($C536,'Ajustes'!$A$5:$A$8,0)=3,-($D536+$E536*INDEX('Equipo'!$B$5:$B$29,MATCH($B536,'Equipo'!$A$5:$A$29,0))),0))),"")</f>
        <v/>
      </c>
      <c r="H536" s="25">
        <f>IFERROR(IF(OR($B536="",$C536=""),"",IF(MATCH($C536,'Ajustes'!$A$5:$A$8,0)=4,$D536/INDEX('Equipo'!$B$5:$B$29,MATCH($B536,'Equipo'!$A$5:$A$29,0))+$E536,0)),"")</f>
        <v/>
      </c>
      <c r="I536" s="26">
        <f>IF($B536='Perfil'!$B$3,COUNTIF($B$4:$B536,'Perfil'!$B$3),"")</f>
        <v/>
      </c>
    </row>
    <row r="537">
      <c r="A537" s="22" t="n"/>
      <c r="B537" s="23" t="n"/>
      <c r="C537" s="23" t="n"/>
      <c r="D537" s="24" t="n"/>
      <c r="E537" s="24" t="n"/>
      <c r="F537" s="23" t="n"/>
      <c r="G537" s="19">
        <f>IFERROR(IF(OR($B537="",$C537=""),"",IF(MATCH($C537,'Ajustes'!$A$5:$A$8,0)&lt;=2,$D537*INDEX('Ajustes'!$C$5:$C$6,MATCH($C537,'Ajustes'!$A$5:$A$8,0)),IF(MATCH($C537,'Ajustes'!$A$5:$A$8,0)=3,-($D537+$E537*INDEX('Equipo'!$B$5:$B$29,MATCH($B537,'Equipo'!$A$5:$A$29,0))),0))),"")</f>
        <v/>
      </c>
      <c r="H537" s="25">
        <f>IFERROR(IF(OR($B537="",$C537=""),"",IF(MATCH($C537,'Ajustes'!$A$5:$A$8,0)=4,$D537/INDEX('Equipo'!$B$5:$B$29,MATCH($B537,'Equipo'!$A$5:$A$29,0))+$E537,0)),"")</f>
        <v/>
      </c>
      <c r="I537" s="26">
        <f>IF($B537='Perfil'!$B$3,COUNTIF($B$4:$B537,'Perfil'!$B$3),"")</f>
        <v/>
      </c>
    </row>
    <row r="538">
      <c r="A538" s="22" t="n"/>
      <c r="B538" s="23" t="n"/>
      <c r="C538" s="23" t="n"/>
      <c r="D538" s="24" t="n"/>
      <c r="E538" s="24" t="n"/>
      <c r="F538" s="23" t="n"/>
      <c r="G538" s="19">
        <f>IFERROR(IF(OR($B538="",$C538=""),"",IF(MATCH($C538,'Ajustes'!$A$5:$A$8,0)&lt;=2,$D538*INDEX('Ajustes'!$C$5:$C$6,MATCH($C538,'Ajustes'!$A$5:$A$8,0)),IF(MATCH($C538,'Ajustes'!$A$5:$A$8,0)=3,-($D538+$E538*INDEX('Equipo'!$B$5:$B$29,MATCH($B538,'Equipo'!$A$5:$A$29,0))),0))),"")</f>
        <v/>
      </c>
      <c r="H538" s="25">
        <f>IFERROR(IF(OR($B538="",$C538=""),"",IF(MATCH($C538,'Ajustes'!$A$5:$A$8,0)=4,$D538/INDEX('Equipo'!$B$5:$B$29,MATCH($B538,'Equipo'!$A$5:$A$29,0))+$E538,0)),"")</f>
        <v/>
      </c>
      <c r="I538" s="26">
        <f>IF($B538='Perfil'!$B$3,COUNTIF($B$4:$B538,'Perfil'!$B$3),"")</f>
        <v/>
      </c>
    </row>
    <row r="539">
      <c r="A539" s="22" t="n"/>
      <c r="B539" s="23" t="n"/>
      <c r="C539" s="23" t="n"/>
      <c r="D539" s="24" t="n"/>
      <c r="E539" s="24" t="n"/>
      <c r="F539" s="23" t="n"/>
      <c r="G539" s="19">
        <f>IFERROR(IF(OR($B539="",$C539=""),"",IF(MATCH($C539,'Ajustes'!$A$5:$A$8,0)&lt;=2,$D539*INDEX('Ajustes'!$C$5:$C$6,MATCH($C539,'Ajustes'!$A$5:$A$8,0)),IF(MATCH($C539,'Ajustes'!$A$5:$A$8,0)=3,-($D539+$E539*INDEX('Equipo'!$B$5:$B$29,MATCH($B539,'Equipo'!$A$5:$A$29,0))),0))),"")</f>
        <v/>
      </c>
      <c r="H539" s="25">
        <f>IFERROR(IF(OR($B539="",$C539=""),"",IF(MATCH($C539,'Ajustes'!$A$5:$A$8,0)=4,$D539/INDEX('Equipo'!$B$5:$B$29,MATCH($B539,'Equipo'!$A$5:$A$29,0))+$E539,0)),"")</f>
        <v/>
      </c>
      <c r="I539" s="26">
        <f>IF($B539='Perfil'!$B$3,COUNTIF($B$4:$B539,'Perfil'!$B$3),"")</f>
        <v/>
      </c>
    </row>
    <row r="540">
      <c r="A540" s="22" t="n"/>
      <c r="B540" s="23" t="n"/>
      <c r="C540" s="23" t="n"/>
      <c r="D540" s="24" t="n"/>
      <c r="E540" s="24" t="n"/>
      <c r="F540" s="23" t="n"/>
      <c r="G540" s="19">
        <f>IFERROR(IF(OR($B540="",$C540=""),"",IF(MATCH($C540,'Ajustes'!$A$5:$A$8,0)&lt;=2,$D540*INDEX('Ajustes'!$C$5:$C$6,MATCH($C540,'Ajustes'!$A$5:$A$8,0)),IF(MATCH($C540,'Ajustes'!$A$5:$A$8,0)=3,-($D540+$E540*INDEX('Equipo'!$B$5:$B$29,MATCH($B540,'Equipo'!$A$5:$A$29,0))),0))),"")</f>
        <v/>
      </c>
      <c r="H540" s="25">
        <f>IFERROR(IF(OR($B540="",$C540=""),"",IF(MATCH($C540,'Ajustes'!$A$5:$A$8,0)=4,$D540/INDEX('Equipo'!$B$5:$B$29,MATCH($B540,'Equipo'!$A$5:$A$29,0))+$E540,0)),"")</f>
        <v/>
      </c>
      <c r="I540" s="26">
        <f>IF($B540='Perfil'!$B$3,COUNTIF($B$4:$B540,'Perfil'!$B$3),"")</f>
        <v/>
      </c>
    </row>
    <row r="541">
      <c r="A541" s="22" t="n"/>
      <c r="B541" s="23" t="n"/>
      <c r="C541" s="23" t="n"/>
      <c r="D541" s="24" t="n"/>
      <c r="E541" s="24" t="n"/>
      <c r="F541" s="23" t="n"/>
      <c r="G541" s="19">
        <f>IFERROR(IF(OR($B541="",$C541=""),"",IF(MATCH($C541,'Ajustes'!$A$5:$A$8,0)&lt;=2,$D541*INDEX('Ajustes'!$C$5:$C$6,MATCH($C541,'Ajustes'!$A$5:$A$8,0)),IF(MATCH($C541,'Ajustes'!$A$5:$A$8,0)=3,-($D541+$E541*INDEX('Equipo'!$B$5:$B$29,MATCH($B541,'Equipo'!$A$5:$A$29,0))),0))),"")</f>
        <v/>
      </c>
      <c r="H541" s="25">
        <f>IFERROR(IF(OR($B541="",$C541=""),"",IF(MATCH($C541,'Ajustes'!$A$5:$A$8,0)=4,$D541/INDEX('Equipo'!$B$5:$B$29,MATCH($B541,'Equipo'!$A$5:$A$29,0))+$E541,0)),"")</f>
        <v/>
      </c>
      <c r="I541" s="26">
        <f>IF($B541='Perfil'!$B$3,COUNTIF($B$4:$B541,'Perfil'!$B$3),"")</f>
        <v/>
      </c>
    </row>
    <row r="542">
      <c r="A542" s="22" t="n"/>
      <c r="B542" s="23" t="n"/>
      <c r="C542" s="23" t="n"/>
      <c r="D542" s="24" t="n"/>
      <c r="E542" s="24" t="n"/>
      <c r="F542" s="23" t="n"/>
      <c r="G542" s="19">
        <f>IFERROR(IF(OR($B542="",$C542=""),"",IF(MATCH($C542,'Ajustes'!$A$5:$A$8,0)&lt;=2,$D542*INDEX('Ajustes'!$C$5:$C$6,MATCH($C542,'Ajustes'!$A$5:$A$8,0)),IF(MATCH($C542,'Ajustes'!$A$5:$A$8,0)=3,-($D542+$E542*INDEX('Equipo'!$B$5:$B$29,MATCH($B542,'Equipo'!$A$5:$A$29,0))),0))),"")</f>
        <v/>
      </c>
      <c r="H542" s="25">
        <f>IFERROR(IF(OR($B542="",$C542=""),"",IF(MATCH($C542,'Ajustes'!$A$5:$A$8,0)=4,$D542/INDEX('Equipo'!$B$5:$B$29,MATCH($B542,'Equipo'!$A$5:$A$29,0))+$E542,0)),"")</f>
        <v/>
      </c>
      <c r="I542" s="26">
        <f>IF($B542='Perfil'!$B$3,COUNTIF($B$4:$B542,'Perfil'!$B$3),"")</f>
        <v/>
      </c>
    </row>
    <row r="543">
      <c r="A543" s="22" t="n"/>
      <c r="B543" s="23" t="n"/>
      <c r="C543" s="23" t="n"/>
      <c r="D543" s="24" t="n"/>
      <c r="E543" s="24" t="n"/>
      <c r="F543" s="23" t="n"/>
      <c r="G543" s="19">
        <f>IFERROR(IF(OR($B543="",$C543=""),"",IF(MATCH($C543,'Ajustes'!$A$5:$A$8,0)&lt;=2,$D543*INDEX('Ajustes'!$C$5:$C$6,MATCH($C543,'Ajustes'!$A$5:$A$8,0)),IF(MATCH($C543,'Ajustes'!$A$5:$A$8,0)=3,-($D543+$E543*INDEX('Equipo'!$B$5:$B$29,MATCH($B543,'Equipo'!$A$5:$A$29,0))),0))),"")</f>
        <v/>
      </c>
      <c r="H543" s="25">
        <f>IFERROR(IF(OR($B543="",$C543=""),"",IF(MATCH($C543,'Ajustes'!$A$5:$A$8,0)=4,$D543/INDEX('Equipo'!$B$5:$B$29,MATCH($B543,'Equipo'!$A$5:$A$29,0))+$E543,0)),"")</f>
        <v/>
      </c>
      <c r="I543" s="26">
        <f>IF($B543='Perfil'!$B$3,COUNTIF($B$4:$B543,'Perfil'!$B$3),"")</f>
        <v/>
      </c>
    </row>
    <row r="544">
      <c r="A544" s="22" t="n"/>
      <c r="B544" s="23" t="n"/>
      <c r="C544" s="23" t="n"/>
      <c r="D544" s="24" t="n"/>
      <c r="E544" s="24" t="n"/>
      <c r="F544" s="23" t="n"/>
      <c r="G544" s="19">
        <f>IFERROR(IF(OR($B544="",$C544=""),"",IF(MATCH($C544,'Ajustes'!$A$5:$A$8,0)&lt;=2,$D544*INDEX('Ajustes'!$C$5:$C$6,MATCH($C544,'Ajustes'!$A$5:$A$8,0)),IF(MATCH($C544,'Ajustes'!$A$5:$A$8,0)=3,-($D544+$E544*INDEX('Equipo'!$B$5:$B$29,MATCH($B544,'Equipo'!$A$5:$A$29,0))),0))),"")</f>
        <v/>
      </c>
      <c r="H544" s="25">
        <f>IFERROR(IF(OR($B544="",$C544=""),"",IF(MATCH($C544,'Ajustes'!$A$5:$A$8,0)=4,$D544/INDEX('Equipo'!$B$5:$B$29,MATCH($B544,'Equipo'!$A$5:$A$29,0))+$E544,0)),"")</f>
        <v/>
      </c>
      <c r="I544" s="26">
        <f>IF($B544='Perfil'!$B$3,COUNTIF($B$4:$B544,'Perfil'!$B$3),"")</f>
        <v/>
      </c>
    </row>
    <row r="545">
      <c r="A545" s="22" t="n"/>
      <c r="B545" s="23" t="n"/>
      <c r="C545" s="23" t="n"/>
      <c r="D545" s="24" t="n"/>
      <c r="E545" s="24" t="n"/>
      <c r="F545" s="23" t="n"/>
      <c r="G545" s="19">
        <f>IFERROR(IF(OR($B545="",$C545=""),"",IF(MATCH($C545,'Ajustes'!$A$5:$A$8,0)&lt;=2,$D545*INDEX('Ajustes'!$C$5:$C$6,MATCH($C545,'Ajustes'!$A$5:$A$8,0)),IF(MATCH($C545,'Ajustes'!$A$5:$A$8,0)=3,-($D545+$E545*INDEX('Equipo'!$B$5:$B$29,MATCH($B545,'Equipo'!$A$5:$A$29,0))),0))),"")</f>
        <v/>
      </c>
      <c r="H545" s="25">
        <f>IFERROR(IF(OR($B545="",$C545=""),"",IF(MATCH($C545,'Ajustes'!$A$5:$A$8,0)=4,$D545/INDEX('Equipo'!$B$5:$B$29,MATCH($B545,'Equipo'!$A$5:$A$29,0))+$E545,0)),"")</f>
        <v/>
      </c>
      <c r="I545" s="26">
        <f>IF($B545='Perfil'!$B$3,COUNTIF($B$4:$B545,'Perfil'!$B$3),"")</f>
        <v/>
      </c>
    </row>
    <row r="546">
      <c r="A546" s="22" t="n"/>
      <c r="B546" s="23" t="n"/>
      <c r="C546" s="23" t="n"/>
      <c r="D546" s="24" t="n"/>
      <c r="E546" s="24" t="n"/>
      <c r="F546" s="23" t="n"/>
      <c r="G546" s="19">
        <f>IFERROR(IF(OR($B546="",$C546=""),"",IF(MATCH($C546,'Ajustes'!$A$5:$A$8,0)&lt;=2,$D546*INDEX('Ajustes'!$C$5:$C$6,MATCH($C546,'Ajustes'!$A$5:$A$8,0)),IF(MATCH($C546,'Ajustes'!$A$5:$A$8,0)=3,-($D546+$E546*INDEX('Equipo'!$B$5:$B$29,MATCH($B546,'Equipo'!$A$5:$A$29,0))),0))),"")</f>
        <v/>
      </c>
      <c r="H546" s="25">
        <f>IFERROR(IF(OR($B546="",$C546=""),"",IF(MATCH($C546,'Ajustes'!$A$5:$A$8,0)=4,$D546/INDEX('Equipo'!$B$5:$B$29,MATCH($B546,'Equipo'!$A$5:$A$29,0))+$E546,0)),"")</f>
        <v/>
      </c>
      <c r="I546" s="26">
        <f>IF($B546='Perfil'!$B$3,COUNTIF($B$4:$B546,'Perfil'!$B$3),"")</f>
        <v/>
      </c>
    </row>
    <row r="547">
      <c r="A547" s="22" t="n"/>
      <c r="B547" s="23" t="n"/>
      <c r="C547" s="23" t="n"/>
      <c r="D547" s="24" t="n"/>
      <c r="E547" s="24" t="n"/>
      <c r="F547" s="23" t="n"/>
      <c r="G547" s="19">
        <f>IFERROR(IF(OR($B547="",$C547=""),"",IF(MATCH($C547,'Ajustes'!$A$5:$A$8,0)&lt;=2,$D547*INDEX('Ajustes'!$C$5:$C$6,MATCH($C547,'Ajustes'!$A$5:$A$8,0)),IF(MATCH($C547,'Ajustes'!$A$5:$A$8,0)=3,-($D547+$E547*INDEX('Equipo'!$B$5:$B$29,MATCH($B547,'Equipo'!$A$5:$A$29,0))),0))),"")</f>
        <v/>
      </c>
      <c r="H547" s="25">
        <f>IFERROR(IF(OR($B547="",$C547=""),"",IF(MATCH($C547,'Ajustes'!$A$5:$A$8,0)=4,$D547/INDEX('Equipo'!$B$5:$B$29,MATCH($B547,'Equipo'!$A$5:$A$29,0))+$E547,0)),"")</f>
        <v/>
      </c>
      <c r="I547" s="26">
        <f>IF($B547='Perfil'!$B$3,COUNTIF($B$4:$B547,'Perfil'!$B$3),"")</f>
        <v/>
      </c>
    </row>
    <row r="548">
      <c r="A548" s="22" t="n"/>
      <c r="B548" s="23" t="n"/>
      <c r="C548" s="23" t="n"/>
      <c r="D548" s="24" t="n"/>
      <c r="E548" s="24" t="n"/>
      <c r="F548" s="23" t="n"/>
      <c r="G548" s="19">
        <f>IFERROR(IF(OR($B548="",$C548=""),"",IF(MATCH($C548,'Ajustes'!$A$5:$A$8,0)&lt;=2,$D548*INDEX('Ajustes'!$C$5:$C$6,MATCH($C548,'Ajustes'!$A$5:$A$8,0)),IF(MATCH($C548,'Ajustes'!$A$5:$A$8,0)=3,-($D548+$E548*INDEX('Equipo'!$B$5:$B$29,MATCH($B548,'Equipo'!$A$5:$A$29,0))),0))),"")</f>
        <v/>
      </c>
      <c r="H548" s="25">
        <f>IFERROR(IF(OR($B548="",$C548=""),"",IF(MATCH($C548,'Ajustes'!$A$5:$A$8,0)=4,$D548/INDEX('Equipo'!$B$5:$B$29,MATCH($B548,'Equipo'!$A$5:$A$29,0))+$E548,0)),"")</f>
        <v/>
      </c>
      <c r="I548" s="26">
        <f>IF($B548='Perfil'!$B$3,COUNTIF($B$4:$B548,'Perfil'!$B$3),"")</f>
        <v/>
      </c>
    </row>
    <row r="549">
      <c r="A549" s="22" t="n"/>
      <c r="B549" s="23" t="n"/>
      <c r="C549" s="23" t="n"/>
      <c r="D549" s="24" t="n"/>
      <c r="E549" s="24" t="n"/>
      <c r="F549" s="23" t="n"/>
      <c r="G549" s="19">
        <f>IFERROR(IF(OR($B549="",$C549=""),"",IF(MATCH($C549,'Ajustes'!$A$5:$A$8,0)&lt;=2,$D549*INDEX('Ajustes'!$C$5:$C$6,MATCH($C549,'Ajustes'!$A$5:$A$8,0)),IF(MATCH($C549,'Ajustes'!$A$5:$A$8,0)=3,-($D549+$E549*INDEX('Equipo'!$B$5:$B$29,MATCH($B549,'Equipo'!$A$5:$A$29,0))),0))),"")</f>
        <v/>
      </c>
      <c r="H549" s="25">
        <f>IFERROR(IF(OR($B549="",$C549=""),"",IF(MATCH($C549,'Ajustes'!$A$5:$A$8,0)=4,$D549/INDEX('Equipo'!$B$5:$B$29,MATCH($B549,'Equipo'!$A$5:$A$29,0))+$E549,0)),"")</f>
        <v/>
      </c>
      <c r="I549" s="26">
        <f>IF($B549='Perfil'!$B$3,COUNTIF($B$4:$B549,'Perfil'!$B$3),"")</f>
        <v/>
      </c>
    </row>
    <row r="550">
      <c r="A550" s="22" t="n"/>
      <c r="B550" s="23" t="n"/>
      <c r="C550" s="23" t="n"/>
      <c r="D550" s="24" t="n"/>
      <c r="E550" s="24" t="n"/>
      <c r="F550" s="23" t="n"/>
      <c r="G550" s="19">
        <f>IFERROR(IF(OR($B550="",$C550=""),"",IF(MATCH($C550,'Ajustes'!$A$5:$A$8,0)&lt;=2,$D550*INDEX('Ajustes'!$C$5:$C$6,MATCH($C550,'Ajustes'!$A$5:$A$8,0)),IF(MATCH($C550,'Ajustes'!$A$5:$A$8,0)=3,-($D550+$E550*INDEX('Equipo'!$B$5:$B$29,MATCH($B550,'Equipo'!$A$5:$A$29,0))),0))),"")</f>
        <v/>
      </c>
      <c r="H550" s="25">
        <f>IFERROR(IF(OR($B550="",$C550=""),"",IF(MATCH($C550,'Ajustes'!$A$5:$A$8,0)=4,$D550/INDEX('Equipo'!$B$5:$B$29,MATCH($B550,'Equipo'!$A$5:$A$29,0))+$E550,0)),"")</f>
        <v/>
      </c>
      <c r="I550" s="26">
        <f>IF($B550='Perfil'!$B$3,COUNTIF($B$4:$B550,'Perfil'!$B$3),"")</f>
        <v/>
      </c>
    </row>
    <row r="551">
      <c r="A551" s="22" t="n"/>
      <c r="B551" s="23" t="n"/>
      <c r="C551" s="23" t="n"/>
      <c r="D551" s="24" t="n"/>
      <c r="E551" s="24" t="n"/>
      <c r="F551" s="23" t="n"/>
      <c r="G551" s="19">
        <f>IFERROR(IF(OR($B551="",$C551=""),"",IF(MATCH($C551,'Ajustes'!$A$5:$A$8,0)&lt;=2,$D551*INDEX('Ajustes'!$C$5:$C$6,MATCH($C551,'Ajustes'!$A$5:$A$8,0)),IF(MATCH($C551,'Ajustes'!$A$5:$A$8,0)=3,-($D551+$E551*INDEX('Equipo'!$B$5:$B$29,MATCH($B551,'Equipo'!$A$5:$A$29,0))),0))),"")</f>
        <v/>
      </c>
      <c r="H551" s="25">
        <f>IFERROR(IF(OR($B551="",$C551=""),"",IF(MATCH($C551,'Ajustes'!$A$5:$A$8,0)=4,$D551/INDEX('Equipo'!$B$5:$B$29,MATCH($B551,'Equipo'!$A$5:$A$29,0))+$E551,0)),"")</f>
        <v/>
      </c>
      <c r="I551" s="26">
        <f>IF($B551='Perfil'!$B$3,COUNTIF($B$4:$B551,'Perfil'!$B$3),"")</f>
        <v/>
      </c>
    </row>
    <row r="552">
      <c r="A552" s="22" t="n"/>
      <c r="B552" s="23" t="n"/>
      <c r="C552" s="23" t="n"/>
      <c r="D552" s="24" t="n"/>
      <c r="E552" s="24" t="n"/>
      <c r="F552" s="23" t="n"/>
      <c r="G552" s="19">
        <f>IFERROR(IF(OR($B552="",$C552=""),"",IF(MATCH($C552,'Ajustes'!$A$5:$A$8,0)&lt;=2,$D552*INDEX('Ajustes'!$C$5:$C$6,MATCH($C552,'Ajustes'!$A$5:$A$8,0)),IF(MATCH($C552,'Ajustes'!$A$5:$A$8,0)=3,-($D552+$E552*INDEX('Equipo'!$B$5:$B$29,MATCH($B552,'Equipo'!$A$5:$A$29,0))),0))),"")</f>
        <v/>
      </c>
      <c r="H552" s="25">
        <f>IFERROR(IF(OR($B552="",$C552=""),"",IF(MATCH($C552,'Ajustes'!$A$5:$A$8,0)=4,$D552/INDEX('Equipo'!$B$5:$B$29,MATCH($B552,'Equipo'!$A$5:$A$29,0))+$E552,0)),"")</f>
        <v/>
      </c>
      <c r="I552" s="26">
        <f>IF($B552='Perfil'!$B$3,COUNTIF($B$4:$B552,'Perfil'!$B$3),"")</f>
        <v/>
      </c>
    </row>
    <row r="553">
      <c r="A553" s="22" t="n"/>
      <c r="B553" s="23" t="n"/>
      <c r="C553" s="23" t="n"/>
      <c r="D553" s="24" t="n"/>
      <c r="E553" s="24" t="n"/>
      <c r="F553" s="23" t="n"/>
      <c r="G553" s="19">
        <f>IFERROR(IF(OR($B553="",$C553=""),"",IF(MATCH($C553,'Ajustes'!$A$5:$A$8,0)&lt;=2,$D553*INDEX('Ajustes'!$C$5:$C$6,MATCH($C553,'Ajustes'!$A$5:$A$8,0)),IF(MATCH($C553,'Ajustes'!$A$5:$A$8,0)=3,-($D553+$E553*INDEX('Equipo'!$B$5:$B$29,MATCH($B553,'Equipo'!$A$5:$A$29,0))),0))),"")</f>
        <v/>
      </c>
      <c r="H553" s="25">
        <f>IFERROR(IF(OR($B553="",$C553=""),"",IF(MATCH($C553,'Ajustes'!$A$5:$A$8,0)=4,$D553/INDEX('Equipo'!$B$5:$B$29,MATCH($B553,'Equipo'!$A$5:$A$29,0))+$E553,0)),"")</f>
        <v/>
      </c>
      <c r="I553" s="26">
        <f>IF($B553='Perfil'!$B$3,COUNTIF($B$4:$B553,'Perfil'!$B$3),"")</f>
        <v/>
      </c>
    </row>
    <row r="554">
      <c r="A554" s="22" t="n"/>
      <c r="B554" s="23" t="n"/>
      <c r="C554" s="23" t="n"/>
      <c r="D554" s="24" t="n"/>
      <c r="E554" s="24" t="n"/>
      <c r="F554" s="23" t="n"/>
      <c r="G554" s="19">
        <f>IFERROR(IF(OR($B554="",$C554=""),"",IF(MATCH($C554,'Ajustes'!$A$5:$A$8,0)&lt;=2,$D554*INDEX('Ajustes'!$C$5:$C$6,MATCH($C554,'Ajustes'!$A$5:$A$8,0)),IF(MATCH($C554,'Ajustes'!$A$5:$A$8,0)=3,-($D554+$E554*INDEX('Equipo'!$B$5:$B$29,MATCH($B554,'Equipo'!$A$5:$A$29,0))),0))),"")</f>
        <v/>
      </c>
      <c r="H554" s="25">
        <f>IFERROR(IF(OR($B554="",$C554=""),"",IF(MATCH($C554,'Ajustes'!$A$5:$A$8,0)=4,$D554/INDEX('Equipo'!$B$5:$B$29,MATCH($B554,'Equipo'!$A$5:$A$29,0))+$E554,0)),"")</f>
        <v/>
      </c>
      <c r="I554" s="26">
        <f>IF($B554='Perfil'!$B$3,COUNTIF($B$4:$B554,'Perfil'!$B$3),"")</f>
        <v/>
      </c>
    </row>
    <row r="555">
      <c r="A555" s="22" t="n"/>
      <c r="B555" s="23" t="n"/>
      <c r="C555" s="23" t="n"/>
      <c r="D555" s="24" t="n"/>
      <c r="E555" s="24" t="n"/>
      <c r="F555" s="23" t="n"/>
      <c r="G555" s="19">
        <f>IFERROR(IF(OR($B555="",$C555=""),"",IF(MATCH($C555,'Ajustes'!$A$5:$A$8,0)&lt;=2,$D555*INDEX('Ajustes'!$C$5:$C$6,MATCH($C555,'Ajustes'!$A$5:$A$8,0)),IF(MATCH($C555,'Ajustes'!$A$5:$A$8,0)=3,-($D555+$E555*INDEX('Equipo'!$B$5:$B$29,MATCH($B555,'Equipo'!$A$5:$A$29,0))),0))),"")</f>
        <v/>
      </c>
      <c r="H555" s="25">
        <f>IFERROR(IF(OR($B555="",$C555=""),"",IF(MATCH($C555,'Ajustes'!$A$5:$A$8,0)=4,$D555/INDEX('Equipo'!$B$5:$B$29,MATCH($B555,'Equipo'!$A$5:$A$29,0))+$E555,0)),"")</f>
        <v/>
      </c>
      <c r="I555" s="26">
        <f>IF($B555='Perfil'!$B$3,COUNTIF($B$4:$B555,'Perfil'!$B$3),"")</f>
        <v/>
      </c>
    </row>
    <row r="556">
      <c r="A556" s="22" t="n"/>
      <c r="B556" s="23" t="n"/>
      <c r="C556" s="23" t="n"/>
      <c r="D556" s="24" t="n"/>
      <c r="E556" s="24" t="n"/>
      <c r="F556" s="23" t="n"/>
      <c r="G556" s="19">
        <f>IFERROR(IF(OR($B556="",$C556=""),"",IF(MATCH($C556,'Ajustes'!$A$5:$A$8,0)&lt;=2,$D556*INDEX('Ajustes'!$C$5:$C$6,MATCH($C556,'Ajustes'!$A$5:$A$8,0)),IF(MATCH($C556,'Ajustes'!$A$5:$A$8,0)=3,-($D556+$E556*INDEX('Equipo'!$B$5:$B$29,MATCH($B556,'Equipo'!$A$5:$A$29,0))),0))),"")</f>
        <v/>
      </c>
      <c r="H556" s="25">
        <f>IFERROR(IF(OR($B556="",$C556=""),"",IF(MATCH($C556,'Ajustes'!$A$5:$A$8,0)=4,$D556/INDEX('Equipo'!$B$5:$B$29,MATCH($B556,'Equipo'!$A$5:$A$29,0))+$E556,0)),"")</f>
        <v/>
      </c>
      <c r="I556" s="26">
        <f>IF($B556='Perfil'!$B$3,COUNTIF($B$4:$B556,'Perfil'!$B$3),"")</f>
        <v/>
      </c>
    </row>
    <row r="557">
      <c r="A557" s="22" t="n"/>
      <c r="B557" s="23" t="n"/>
      <c r="C557" s="23" t="n"/>
      <c r="D557" s="24" t="n"/>
      <c r="E557" s="24" t="n"/>
      <c r="F557" s="23" t="n"/>
      <c r="G557" s="19">
        <f>IFERROR(IF(OR($B557="",$C557=""),"",IF(MATCH($C557,'Ajustes'!$A$5:$A$8,0)&lt;=2,$D557*INDEX('Ajustes'!$C$5:$C$6,MATCH($C557,'Ajustes'!$A$5:$A$8,0)),IF(MATCH($C557,'Ajustes'!$A$5:$A$8,0)=3,-($D557+$E557*INDEX('Equipo'!$B$5:$B$29,MATCH($B557,'Equipo'!$A$5:$A$29,0))),0))),"")</f>
        <v/>
      </c>
      <c r="H557" s="25">
        <f>IFERROR(IF(OR($B557="",$C557=""),"",IF(MATCH($C557,'Ajustes'!$A$5:$A$8,0)=4,$D557/INDEX('Equipo'!$B$5:$B$29,MATCH($B557,'Equipo'!$A$5:$A$29,0))+$E557,0)),"")</f>
        <v/>
      </c>
      <c r="I557" s="26">
        <f>IF($B557='Perfil'!$B$3,COUNTIF($B$4:$B557,'Perfil'!$B$3),"")</f>
        <v/>
      </c>
    </row>
    <row r="558">
      <c r="A558" s="22" t="n"/>
      <c r="B558" s="23" t="n"/>
      <c r="C558" s="23" t="n"/>
      <c r="D558" s="24" t="n"/>
      <c r="E558" s="24" t="n"/>
      <c r="F558" s="23" t="n"/>
      <c r="G558" s="19">
        <f>IFERROR(IF(OR($B558="",$C558=""),"",IF(MATCH($C558,'Ajustes'!$A$5:$A$8,0)&lt;=2,$D558*INDEX('Ajustes'!$C$5:$C$6,MATCH($C558,'Ajustes'!$A$5:$A$8,0)),IF(MATCH($C558,'Ajustes'!$A$5:$A$8,0)=3,-($D558+$E558*INDEX('Equipo'!$B$5:$B$29,MATCH($B558,'Equipo'!$A$5:$A$29,0))),0))),"")</f>
        <v/>
      </c>
      <c r="H558" s="25">
        <f>IFERROR(IF(OR($B558="",$C558=""),"",IF(MATCH($C558,'Ajustes'!$A$5:$A$8,0)=4,$D558/INDEX('Equipo'!$B$5:$B$29,MATCH($B558,'Equipo'!$A$5:$A$29,0))+$E558,0)),"")</f>
        <v/>
      </c>
      <c r="I558" s="26">
        <f>IF($B558='Perfil'!$B$3,COUNTIF($B$4:$B558,'Perfil'!$B$3),"")</f>
        <v/>
      </c>
    </row>
    <row r="559">
      <c r="A559" s="22" t="n"/>
      <c r="B559" s="23" t="n"/>
      <c r="C559" s="23" t="n"/>
      <c r="D559" s="24" t="n"/>
      <c r="E559" s="24" t="n"/>
      <c r="F559" s="23" t="n"/>
      <c r="G559" s="19">
        <f>IFERROR(IF(OR($B559="",$C559=""),"",IF(MATCH($C559,'Ajustes'!$A$5:$A$8,0)&lt;=2,$D559*INDEX('Ajustes'!$C$5:$C$6,MATCH($C559,'Ajustes'!$A$5:$A$8,0)),IF(MATCH($C559,'Ajustes'!$A$5:$A$8,0)=3,-($D559+$E559*INDEX('Equipo'!$B$5:$B$29,MATCH($B559,'Equipo'!$A$5:$A$29,0))),0))),"")</f>
        <v/>
      </c>
      <c r="H559" s="25">
        <f>IFERROR(IF(OR($B559="",$C559=""),"",IF(MATCH($C559,'Ajustes'!$A$5:$A$8,0)=4,$D559/INDEX('Equipo'!$B$5:$B$29,MATCH($B559,'Equipo'!$A$5:$A$29,0))+$E559,0)),"")</f>
        <v/>
      </c>
      <c r="I559" s="26">
        <f>IF($B559='Perfil'!$B$3,COUNTIF($B$4:$B559,'Perfil'!$B$3),"")</f>
        <v/>
      </c>
    </row>
    <row r="560">
      <c r="A560" s="22" t="n"/>
      <c r="B560" s="23" t="n"/>
      <c r="C560" s="23" t="n"/>
      <c r="D560" s="24" t="n"/>
      <c r="E560" s="24" t="n"/>
      <c r="F560" s="23" t="n"/>
      <c r="G560" s="19">
        <f>IFERROR(IF(OR($B560="",$C560=""),"",IF(MATCH($C560,'Ajustes'!$A$5:$A$8,0)&lt;=2,$D560*INDEX('Ajustes'!$C$5:$C$6,MATCH($C560,'Ajustes'!$A$5:$A$8,0)),IF(MATCH($C560,'Ajustes'!$A$5:$A$8,0)=3,-($D560+$E560*INDEX('Equipo'!$B$5:$B$29,MATCH($B560,'Equipo'!$A$5:$A$29,0))),0))),"")</f>
        <v/>
      </c>
      <c r="H560" s="25">
        <f>IFERROR(IF(OR($B560="",$C560=""),"",IF(MATCH($C560,'Ajustes'!$A$5:$A$8,0)=4,$D560/INDEX('Equipo'!$B$5:$B$29,MATCH($B560,'Equipo'!$A$5:$A$29,0))+$E560,0)),"")</f>
        <v/>
      </c>
      <c r="I560" s="26">
        <f>IF($B560='Perfil'!$B$3,COUNTIF($B$4:$B560,'Perfil'!$B$3),"")</f>
        <v/>
      </c>
    </row>
    <row r="561">
      <c r="A561" s="22" t="n"/>
      <c r="B561" s="23" t="n"/>
      <c r="C561" s="23" t="n"/>
      <c r="D561" s="24" t="n"/>
      <c r="E561" s="24" t="n"/>
      <c r="F561" s="23" t="n"/>
      <c r="G561" s="19">
        <f>IFERROR(IF(OR($B561="",$C561=""),"",IF(MATCH($C561,'Ajustes'!$A$5:$A$8,0)&lt;=2,$D561*INDEX('Ajustes'!$C$5:$C$6,MATCH($C561,'Ajustes'!$A$5:$A$8,0)),IF(MATCH($C561,'Ajustes'!$A$5:$A$8,0)=3,-($D561+$E561*INDEX('Equipo'!$B$5:$B$29,MATCH($B561,'Equipo'!$A$5:$A$29,0))),0))),"")</f>
        <v/>
      </c>
      <c r="H561" s="25">
        <f>IFERROR(IF(OR($B561="",$C561=""),"",IF(MATCH($C561,'Ajustes'!$A$5:$A$8,0)=4,$D561/INDEX('Equipo'!$B$5:$B$29,MATCH($B561,'Equipo'!$A$5:$A$29,0))+$E561,0)),"")</f>
        <v/>
      </c>
      <c r="I561" s="26">
        <f>IF($B561='Perfil'!$B$3,COUNTIF($B$4:$B561,'Perfil'!$B$3),"")</f>
        <v/>
      </c>
    </row>
    <row r="562">
      <c r="A562" s="22" t="n"/>
      <c r="B562" s="23" t="n"/>
      <c r="C562" s="23" t="n"/>
      <c r="D562" s="24" t="n"/>
      <c r="E562" s="24" t="n"/>
      <c r="F562" s="23" t="n"/>
      <c r="G562" s="19">
        <f>IFERROR(IF(OR($B562="",$C562=""),"",IF(MATCH($C562,'Ajustes'!$A$5:$A$8,0)&lt;=2,$D562*INDEX('Ajustes'!$C$5:$C$6,MATCH($C562,'Ajustes'!$A$5:$A$8,0)),IF(MATCH($C562,'Ajustes'!$A$5:$A$8,0)=3,-($D562+$E562*INDEX('Equipo'!$B$5:$B$29,MATCH($B562,'Equipo'!$A$5:$A$29,0))),0))),"")</f>
        <v/>
      </c>
      <c r="H562" s="25">
        <f>IFERROR(IF(OR($B562="",$C562=""),"",IF(MATCH($C562,'Ajustes'!$A$5:$A$8,0)=4,$D562/INDEX('Equipo'!$B$5:$B$29,MATCH($B562,'Equipo'!$A$5:$A$29,0))+$E562,0)),"")</f>
        <v/>
      </c>
      <c r="I562" s="26">
        <f>IF($B562='Perfil'!$B$3,COUNTIF($B$4:$B562,'Perfil'!$B$3),"")</f>
        <v/>
      </c>
    </row>
    <row r="563">
      <c r="A563" s="22" t="n"/>
      <c r="B563" s="23" t="n"/>
      <c r="C563" s="23" t="n"/>
      <c r="D563" s="24" t="n"/>
      <c r="E563" s="24" t="n"/>
      <c r="F563" s="23" t="n"/>
      <c r="G563" s="19">
        <f>IFERROR(IF(OR($B563="",$C563=""),"",IF(MATCH($C563,'Ajustes'!$A$5:$A$8,0)&lt;=2,$D563*INDEX('Ajustes'!$C$5:$C$6,MATCH($C563,'Ajustes'!$A$5:$A$8,0)),IF(MATCH($C563,'Ajustes'!$A$5:$A$8,0)=3,-($D563+$E563*INDEX('Equipo'!$B$5:$B$29,MATCH($B563,'Equipo'!$A$5:$A$29,0))),0))),"")</f>
        <v/>
      </c>
      <c r="H563" s="25">
        <f>IFERROR(IF(OR($B563="",$C563=""),"",IF(MATCH($C563,'Ajustes'!$A$5:$A$8,0)=4,$D563/INDEX('Equipo'!$B$5:$B$29,MATCH($B563,'Equipo'!$A$5:$A$29,0))+$E563,0)),"")</f>
        <v/>
      </c>
      <c r="I563" s="26">
        <f>IF($B563='Perfil'!$B$3,COUNTIF($B$4:$B563,'Perfil'!$B$3),"")</f>
        <v/>
      </c>
    </row>
    <row r="564">
      <c r="A564" s="22" t="n"/>
      <c r="B564" s="23" t="n"/>
      <c r="C564" s="23" t="n"/>
      <c r="D564" s="24" t="n"/>
      <c r="E564" s="24" t="n"/>
      <c r="F564" s="23" t="n"/>
      <c r="G564" s="19">
        <f>IFERROR(IF(OR($B564="",$C564=""),"",IF(MATCH($C564,'Ajustes'!$A$5:$A$8,0)&lt;=2,$D564*INDEX('Ajustes'!$C$5:$C$6,MATCH($C564,'Ajustes'!$A$5:$A$8,0)),IF(MATCH($C564,'Ajustes'!$A$5:$A$8,0)=3,-($D564+$E564*INDEX('Equipo'!$B$5:$B$29,MATCH($B564,'Equipo'!$A$5:$A$29,0))),0))),"")</f>
        <v/>
      </c>
      <c r="H564" s="25">
        <f>IFERROR(IF(OR($B564="",$C564=""),"",IF(MATCH($C564,'Ajustes'!$A$5:$A$8,0)=4,$D564/INDEX('Equipo'!$B$5:$B$29,MATCH($B564,'Equipo'!$A$5:$A$29,0))+$E564,0)),"")</f>
        <v/>
      </c>
      <c r="I564" s="26">
        <f>IF($B564='Perfil'!$B$3,COUNTIF($B$4:$B564,'Perfil'!$B$3),"")</f>
        <v/>
      </c>
    </row>
    <row r="565">
      <c r="A565" s="22" t="n"/>
      <c r="B565" s="23" t="n"/>
      <c r="C565" s="23" t="n"/>
      <c r="D565" s="24" t="n"/>
      <c r="E565" s="24" t="n"/>
      <c r="F565" s="23" t="n"/>
      <c r="G565" s="19">
        <f>IFERROR(IF(OR($B565="",$C565=""),"",IF(MATCH($C565,'Ajustes'!$A$5:$A$8,0)&lt;=2,$D565*INDEX('Ajustes'!$C$5:$C$6,MATCH($C565,'Ajustes'!$A$5:$A$8,0)),IF(MATCH($C565,'Ajustes'!$A$5:$A$8,0)=3,-($D565+$E565*INDEX('Equipo'!$B$5:$B$29,MATCH($B565,'Equipo'!$A$5:$A$29,0))),0))),"")</f>
        <v/>
      </c>
      <c r="H565" s="25">
        <f>IFERROR(IF(OR($B565="",$C565=""),"",IF(MATCH($C565,'Ajustes'!$A$5:$A$8,0)=4,$D565/INDEX('Equipo'!$B$5:$B$29,MATCH($B565,'Equipo'!$A$5:$A$29,0))+$E565,0)),"")</f>
        <v/>
      </c>
      <c r="I565" s="26">
        <f>IF($B565='Perfil'!$B$3,COUNTIF($B$4:$B565,'Perfil'!$B$3),"")</f>
        <v/>
      </c>
    </row>
    <row r="566">
      <c r="A566" s="22" t="n"/>
      <c r="B566" s="23" t="n"/>
      <c r="C566" s="23" t="n"/>
      <c r="D566" s="24" t="n"/>
      <c r="E566" s="24" t="n"/>
      <c r="F566" s="23" t="n"/>
      <c r="G566" s="19">
        <f>IFERROR(IF(OR($B566="",$C566=""),"",IF(MATCH($C566,'Ajustes'!$A$5:$A$8,0)&lt;=2,$D566*INDEX('Ajustes'!$C$5:$C$6,MATCH($C566,'Ajustes'!$A$5:$A$8,0)),IF(MATCH($C566,'Ajustes'!$A$5:$A$8,0)=3,-($D566+$E566*INDEX('Equipo'!$B$5:$B$29,MATCH($B566,'Equipo'!$A$5:$A$29,0))),0))),"")</f>
        <v/>
      </c>
      <c r="H566" s="25">
        <f>IFERROR(IF(OR($B566="",$C566=""),"",IF(MATCH($C566,'Ajustes'!$A$5:$A$8,0)=4,$D566/INDEX('Equipo'!$B$5:$B$29,MATCH($B566,'Equipo'!$A$5:$A$29,0))+$E566,0)),"")</f>
        <v/>
      </c>
      <c r="I566" s="26">
        <f>IF($B566='Perfil'!$B$3,COUNTIF($B$4:$B566,'Perfil'!$B$3),"")</f>
        <v/>
      </c>
    </row>
    <row r="567">
      <c r="A567" s="22" t="n"/>
      <c r="B567" s="23" t="n"/>
      <c r="C567" s="23" t="n"/>
      <c r="D567" s="24" t="n"/>
      <c r="E567" s="24" t="n"/>
      <c r="F567" s="23" t="n"/>
      <c r="G567" s="19">
        <f>IFERROR(IF(OR($B567="",$C567=""),"",IF(MATCH($C567,'Ajustes'!$A$5:$A$8,0)&lt;=2,$D567*INDEX('Ajustes'!$C$5:$C$6,MATCH($C567,'Ajustes'!$A$5:$A$8,0)),IF(MATCH($C567,'Ajustes'!$A$5:$A$8,0)=3,-($D567+$E567*INDEX('Equipo'!$B$5:$B$29,MATCH($B567,'Equipo'!$A$5:$A$29,0))),0))),"")</f>
        <v/>
      </c>
      <c r="H567" s="25">
        <f>IFERROR(IF(OR($B567="",$C567=""),"",IF(MATCH($C567,'Ajustes'!$A$5:$A$8,0)=4,$D567/INDEX('Equipo'!$B$5:$B$29,MATCH($B567,'Equipo'!$A$5:$A$29,0))+$E567,0)),"")</f>
        <v/>
      </c>
      <c r="I567" s="26">
        <f>IF($B567='Perfil'!$B$3,COUNTIF($B$4:$B567,'Perfil'!$B$3),"")</f>
        <v/>
      </c>
    </row>
    <row r="568">
      <c r="A568" s="22" t="n"/>
      <c r="B568" s="23" t="n"/>
      <c r="C568" s="23" t="n"/>
      <c r="D568" s="24" t="n"/>
      <c r="E568" s="24" t="n"/>
      <c r="F568" s="23" t="n"/>
      <c r="G568" s="19">
        <f>IFERROR(IF(OR($B568="",$C568=""),"",IF(MATCH($C568,'Ajustes'!$A$5:$A$8,0)&lt;=2,$D568*INDEX('Ajustes'!$C$5:$C$6,MATCH($C568,'Ajustes'!$A$5:$A$8,0)),IF(MATCH($C568,'Ajustes'!$A$5:$A$8,0)=3,-($D568+$E568*INDEX('Equipo'!$B$5:$B$29,MATCH($B568,'Equipo'!$A$5:$A$29,0))),0))),"")</f>
        <v/>
      </c>
      <c r="H568" s="25">
        <f>IFERROR(IF(OR($B568="",$C568=""),"",IF(MATCH($C568,'Ajustes'!$A$5:$A$8,0)=4,$D568/INDEX('Equipo'!$B$5:$B$29,MATCH($B568,'Equipo'!$A$5:$A$29,0))+$E568,0)),"")</f>
        <v/>
      </c>
      <c r="I568" s="26">
        <f>IF($B568='Perfil'!$B$3,COUNTIF($B$4:$B568,'Perfil'!$B$3),"")</f>
        <v/>
      </c>
    </row>
    <row r="569">
      <c r="A569" s="22" t="n"/>
      <c r="B569" s="23" t="n"/>
      <c r="C569" s="23" t="n"/>
      <c r="D569" s="24" t="n"/>
      <c r="E569" s="24" t="n"/>
      <c r="F569" s="23" t="n"/>
      <c r="G569" s="19">
        <f>IFERROR(IF(OR($B569="",$C569=""),"",IF(MATCH($C569,'Ajustes'!$A$5:$A$8,0)&lt;=2,$D569*INDEX('Ajustes'!$C$5:$C$6,MATCH($C569,'Ajustes'!$A$5:$A$8,0)),IF(MATCH($C569,'Ajustes'!$A$5:$A$8,0)=3,-($D569+$E569*INDEX('Equipo'!$B$5:$B$29,MATCH($B569,'Equipo'!$A$5:$A$29,0))),0))),"")</f>
        <v/>
      </c>
      <c r="H569" s="25">
        <f>IFERROR(IF(OR($B569="",$C569=""),"",IF(MATCH($C569,'Ajustes'!$A$5:$A$8,0)=4,$D569/INDEX('Equipo'!$B$5:$B$29,MATCH($B569,'Equipo'!$A$5:$A$29,0))+$E569,0)),"")</f>
        <v/>
      </c>
      <c r="I569" s="26">
        <f>IF($B569='Perfil'!$B$3,COUNTIF($B$4:$B569,'Perfil'!$B$3),"")</f>
        <v/>
      </c>
    </row>
    <row r="570">
      <c r="A570" s="22" t="n"/>
      <c r="B570" s="23" t="n"/>
      <c r="C570" s="23" t="n"/>
      <c r="D570" s="24" t="n"/>
      <c r="E570" s="24" t="n"/>
      <c r="F570" s="23" t="n"/>
      <c r="G570" s="19">
        <f>IFERROR(IF(OR($B570="",$C570=""),"",IF(MATCH($C570,'Ajustes'!$A$5:$A$8,0)&lt;=2,$D570*INDEX('Ajustes'!$C$5:$C$6,MATCH($C570,'Ajustes'!$A$5:$A$8,0)),IF(MATCH($C570,'Ajustes'!$A$5:$A$8,0)=3,-($D570+$E570*INDEX('Equipo'!$B$5:$B$29,MATCH($B570,'Equipo'!$A$5:$A$29,0))),0))),"")</f>
        <v/>
      </c>
      <c r="H570" s="25">
        <f>IFERROR(IF(OR($B570="",$C570=""),"",IF(MATCH($C570,'Ajustes'!$A$5:$A$8,0)=4,$D570/INDEX('Equipo'!$B$5:$B$29,MATCH($B570,'Equipo'!$A$5:$A$29,0))+$E570,0)),"")</f>
        <v/>
      </c>
      <c r="I570" s="26">
        <f>IF($B570='Perfil'!$B$3,COUNTIF($B$4:$B570,'Perfil'!$B$3),"")</f>
        <v/>
      </c>
    </row>
    <row r="571">
      <c r="A571" s="22" t="n"/>
      <c r="B571" s="23" t="n"/>
      <c r="C571" s="23" t="n"/>
      <c r="D571" s="24" t="n"/>
      <c r="E571" s="24" t="n"/>
      <c r="F571" s="23" t="n"/>
      <c r="G571" s="19">
        <f>IFERROR(IF(OR($B571="",$C571=""),"",IF(MATCH($C571,'Ajustes'!$A$5:$A$8,0)&lt;=2,$D571*INDEX('Ajustes'!$C$5:$C$6,MATCH($C571,'Ajustes'!$A$5:$A$8,0)),IF(MATCH($C571,'Ajustes'!$A$5:$A$8,0)=3,-($D571+$E571*INDEX('Equipo'!$B$5:$B$29,MATCH($B571,'Equipo'!$A$5:$A$29,0))),0))),"")</f>
        <v/>
      </c>
      <c r="H571" s="25">
        <f>IFERROR(IF(OR($B571="",$C571=""),"",IF(MATCH($C571,'Ajustes'!$A$5:$A$8,0)=4,$D571/INDEX('Equipo'!$B$5:$B$29,MATCH($B571,'Equipo'!$A$5:$A$29,0))+$E571,0)),"")</f>
        <v/>
      </c>
      <c r="I571" s="26">
        <f>IF($B571='Perfil'!$B$3,COUNTIF($B$4:$B571,'Perfil'!$B$3),"")</f>
        <v/>
      </c>
    </row>
    <row r="572">
      <c r="A572" s="22" t="n"/>
      <c r="B572" s="23" t="n"/>
      <c r="C572" s="23" t="n"/>
      <c r="D572" s="24" t="n"/>
      <c r="E572" s="24" t="n"/>
      <c r="F572" s="23" t="n"/>
      <c r="G572" s="19">
        <f>IFERROR(IF(OR($B572="",$C572=""),"",IF(MATCH($C572,'Ajustes'!$A$5:$A$8,0)&lt;=2,$D572*INDEX('Ajustes'!$C$5:$C$6,MATCH($C572,'Ajustes'!$A$5:$A$8,0)),IF(MATCH($C572,'Ajustes'!$A$5:$A$8,0)=3,-($D572+$E572*INDEX('Equipo'!$B$5:$B$29,MATCH($B572,'Equipo'!$A$5:$A$29,0))),0))),"")</f>
        <v/>
      </c>
      <c r="H572" s="25">
        <f>IFERROR(IF(OR($B572="",$C572=""),"",IF(MATCH($C572,'Ajustes'!$A$5:$A$8,0)=4,$D572/INDEX('Equipo'!$B$5:$B$29,MATCH($B572,'Equipo'!$A$5:$A$29,0))+$E572,0)),"")</f>
        <v/>
      </c>
      <c r="I572" s="26">
        <f>IF($B572='Perfil'!$B$3,COUNTIF($B$4:$B572,'Perfil'!$B$3),"")</f>
        <v/>
      </c>
    </row>
    <row r="573">
      <c r="A573" s="22" t="n"/>
      <c r="B573" s="23" t="n"/>
      <c r="C573" s="23" t="n"/>
      <c r="D573" s="24" t="n"/>
      <c r="E573" s="24" t="n"/>
      <c r="F573" s="23" t="n"/>
      <c r="G573" s="19">
        <f>IFERROR(IF(OR($B573="",$C573=""),"",IF(MATCH($C573,'Ajustes'!$A$5:$A$8,0)&lt;=2,$D573*INDEX('Ajustes'!$C$5:$C$6,MATCH($C573,'Ajustes'!$A$5:$A$8,0)),IF(MATCH($C573,'Ajustes'!$A$5:$A$8,0)=3,-($D573+$E573*INDEX('Equipo'!$B$5:$B$29,MATCH($B573,'Equipo'!$A$5:$A$29,0))),0))),"")</f>
        <v/>
      </c>
      <c r="H573" s="25">
        <f>IFERROR(IF(OR($B573="",$C573=""),"",IF(MATCH($C573,'Ajustes'!$A$5:$A$8,0)=4,$D573/INDEX('Equipo'!$B$5:$B$29,MATCH($B573,'Equipo'!$A$5:$A$29,0))+$E573,0)),"")</f>
        <v/>
      </c>
      <c r="I573" s="26">
        <f>IF($B573='Perfil'!$B$3,COUNTIF($B$4:$B573,'Perfil'!$B$3),"")</f>
        <v/>
      </c>
    </row>
    <row r="574">
      <c r="A574" s="22" t="n"/>
      <c r="B574" s="23" t="n"/>
      <c r="C574" s="23" t="n"/>
      <c r="D574" s="24" t="n"/>
      <c r="E574" s="24" t="n"/>
      <c r="F574" s="23" t="n"/>
      <c r="G574" s="19">
        <f>IFERROR(IF(OR($B574="",$C574=""),"",IF(MATCH($C574,'Ajustes'!$A$5:$A$8,0)&lt;=2,$D574*INDEX('Ajustes'!$C$5:$C$6,MATCH($C574,'Ajustes'!$A$5:$A$8,0)),IF(MATCH($C574,'Ajustes'!$A$5:$A$8,0)=3,-($D574+$E574*INDEX('Equipo'!$B$5:$B$29,MATCH($B574,'Equipo'!$A$5:$A$29,0))),0))),"")</f>
        <v/>
      </c>
      <c r="H574" s="25">
        <f>IFERROR(IF(OR($B574="",$C574=""),"",IF(MATCH($C574,'Ajustes'!$A$5:$A$8,0)=4,$D574/INDEX('Equipo'!$B$5:$B$29,MATCH($B574,'Equipo'!$A$5:$A$29,0))+$E574,0)),"")</f>
        <v/>
      </c>
      <c r="I574" s="26">
        <f>IF($B574='Perfil'!$B$3,COUNTIF($B$4:$B574,'Perfil'!$B$3),"")</f>
        <v/>
      </c>
    </row>
    <row r="575">
      <c r="A575" s="22" t="n"/>
      <c r="B575" s="23" t="n"/>
      <c r="C575" s="23" t="n"/>
      <c r="D575" s="24" t="n"/>
      <c r="E575" s="24" t="n"/>
      <c r="F575" s="23" t="n"/>
      <c r="G575" s="19">
        <f>IFERROR(IF(OR($B575="",$C575=""),"",IF(MATCH($C575,'Ajustes'!$A$5:$A$8,0)&lt;=2,$D575*INDEX('Ajustes'!$C$5:$C$6,MATCH($C575,'Ajustes'!$A$5:$A$8,0)),IF(MATCH($C575,'Ajustes'!$A$5:$A$8,0)=3,-($D575+$E575*INDEX('Equipo'!$B$5:$B$29,MATCH($B575,'Equipo'!$A$5:$A$29,0))),0))),"")</f>
        <v/>
      </c>
      <c r="H575" s="25">
        <f>IFERROR(IF(OR($B575="",$C575=""),"",IF(MATCH($C575,'Ajustes'!$A$5:$A$8,0)=4,$D575/INDEX('Equipo'!$B$5:$B$29,MATCH($B575,'Equipo'!$A$5:$A$29,0))+$E575,0)),"")</f>
        <v/>
      </c>
      <c r="I575" s="26">
        <f>IF($B575='Perfil'!$B$3,COUNTIF($B$4:$B575,'Perfil'!$B$3),"")</f>
        <v/>
      </c>
    </row>
    <row r="576">
      <c r="A576" s="22" t="n"/>
      <c r="B576" s="23" t="n"/>
      <c r="C576" s="23" t="n"/>
      <c r="D576" s="24" t="n"/>
      <c r="E576" s="24" t="n"/>
      <c r="F576" s="23" t="n"/>
      <c r="G576" s="19">
        <f>IFERROR(IF(OR($B576="",$C576=""),"",IF(MATCH($C576,'Ajustes'!$A$5:$A$8,0)&lt;=2,$D576*INDEX('Ajustes'!$C$5:$C$6,MATCH($C576,'Ajustes'!$A$5:$A$8,0)),IF(MATCH($C576,'Ajustes'!$A$5:$A$8,0)=3,-($D576+$E576*INDEX('Equipo'!$B$5:$B$29,MATCH($B576,'Equipo'!$A$5:$A$29,0))),0))),"")</f>
        <v/>
      </c>
      <c r="H576" s="25">
        <f>IFERROR(IF(OR($B576="",$C576=""),"",IF(MATCH($C576,'Ajustes'!$A$5:$A$8,0)=4,$D576/INDEX('Equipo'!$B$5:$B$29,MATCH($B576,'Equipo'!$A$5:$A$29,0))+$E576,0)),"")</f>
        <v/>
      </c>
      <c r="I576" s="26">
        <f>IF($B576='Perfil'!$B$3,COUNTIF($B$4:$B576,'Perfil'!$B$3),"")</f>
        <v/>
      </c>
    </row>
    <row r="577">
      <c r="A577" s="22" t="n"/>
      <c r="B577" s="23" t="n"/>
      <c r="C577" s="23" t="n"/>
      <c r="D577" s="24" t="n"/>
      <c r="E577" s="24" t="n"/>
      <c r="F577" s="23" t="n"/>
      <c r="G577" s="19">
        <f>IFERROR(IF(OR($B577="",$C577=""),"",IF(MATCH($C577,'Ajustes'!$A$5:$A$8,0)&lt;=2,$D577*INDEX('Ajustes'!$C$5:$C$6,MATCH($C577,'Ajustes'!$A$5:$A$8,0)),IF(MATCH($C577,'Ajustes'!$A$5:$A$8,0)=3,-($D577+$E577*INDEX('Equipo'!$B$5:$B$29,MATCH($B577,'Equipo'!$A$5:$A$29,0))),0))),"")</f>
        <v/>
      </c>
      <c r="H577" s="25">
        <f>IFERROR(IF(OR($B577="",$C577=""),"",IF(MATCH($C577,'Ajustes'!$A$5:$A$8,0)=4,$D577/INDEX('Equipo'!$B$5:$B$29,MATCH($B577,'Equipo'!$A$5:$A$29,0))+$E577,0)),"")</f>
        <v/>
      </c>
      <c r="I577" s="26">
        <f>IF($B577='Perfil'!$B$3,COUNTIF($B$4:$B577,'Perfil'!$B$3),"")</f>
        <v/>
      </c>
    </row>
    <row r="578">
      <c r="A578" s="22" t="n"/>
      <c r="B578" s="23" t="n"/>
      <c r="C578" s="23" t="n"/>
      <c r="D578" s="24" t="n"/>
      <c r="E578" s="24" t="n"/>
      <c r="F578" s="23" t="n"/>
      <c r="G578" s="19">
        <f>IFERROR(IF(OR($B578="",$C578=""),"",IF(MATCH($C578,'Ajustes'!$A$5:$A$8,0)&lt;=2,$D578*INDEX('Ajustes'!$C$5:$C$6,MATCH($C578,'Ajustes'!$A$5:$A$8,0)),IF(MATCH($C578,'Ajustes'!$A$5:$A$8,0)=3,-($D578+$E578*INDEX('Equipo'!$B$5:$B$29,MATCH($B578,'Equipo'!$A$5:$A$29,0))),0))),"")</f>
        <v/>
      </c>
      <c r="H578" s="25">
        <f>IFERROR(IF(OR($B578="",$C578=""),"",IF(MATCH($C578,'Ajustes'!$A$5:$A$8,0)=4,$D578/INDEX('Equipo'!$B$5:$B$29,MATCH($B578,'Equipo'!$A$5:$A$29,0))+$E578,0)),"")</f>
        <v/>
      </c>
      <c r="I578" s="26">
        <f>IF($B578='Perfil'!$B$3,COUNTIF($B$4:$B578,'Perfil'!$B$3),"")</f>
        <v/>
      </c>
    </row>
    <row r="579">
      <c r="A579" s="22" t="n"/>
      <c r="B579" s="23" t="n"/>
      <c r="C579" s="23" t="n"/>
      <c r="D579" s="24" t="n"/>
      <c r="E579" s="24" t="n"/>
      <c r="F579" s="23" t="n"/>
      <c r="G579" s="19">
        <f>IFERROR(IF(OR($B579="",$C579=""),"",IF(MATCH($C579,'Ajustes'!$A$5:$A$8,0)&lt;=2,$D579*INDEX('Ajustes'!$C$5:$C$6,MATCH($C579,'Ajustes'!$A$5:$A$8,0)),IF(MATCH($C579,'Ajustes'!$A$5:$A$8,0)=3,-($D579+$E579*INDEX('Equipo'!$B$5:$B$29,MATCH($B579,'Equipo'!$A$5:$A$29,0))),0))),"")</f>
        <v/>
      </c>
      <c r="H579" s="25">
        <f>IFERROR(IF(OR($B579="",$C579=""),"",IF(MATCH($C579,'Ajustes'!$A$5:$A$8,0)=4,$D579/INDEX('Equipo'!$B$5:$B$29,MATCH($B579,'Equipo'!$A$5:$A$29,0))+$E579,0)),"")</f>
        <v/>
      </c>
      <c r="I579" s="26">
        <f>IF($B579='Perfil'!$B$3,COUNTIF($B$4:$B579,'Perfil'!$B$3),"")</f>
        <v/>
      </c>
    </row>
    <row r="580">
      <c r="A580" s="22" t="n"/>
      <c r="B580" s="23" t="n"/>
      <c r="C580" s="23" t="n"/>
      <c r="D580" s="24" t="n"/>
      <c r="E580" s="24" t="n"/>
      <c r="F580" s="23" t="n"/>
      <c r="G580" s="19">
        <f>IFERROR(IF(OR($B580="",$C580=""),"",IF(MATCH($C580,'Ajustes'!$A$5:$A$8,0)&lt;=2,$D580*INDEX('Ajustes'!$C$5:$C$6,MATCH($C580,'Ajustes'!$A$5:$A$8,0)),IF(MATCH($C580,'Ajustes'!$A$5:$A$8,0)=3,-($D580+$E580*INDEX('Equipo'!$B$5:$B$29,MATCH($B580,'Equipo'!$A$5:$A$29,0))),0))),"")</f>
        <v/>
      </c>
      <c r="H580" s="25">
        <f>IFERROR(IF(OR($B580="",$C580=""),"",IF(MATCH($C580,'Ajustes'!$A$5:$A$8,0)=4,$D580/INDEX('Equipo'!$B$5:$B$29,MATCH($B580,'Equipo'!$A$5:$A$29,0))+$E580,0)),"")</f>
        <v/>
      </c>
      <c r="I580" s="26">
        <f>IF($B580='Perfil'!$B$3,COUNTIF($B$4:$B580,'Perfil'!$B$3),"")</f>
        <v/>
      </c>
    </row>
    <row r="581">
      <c r="A581" s="22" t="n"/>
      <c r="B581" s="23" t="n"/>
      <c r="C581" s="23" t="n"/>
      <c r="D581" s="24" t="n"/>
      <c r="E581" s="24" t="n"/>
      <c r="F581" s="23" t="n"/>
      <c r="G581" s="19">
        <f>IFERROR(IF(OR($B581="",$C581=""),"",IF(MATCH($C581,'Ajustes'!$A$5:$A$8,0)&lt;=2,$D581*INDEX('Ajustes'!$C$5:$C$6,MATCH($C581,'Ajustes'!$A$5:$A$8,0)),IF(MATCH($C581,'Ajustes'!$A$5:$A$8,0)=3,-($D581+$E581*INDEX('Equipo'!$B$5:$B$29,MATCH($B581,'Equipo'!$A$5:$A$29,0))),0))),"")</f>
        <v/>
      </c>
      <c r="H581" s="25">
        <f>IFERROR(IF(OR($B581="",$C581=""),"",IF(MATCH($C581,'Ajustes'!$A$5:$A$8,0)=4,$D581/INDEX('Equipo'!$B$5:$B$29,MATCH($B581,'Equipo'!$A$5:$A$29,0))+$E581,0)),"")</f>
        <v/>
      </c>
      <c r="I581" s="26">
        <f>IF($B581='Perfil'!$B$3,COUNTIF($B$4:$B581,'Perfil'!$B$3),"")</f>
        <v/>
      </c>
    </row>
    <row r="582">
      <c r="A582" s="22" t="n"/>
      <c r="B582" s="23" t="n"/>
      <c r="C582" s="23" t="n"/>
      <c r="D582" s="24" t="n"/>
      <c r="E582" s="24" t="n"/>
      <c r="F582" s="23" t="n"/>
      <c r="G582" s="19">
        <f>IFERROR(IF(OR($B582="",$C582=""),"",IF(MATCH($C582,'Ajustes'!$A$5:$A$8,0)&lt;=2,$D582*INDEX('Ajustes'!$C$5:$C$6,MATCH($C582,'Ajustes'!$A$5:$A$8,0)),IF(MATCH($C582,'Ajustes'!$A$5:$A$8,0)=3,-($D582+$E582*INDEX('Equipo'!$B$5:$B$29,MATCH($B582,'Equipo'!$A$5:$A$29,0))),0))),"")</f>
        <v/>
      </c>
      <c r="H582" s="25">
        <f>IFERROR(IF(OR($B582="",$C582=""),"",IF(MATCH($C582,'Ajustes'!$A$5:$A$8,0)=4,$D582/INDEX('Equipo'!$B$5:$B$29,MATCH($B582,'Equipo'!$A$5:$A$29,0))+$E582,0)),"")</f>
        <v/>
      </c>
      <c r="I582" s="26">
        <f>IF($B582='Perfil'!$B$3,COUNTIF($B$4:$B582,'Perfil'!$B$3),"")</f>
        <v/>
      </c>
    </row>
    <row r="583">
      <c r="A583" s="22" t="n"/>
      <c r="B583" s="23" t="n"/>
      <c r="C583" s="23" t="n"/>
      <c r="D583" s="24" t="n"/>
      <c r="E583" s="24" t="n"/>
      <c r="F583" s="23" t="n"/>
      <c r="G583" s="19">
        <f>IFERROR(IF(OR($B583="",$C583=""),"",IF(MATCH($C583,'Ajustes'!$A$5:$A$8,0)&lt;=2,$D583*INDEX('Ajustes'!$C$5:$C$6,MATCH($C583,'Ajustes'!$A$5:$A$8,0)),IF(MATCH($C583,'Ajustes'!$A$5:$A$8,0)=3,-($D583+$E583*INDEX('Equipo'!$B$5:$B$29,MATCH($B583,'Equipo'!$A$5:$A$29,0))),0))),"")</f>
        <v/>
      </c>
      <c r="H583" s="25">
        <f>IFERROR(IF(OR($B583="",$C583=""),"",IF(MATCH($C583,'Ajustes'!$A$5:$A$8,0)=4,$D583/INDEX('Equipo'!$B$5:$B$29,MATCH($B583,'Equipo'!$A$5:$A$29,0))+$E583,0)),"")</f>
        <v/>
      </c>
      <c r="I583" s="26">
        <f>IF($B583='Perfil'!$B$3,COUNTIF($B$4:$B583,'Perfil'!$B$3),"")</f>
        <v/>
      </c>
    </row>
    <row r="584">
      <c r="A584" s="22" t="n"/>
      <c r="B584" s="23" t="n"/>
      <c r="C584" s="23" t="n"/>
      <c r="D584" s="24" t="n"/>
      <c r="E584" s="24" t="n"/>
      <c r="F584" s="23" t="n"/>
      <c r="G584" s="19">
        <f>IFERROR(IF(OR($B584="",$C584=""),"",IF(MATCH($C584,'Ajustes'!$A$5:$A$8,0)&lt;=2,$D584*INDEX('Ajustes'!$C$5:$C$6,MATCH($C584,'Ajustes'!$A$5:$A$8,0)),IF(MATCH($C584,'Ajustes'!$A$5:$A$8,0)=3,-($D584+$E584*INDEX('Equipo'!$B$5:$B$29,MATCH($B584,'Equipo'!$A$5:$A$29,0))),0))),"")</f>
        <v/>
      </c>
      <c r="H584" s="25">
        <f>IFERROR(IF(OR($B584="",$C584=""),"",IF(MATCH($C584,'Ajustes'!$A$5:$A$8,0)=4,$D584/INDEX('Equipo'!$B$5:$B$29,MATCH($B584,'Equipo'!$A$5:$A$29,0))+$E584,0)),"")</f>
        <v/>
      </c>
      <c r="I584" s="26">
        <f>IF($B584='Perfil'!$B$3,COUNTIF($B$4:$B584,'Perfil'!$B$3),"")</f>
        <v/>
      </c>
    </row>
    <row r="585">
      <c r="A585" s="22" t="n"/>
      <c r="B585" s="23" t="n"/>
      <c r="C585" s="23" t="n"/>
      <c r="D585" s="24" t="n"/>
      <c r="E585" s="24" t="n"/>
      <c r="F585" s="23" t="n"/>
      <c r="G585" s="19">
        <f>IFERROR(IF(OR($B585="",$C585=""),"",IF(MATCH($C585,'Ajustes'!$A$5:$A$8,0)&lt;=2,$D585*INDEX('Ajustes'!$C$5:$C$6,MATCH($C585,'Ajustes'!$A$5:$A$8,0)),IF(MATCH($C585,'Ajustes'!$A$5:$A$8,0)=3,-($D585+$E585*INDEX('Equipo'!$B$5:$B$29,MATCH($B585,'Equipo'!$A$5:$A$29,0))),0))),"")</f>
        <v/>
      </c>
      <c r="H585" s="25">
        <f>IFERROR(IF(OR($B585="",$C585=""),"",IF(MATCH($C585,'Ajustes'!$A$5:$A$8,0)=4,$D585/INDEX('Equipo'!$B$5:$B$29,MATCH($B585,'Equipo'!$A$5:$A$29,0))+$E585,0)),"")</f>
        <v/>
      </c>
      <c r="I585" s="26">
        <f>IF($B585='Perfil'!$B$3,COUNTIF($B$4:$B585,'Perfil'!$B$3),"")</f>
        <v/>
      </c>
    </row>
    <row r="586">
      <c r="A586" s="22" t="n"/>
      <c r="B586" s="23" t="n"/>
      <c r="C586" s="23" t="n"/>
      <c r="D586" s="24" t="n"/>
      <c r="E586" s="24" t="n"/>
      <c r="F586" s="23" t="n"/>
      <c r="G586" s="19">
        <f>IFERROR(IF(OR($B586="",$C586=""),"",IF(MATCH($C586,'Ajustes'!$A$5:$A$8,0)&lt;=2,$D586*INDEX('Ajustes'!$C$5:$C$6,MATCH($C586,'Ajustes'!$A$5:$A$8,0)),IF(MATCH($C586,'Ajustes'!$A$5:$A$8,0)=3,-($D586+$E586*INDEX('Equipo'!$B$5:$B$29,MATCH($B586,'Equipo'!$A$5:$A$29,0))),0))),"")</f>
        <v/>
      </c>
      <c r="H586" s="25">
        <f>IFERROR(IF(OR($B586="",$C586=""),"",IF(MATCH($C586,'Ajustes'!$A$5:$A$8,0)=4,$D586/INDEX('Equipo'!$B$5:$B$29,MATCH($B586,'Equipo'!$A$5:$A$29,0))+$E586,0)),"")</f>
        <v/>
      </c>
      <c r="I586" s="26">
        <f>IF($B586='Perfil'!$B$3,COUNTIF($B$4:$B586,'Perfil'!$B$3),"")</f>
        <v/>
      </c>
    </row>
    <row r="587">
      <c r="A587" s="22" t="n"/>
      <c r="B587" s="23" t="n"/>
      <c r="C587" s="23" t="n"/>
      <c r="D587" s="24" t="n"/>
      <c r="E587" s="24" t="n"/>
      <c r="F587" s="23" t="n"/>
      <c r="G587" s="19">
        <f>IFERROR(IF(OR($B587="",$C587=""),"",IF(MATCH($C587,'Ajustes'!$A$5:$A$8,0)&lt;=2,$D587*INDEX('Ajustes'!$C$5:$C$6,MATCH($C587,'Ajustes'!$A$5:$A$8,0)),IF(MATCH($C587,'Ajustes'!$A$5:$A$8,0)=3,-($D587+$E587*INDEX('Equipo'!$B$5:$B$29,MATCH($B587,'Equipo'!$A$5:$A$29,0))),0))),"")</f>
        <v/>
      </c>
      <c r="H587" s="25">
        <f>IFERROR(IF(OR($B587="",$C587=""),"",IF(MATCH($C587,'Ajustes'!$A$5:$A$8,0)=4,$D587/INDEX('Equipo'!$B$5:$B$29,MATCH($B587,'Equipo'!$A$5:$A$29,0))+$E587,0)),"")</f>
        <v/>
      </c>
      <c r="I587" s="26">
        <f>IF($B587='Perfil'!$B$3,COUNTIF($B$4:$B587,'Perfil'!$B$3),"")</f>
        <v/>
      </c>
    </row>
    <row r="588">
      <c r="A588" s="22" t="n"/>
      <c r="B588" s="23" t="n"/>
      <c r="C588" s="23" t="n"/>
      <c r="D588" s="24" t="n"/>
      <c r="E588" s="24" t="n"/>
      <c r="F588" s="23" t="n"/>
      <c r="G588" s="19">
        <f>IFERROR(IF(OR($B588="",$C588=""),"",IF(MATCH($C588,'Ajustes'!$A$5:$A$8,0)&lt;=2,$D588*INDEX('Ajustes'!$C$5:$C$6,MATCH($C588,'Ajustes'!$A$5:$A$8,0)),IF(MATCH($C588,'Ajustes'!$A$5:$A$8,0)=3,-($D588+$E588*INDEX('Equipo'!$B$5:$B$29,MATCH($B588,'Equipo'!$A$5:$A$29,0))),0))),"")</f>
        <v/>
      </c>
      <c r="H588" s="25">
        <f>IFERROR(IF(OR($B588="",$C588=""),"",IF(MATCH($C588,'Ajustes'!$A$5:$A$8,0)=4,$D588/INDEX('Equipo'!$B$5:$B$29,MATCH($B588,'Equipo'!$A$5:$A$29,0))+$E588,0)),"")</f>
        <v/>
      </c>
      <c r="I588" s="26">
        <f>IF($B588='Perfil'!$B$3,COUNTIF($B$4:$B588,'Perfil'!$B$3),"")</f>
        <v/>
      </c>
    </row>
    <row r="589">
      <c r="A589" s="22" t="n"/>
      <c r="B589" s="23" t="n"/>
      <c r="C589" s="23" t="n"/>
      <c r="D589" s="24" t="n"/>
      <c r="E589" s="24" t="n"/>
      <c r="F589" s="23" t="n"/>
      <c r="G589" s="19">
        <f>IFERROR(IF(OR($B589="",$C589=""),"",IF(MATCH($C589,'Ajustes'!$A$5:$A$8,0)&lt;=2,$D589*INDEX('Ajustes'!$C$5:$C$6,MATCH($C589,'Ajustes'!$A$5:$A$8,0)),IF(MATCH($C589,'Ajustes'!$A$5:$A$8,0)=3,-($D589+$E589*INDEX('Equipo'!$B$5:$B$29,MATCH($B589,'Equipo'!$A$5:$A$29,0))),0))),"")</f>
        <v/>
      </c>
      <c r="H589" s="25">
        <f>IFERROR(IF(OR($B589="",$C589=""),"",IF(MATCH($C589,'Ajustes'!$A$5:$A$8,0)=4,$D589/INDEX('Equipo'!$B$5:$B$29,MATCH($B589,'Equipo'!$A$5:$A$29,0))+$E589,0)),"")</f>
        <v/>
      </c>
      <c r="I589" s="26">
        <f>IF($B589='Perfil'!$B$3,COUNTIF($B$4:$B589,'Perfil'!$B$3),"")</f>
        <v/>
      </c>
    </row>
    <row r="590">
      <c r="A590" s="22" t="n"/>
      <c r="B590" s="23" t="n"/>
      <c r="C590" s="23" t="n"/>
      <c r="D590" s="24" t="n"/>
      <c r="E590" s="24" t="n"/>
      <c r="F590" s="23" t="n"/>
      <c r="G590" s="19">
        <f>IFERROR(IF(OR($B590="",$C590=""),"",IF(MATCH($C590,'Ajustes'!$A$5:$A$8,0)&lt;=2,$D590*INDEX('Ajustes'!$C$5:$C$6,MATCH($C590,'Ajustes'!$A$5:$A$8,0)),IF(MATCH($C590,'Ajustes'!$A$5:$A$8,0)=3,-($D590+$E590*INDEX('Equipo'!$B$5:$B$29,MATCH($B590,'Equipo'!$A$5:$A$29,0))),0))),"")</f>
        <v/>
      </c>
      <c r="H590" s="25">
        <f>IFERROR(IF(OR($B590="",$C590=""),"",IF(MATCH($C590,'Ajustes'!$A$5:$A$8,0)=4,$D590/INDEX('Equipo'!$B$5:$B$29,MATCH($B590,'Equipo'!$A$5:$A$29,0))+$E590,0)),"")</f>
        <v/>
      </c>
      <c r="I590" s="26">
        <f>IF($B590='Perfil'!$B$3,COUNTIF($B$4:$B590,'Perfil'!$B$3),"")</f>
        <v/>
      </c>
    </row>
    <row r="591">
      <c r="A591" s="22" t="n"/>
      <c r="B591" s="23" t="n"/>
      <c r="C591" s="23" t="n"/>
      <c r="D591" s="24" t="n"/>
      <c r="E591" s="24" t="n"/>
      <c r="F591" s="23" t="n"/>
      <c r="G591" s="19">
        <f>IFERROR(IF(OR($B591="",$C591=""),"",IF(MATCH($C591,'Ajustes'!$A$5:$A$8,0)&lt;=2,$D591*INDEX('Ajustes'!$C$5:$C$6,MATCH($C591,'Ajustes'!$A$5:$A$8,0)),IF(MATCH($C591,'Ajustes'!$A$5:$A$8,0)=3,-($D591+$E591*INDEX('Equipo'!$B$5:$B$29,MATCH($B591,'Equipo'!$A$5:$A$29,0))),0))),"")</f>
        <v/>
      </c>
      <c r="H591" s="25">
        <f>IFERROR(IF(OR($B591="",$C591=""),"",IF(MATCH($C591,'Ajustes'!$A$5:$A$8,0)=4,$D591/INDEX('Equipo'!$B$5:$B$29,MATCH($B591,'Equipo'!$A$5:$A$29,0))+$E591,0)),"")</f>
        <v/>
      </c>
      <c r="I591" s="26">
        <f>IF($B591='Perfil'!$B$3,COUNTIF($B$4:$B591,'Perfil'!$B$3),"")</f>
        <v/>
      </c>
    </row>
    <row r="592">
      <c r="A592" s="22" t="n"/>
      <c r="B592" s="23" t="n"/>
      <c r="C592" s="23" t="n"/>
      <c r="D592" s="24" t="n"/>
      <c r="E592" s="24" t="n"/>
      <c r="F592" s="23" t="n"/>
      <c r="G592" s="19">
        <f>IFERROR(IF(OR($B592="",$C592=""),"",IF(MATCH($C592,'Ajustes'!$A$5:$A$8,0)&lt;=2,$D592*INDEX('Ajustes'!$C$5:$C$6,MATCH($C592,'Ajustes'!$A$5:$A$8,0)),IF(MATCH($C592,'Ajustes'!$A$5:$A$8,0)=3,-($D592+$E592*INDEX('Equipo'!$B$5:$B$29,MATCH($B592,'Equipo'!$A$5:$A$29,0))),0))),"")</f>
        <v/>
      </c>
      <c r="H592" s="25">
        <f>IFERROR(IF(OR($B592="",$C592=""),"",IF(MATCH($C592,'Ajustes'!$A$5:$A$8,0)=4,$D592/INDEX('Equipo'!$B$5:$B$29,MATCH($B592,'Equipo'!$A$5:$A$29,0))+$E592,0)),"")</f>
        <v/>
      </c>
      <c r="I592" s="26">
        <f>IF($B592='Perfil'!$B$3,COUNTIF($B$4:$B592,'Perfil'!$B$3),"")</f>
        <v/>
      </c>
    </row>
    <row r="593">
      <c r="A593" s="22" t="n"/>
      <c r="B593" s="23" t="n"/>
      <c r="C593" s="23" t="n"/>
      <c r="D593" s="24" t="n"/>
      <c r="E593" s="24" t="n"/>
      <c r="F593" s="23" t="n"/>
      <c r="G593" s="19">
        <f>IFERROR(IF(OR($B593="",$C593=""),"",IF(MATCH($C593,'Ajustes'!$A$5:$A$8,0)&lt;=2,$D593*INDEX('Ajustes'!$C$5:$C$6,MATCH($C593,'Ajustes'!$A$5:$A$8,0)),IF(MATCH($C593,'Ajustes'!$A$5:$A$8,0)=3,-($D593+$E593*INDEX('Equipo'!$B$5:$B$29,MATCH($B593,'Equipo'!$A$5:$A$29,0))),0))),"")</f>
        <v/>
      </c>
      <c r="H593" s="25">
        <f>IFERROR(IF(OR($B593="",$C593=""),"",IF(MATCH($C593,'Ajustes'!$A$5:$A$8,0)=4,$D593/INDEX('Equipo'!$B$5:$B$29,MATCH($B593,'Equipo'!$A$5:$A$29,0))+$E593,0)),"")</f>
        <v/>
      </c>
      <c r="I593" s="26">
        <f>IF($B593='Perfil'!$B$3,COUNTIF($B$4:$B593,'Perfil'!$B$3),"")</f>
        <v/>
      </c>
    </row>
    <row r="594">
      <c r="A594" s="22" t="n"/>
      <c r="B594" s="23" t="n"/>
      <c r="C594" s="23" t="n"/>
      <c r="D594" s="24" t="n"/>
      <c r="E594" s="24" t="n"/>
      <c r="F594" s="23" t="n"/>
      <c r="G594" s="19">
        <f>IFERROR(IF(OR($B594="",$C594=""),"",IF(MATCH($C594,'Ajustes'!$A$5:$A$8,0)&lt;=2,$D594*INDEX('Ajustes'!$C$5:$C$6,MATCH($C594,'Ajustes'!$A$5:$A$8,0)),IF(MATCH($C594,'Ajustes'!$A$5:$A$8,0)=3,-($D594+$E594*INDEX('Equipo'!$B$5:$B$29,MATCH($B594,'Equipo'!$A$5:$A$29,0))),0))),"")</f>
        <v/>
      </c>
      <c r="H594" s="25">
        <f>IFERROR(IF(OR($B594="",$C594=""),"",IF(MATCH($C594,'Ajustes'!$A$5:$A$8,0)=4,$D594/INDEX('Equipo'!$B$5:$B$29,MATCH($B594,'Equipo'!$A$5:$A$29,0))+$E594,0)),"")</f>
        <v/>
      </c>
      <c r="I594" s="26">
        <f>IF($B594='Perfil'!$B$3,COUNTIF($B$4:$B594,'Perfil'!$B$3),"")</f>
        <v/>
      </c>
    </row>
    <row r="595">
      <c r="A595" s="22" t="n"/>
      <c r="B595" s="23" t="n"/>
      <c r="C595" s="23" t="n"/>
      <c r="D595" s="24" t="n"/>
      <c r="E595" s="24" t="n"/>
      <c r="F595" s="23" t="n"/>
      <c r="G595" s="19">
        <f>IFERROR(IF(OR($B595="",$C595=""),"",IF(MATCH($C595,'Ajustes'!$A$5:$A$8,0)&lt;=2,$D595*INDEX('Ajustes'!$C$5:$C$6,MATCH($C595,'Ajustes'!$A$5:$A$8,0)),IF(MATCH($C595,'Ajustes'!$A$5:$A$8,0)=3,-($D595+$E595*INDEX('Equipo'!$B$5:$B$29,MATCH($B595,'Equipo'!$A$5:$A$29,0))),0))),"")</f>
        <v/>
      </c>
      <c r="H595" s="25">
        <f>IFERROR(IF(OR($B595="",$C595=""),"",IF(MATCH($C595,'Ajustes'!$A$5:$A$8,0)=4,$D595/INDEX('Equipo'!$B$5:$B$29,MATCH($B595,'Equipo'!$A$5:$A$29,0))+$E595,0)),"")</f>
        <v/>
      </c>
      <c r="I595" s="26">
        <f>IF($B595='Perfil'!$B$3,COUNTIF($B$4:$B595,'Perfil'!$B$3),"")</f>
        <v/>
      </c>
    </row>
    <row r="596">
      <c r="A596" s="22" t="n"/>
      <c r="B596" s="23" t="n"/>
      <c r="C596" s="23" t="n"/>
      <c r="D596" s="24" t="n"/>
      <c r="E596" s="24" t="n"/>
      <c r="F596" s="23" t="n"/>
      <c r="G596" s="19">
        <f>IFERROR(IF(OR($B596="",$C596=""),"",IF(MATCH($C596,'Ajustes'!$A$5:$A$8,0)&lt;=2,$D596*INDEX('Ajustes'!$C$5:$C$6,MATCH($C596,'Ajustes'!$A$5:$A$8,0)),IF(MATCH($C596,'Ajustes'!$A$5:$A$8,0)=3,-($D596+$E596*INDEX('Equipo'!$B$5:$B$29,MATCH($B596,'Equipo'!$A$5:$A$29,0))),0))),"")</f>
        <v/>
      </c>
      <c r="H596" s="25">
        <f>IFERROR(IF(OR($B596="",$C596=""),"",IF(MATCH($C596,'Ajustes'!$A$5:$A$8,0)=4,$D596/INDEX('Equipo'!$B$5:$B$29,MATCH($B596,'Equipo'!$A$5:$A$29,0))+$E596,0)),"")</f>
        <v/>
      </c>
      <c r="I596" s="26">
        <f>IF($B596='Perfil'!$B$3,COUNTIF($B$4:$B596,'Perfil'!$B$3),"")</f>
        <v/>
      </c>
    </row>
    <row r="597">
      <c r="A597" s="22" t="n"/>
      <c r="B597" s="23" t="n"/>
      <c r="C597" s="23" t="n"/>
      <c r="D597" s="24" t="n"/>
      <c r="E597" s="24" t="n"/>
      <c r="F597" s="23" t="n"/>
      <c r="G597" s="19">
        <f>IFERROR(IF(OR($B597="",$C597=""),"",IF(MATCH($C597,'Ajustes'!$A$5:$A$8,0)&lt;=2,$D597*INDEX('Ajustes'!$C$5:$C$6,MATCH($C597,'Ajustes'!$A$5:$A$8,0)),IF(MATCH($C597,'Ajustes'!$A$5:$A$8,0)=3,-($D597+$E597*INDEX('Equipo'!$B$5:$B$29,MATCH($B597,'Equipo'!$A$5:$A$29,0))),0))),"")</f>
        <v/>
      </c>
      <c r="H597" s="25">
        <f>IFERROR(IF(OR($B597="",$C597=""),"",IF(MATCH($C597,'Ajustes'!$A$5:$A$8,0)=4,$D597/INDEX('Equipo'!$B$5:$B$29,MATCH($B597,'Equipo'!$A$5:$A$29,0))+$E597,0)),"")</f>
        <v/>
      </c>
      <c r="I597" s="26">
        <f>IF($B597='Perfil'!$B$3,COUNTIF($B$4:$B597,'Perfil'!$B$3),"")</f>
        <v/>
      </c>
    </row>
    <row r="598">
      <c r="A598" s="22" t="n"/>
      <c r="B598" s="23" t="n"/>
      <c r="C598" s="23" t="n"/>
      <c r="D598" s="24" t="n"/>
      <c r="E598" s="24" t="n"/>
      <c r="F598" s="23" t="n"/>
      <c r="G598" s="19">
        <f>IFERROR(IF(OR($B598="",$C598=""),"",IF(MATCH($C598,'Ajustes'!$A$5:$A$8,0)&lt;=2,$D598*INDEX('Ajustes'!$C$5:$C$6,MATCH($C598,'Ajustes'!$A$5:$A$8,0)),IF(MATCH($C598,'Ajustes'!$A$5:$A$8,0)=3,-($D598+$E598*INDEX('Equipo'!$B$5:$B$29,MATCH($B598,'Equipo'!$A$5:$A$29,0))),0))),"")</f>
        <v/>
      </c>
      <c r="H598" s="25">
        <f>IFERROR(IF(OR($B598="",$C598=""),"",IF(MATCH($C598,'Ajustes'!$A$5:$A$8,0)=4,$D598/INDEX('Equipo'!$B$5:$B$29,MATCH($B598,'Equipo'!$A$5:$A$29,0))+$E598,0)),"")</f>
        <v/>
      </c>
      <c r="I598" s="26">
        <f>IF($B598='Perfil'!$B$3,COUNTIF($B$4:$B598,'Perfil'!$B$3),"")</f>
        <v/>
      </c>
    </row>
    <row r="599">
      <c r="A599" s="22" t="n"/>
      <c r="B599" s="23" t="n"/>
      <c r="C599" s="23" t="n"/>
      <c r="D599" s="24" t="n"/>
      <c r="E599" s="24" t="n"/>
      <c r="F599" s="23" t="n"/>
      <c r="G599" s="19">
        <f>IFERROR(IF(OR($B599="",$C599=""),"",IF(MATCH($C599,'Ajustes'!$A$5:$A$8,0)&lt;=2,$D599*INDEX('Ajustes'!$C$5:$C$6,MATCH($C599,'Ajustes'!$A$5:$A$8,0)),IF(MATCH($C599,'Ajustes'!$A$5:$A$8,0)=3,-($D599+$E599*INDEX('Equipo'!$B$5:$B$29,MATCH($B599,'Equipo'!$A$5:$A$29,0))),0))),"")</f>
        <v/>
      </c>
      <c r="H599" s="25">
        <f>IFERROR(IF(OR($B599="",$C599=""),"",IF(MATCH($C599,'Ajustes'!$A$5:$A$8,0)=4,$D599/INDEX('Equipo'!$B$5:$B$29,MATCH($B599,'Equipo'!$A$5:$A$29,0))+$E599,0)),"")</f>
        <v/>
      </c>
      <c r="I599" s="26">
        <f>IF($B599='Perfil'!$B$3,COUNTIF($B$4:$B599,'Perfil'!$B$3),"")</f>
        <v/>
      </c>
    </row>
    <row r="600">
      <c r="A600" s="22" t="n"/>
      <c r="B600" s="23" t="n"/>
      <c r="C600" s="23" t="n"/>
      <c r="D600" s="24" t="n"/>
      <c r="E600" s="24" t="n"/>
      <c r="F600" s="23" t="n"/>
      <c r="G600" s="19">
        <f>IFERROR(IF(OR($B600="",$C600=""),"",IF(MATCH($C600,'Ajustes'!$A$5:$A$8,0)&lt;=2,$D600*INDEX('Ajustes'!$C$5:$C$6,MATCH($C600,'Ajustes'!$A$5:$A$8,0)),IF(MATCH($C600,'Ajustes'!$A$5:$A$8,0)=3,-($D600+$E600*INDEX('Equipo'!$B$5:$B$29,MATCH($B600,'Equipo'!$A$5:$A$29,0))),0))),"")</f>
        <v/>
      </c>
      <c r="H600" s="25">
        <f>IFERROR(IF(OR($B600="",$C600=""),"",IF(MATCH($C600,'Ajustes'!$A$5:$A$8,0)=4,$D600/INDEX('Equipo'!$B$5:$B$29,MATCH($B600,'Equipo'!$A$5:$A$29,0))+$E600,0)),"")</f>
        <v/>
      </c>
      <c r="I600" s="26">
        <f>IF($B600='Perfil'!$B$3,COUNTIF($B$4:$B600,'Perfil'!$B$3),"")</f>
        <v/>
      </c>
    </row>
    <row r="601">
      <c r="A601" s="22" t="n"/>
      <c r="B601" s="23" t="n"/>
      <c r="C601" s="23" t="n"/>
      <c r="D601" s="24" t="n"/>
      <c r="E601" s="24" t="n"/>
      <c r="F601" s="23" t="n"/>
      <c r="G601" s="19">
        <f>IFERROR(IF(OR($B601="",$C601=""),"",IF(MATCH($C601,'Ajustes'!$A$5:$A$8,0)&lt;=2,$D601*INDEX('Ajustes'!$C$5:$C$6,MATCH($C601,'Ajustes'!$A$5:$A$8,0)),IF(MATCH($C601,'Ajustes'!$A$5:$A$8,0)=3,-($D601+$E601*INDEX('Equipo'!$B$5:$B$29,MATCH($B601,'Equipo'!$A$5:$A$29,0))),0))),"")</f>
        <v/>
      </c>
      <c r="H601" s="25">
        <f>IFERROR(IF(OR($B601="",$C601=""),"",IF(MATCH($C601,'Ajustes'!$A$5:$A$8,0)=4,$D601/INDEX('Equipo'!$B$5:$B$29,MATCH($B601,'Equipo'!$A$5:$A$29,0))+$E601,0)),"")</f>
        <v/>
      </c>
      <c r="I601" s="26">
        <f>IF($B601='Perfil'!$B$3,COUNTIF($B$4:$B601,'Perfil'!$B$3),"")</f>
        <v/>
      </c>
    </row>
    <row r="602">
      <c r="A602" s="22" t="n"/>
      <c r="B602" s="23" t="n"/>
      <c r="C602" s="23" t="n"/>
      <c r="D602" s="24" t="n"/>
      <c r="E602" s="24" t="n"/>
      <c r="F602" s="23" t="n"/>
      <c r="G602" s="19">
        <f>IFERROR(IF(OR($B602="",$C602=""),"",IF(MATCH($C602,'Ajustes'!$A$5:$A$8,0)&lt;=2,$D602*INDEX('Ajustes'!$C$5:$C$6,MATCH($C602,'Ajustes'!$A$5:$A$8,0)),IF(MATCH($C602,'Ajustes'!$A$5:$A$8,0)=3,-($D602+$E602*INDEX('Equipo'!$B$5:$B$29,MATCH($B602,'Equipo'!$A$5:$A$29,0))),0))),"")</f>
        <v/>
      </c>
      <c r="H602" s="25">
        <f>IFERROR(IF(OR($B602="",$C602=""),"",IF(MATCH($C602,'Ajustes'!$A$5:$A$8,0)=4,$D602/INDEX('Equipo'!$B$5:$B$29,MATCH($B602,'Equipo'!$A$5:$A$29,0))+$E602,0)),"")</f>
        <v/>
      </c>
      <c r="I602" s="26">
        <f>IF($B602='Perfil'!$B$3,COUNTIF($B$4:$B602,'Perfil'!$B$3),"")</f>
        <v/>
      </c>
    </row>
    <row r="603">
      <c r="A603" s="22" t="n"/>
      <c r="B603" s="23" t="n"/>
      <c r="C603" s="23" t="n"/>
      <c r="D603" s="24" t="n"/>
      <c r="E603" s="24" t="n"/>
      <c r="F603" s="23" t="n"/>
      <c r="G603" s="19">
        <f>IFERROR(IF(OR($B603="",$C603=""),"",IF(MATCH($C603,'Ajustes'!$A$5:$A$8,0)&lt;=2,$D603*INDEX('Ajustes'!$C$5:$C$6,MATCH($C603,'Ajustes'!$A$5:$A$8,0)),IF(MATCH($C603,'Ajustes'!$A$5:$A$8,0)=3,-($D603+$E603*INDEX('Equipo'!$B$5:$B$29,MATCH($B603,'Equipo'!$A$5:$A$29,0))),0))),"")</f>
        <v/>
      </c>
      <c r="H603" s="25">
        <f>IFERROR(IF(OR($B603="",$C603=""),"",IF(MATCH($C603,'Ajustes'!$A$5:$A$8,0)=4,$D603/INDEX('Equipo'!$B$5:$B$29,MATCH($B603,'Equipo'!$A$5:$A$29,0))+$E603,0)),"")</f>
        <v/>
      </c>
      <c r="I603" s="26">
        <f>IF($B603='Perfil'!$B$3,COUNTIF($B$4:$B603,'Perfil'!$B$3),"")</f>
        <v/>
      </c>
    </row>
    <row r="604">
      <c r="A604" s="22" t="n"/>
      <c r="B604" s="23" t="n"/>
      <c r="C604" s="23" t="n"/>
      <c r="D604" s="24" t="n"/>
      <c r="E604" s="24" t="n"/>
      <c r="F604" s="23" t="n"/>
      <c r="G604" s="19">
        <f>IFERROR(IF(OR($B604="",$C604=""),"",IF(MATCH($C604,'Ajustes'!$A$5:$A$8,0)&lt;=2,$D604*INDEX('Ajustes'!$C$5:$C$6,MATCH($C604,'Ajustes'!$A$5:$A$8,0)),IF(MATCH($C604,'Ajustes'!$A$5:$A$8,0)=3,-($D604+$E604*INDEX('Equipo'!$B$5:$B$29,MATCH($B604,'Equipo'!$A$5:$A$29,0))),0))),"")</f>
        <v/>
      </c>
      <c r="H604" s="25">
        <f>IFERROR(IF(OR($B604="",$C604=""),"",IF(MATCH($C604,'Ajustes'!$A$5:$A$8,0)=4,$D604/INDEX('Equipo'!$B$5:$B$29,MATCH($B604,'Equipo'!$A$5:$A$29,0))+$E604,0)),"")</f>
        <v/>
      </c>
      <c r="I604" s="26">
        <f>IF($B604='Perfil'!$B$3,COUNTIF($B$4:$B604,'Perfil'!$B$3),"")</f>
        <v/>
      </c>
    </row>
    <row r="605">
      <c r="A605" s="22" t="n"/>
      <c r="B605" s="23" t="n"/>
      <c r="C605" s="23" t="n"/>
      <c r="D605" s="24" t="n"/>
      <c r="E605" s="24" t="n"/>
      <c r="F605" s="23" t="n"/>
      <c r="G605" s="19">
        <f>IFERROR(IF(OR($B605="",$C605=""),"",IF(MATCH($C605,'Ajustes'!$A$5:$A$8,0)&lt;=2,$D605*INDEX('Ajustes'!$C$5:$C$6,MATCH($C605,'Ajustes'!$A$5:$A$8,0)),IF(MATCH($C605,'Ajustes'!$A$5:$A$8,0)=3,-($D605+$E605*INDEX('Equipo'!$B$5:$B$29,MATCH($B605,'Equipo'!$A$5:$A$29,0))),0))),"")</f>
        <v/>
      </c>
      <c r="H605" s="25">
        <f>IFERROR(IF(OR($B605="",$C605=""),"",IF(MATCH($C605,'Ajustes'!$A$5:$A$8,0)=4,$D605/INDEX('Equipo'!$B$5:$B$29,MATCH($B605,'Equipo'!$A$5:$A$29,0))+$E605,0)),"")</f>
        <v/>
      </c>
      <c r="I605" s="26">
        <f>IF($B605='Perfil'!$B$3,COUNTIF($B$4:$B605,'Perfil'!$B$3),"")</f>
        <v/>
      </c>
    </row>
    <row r="606">
      <c r="A606" s="22" t="n"/>
      <c r="B606" s="23" t="n"/>
      <c r="C606" s="23" t="n"/>
      <c r="D606" s="24" t="n"/>
      <c r="E606" s="24" t="n"/>
      <c r="F606" s="23" t="n"/>
      <c r="G606" s="19">
        <f>IFERROR(IF(OR($B606="",$C606=""),"",IF(MATCH($C606,'Ajustes'!$A$5:$A$8,0)&lt;=2,$D606*INDEX('Ajustes'!$C$5:$C$6,MATCH($C606,'Ajustes'!$A$5:$A$8,0)),IF(MATCH($C606,'Ajustes'!$A$5:$A$8,0)=3,-($D606+$E606*INDEX('Equipo'!$B$5:$B$29,MATCH($B606,'Equipo'!$A$5:$A$29,0))),0))),"")</f>
        <v/>
      </c>
      <c r="H606" s="25">
        <f>IFERROR(IF(OR($B606="",$C606=""),"",IF(MATCH($C606,'Ajustes'!$A$5:$A$8,0)=4,$D606/INDEX('Equipo'!$B$5:$B$29,MATCH($B606,'Equipo'!$A$5:$A$29,0))+$E606,0)),"")</f>
        <v/>
      </c>
      <c r="I606" s="26">
        <f>IF($B606='Perfil'!$B$3,COUNTIF($B$4:$B606,'Perfil'!$B$3),"")</f>
        <v/>
      </c>
    </row>
    <row r="607">
      <c r="A607" s="22" t="n"/>
      <c r="B607" s="23" t="n"/>
      <c r="C607" s="23" t="n"/>
      <c r="D607" s="24" t="n"/>
      <c r="E607" s="24" t="n"/>
      <c r="F607" s="23" t="n"/>
      <c r="G607" s="19">
        <f>IFERROR(IF(OR($B607="",$C607=""),"",IF(MATCH($C607,'Ajustes'!$A$5:$A$8,0)&lt;=2,$D607*INDEX('Ajustes'!$C$5:$C$6,MATCH($C607,'Ajustes'!$A$5:$A$8,0)),IF(MATCH($C607,'Ajustes'!$A$5:$A$8,0)=3,-($D607+$E607*INDEX('Equipo'!$B$5:$B$29,MATCH($B607,'Equipo'!$A$5:$A$29,0))),0))),"")</f>
        <v/>
      </c>
      <c r="H607" s="25">
        <f>IFERROR(IF(OR($B607="",$C607=""),"",IF(MATCH($C607,'Ajustes'!$A$5:$A$8,0)=4,$D607/INDEX('Equipo'!$B$5:$B$29,MATCH($B607,'Equipo'!$A$5:$A$29,0))+$E607,0)),"")</f>
        <v/>
      </c>
      <c r="I607" s="26">
        <f>IF($B607='Perfil'!$B$3,COUNTIF($B$4:$B607,'Perfil'!$B$3),"")</f>
        <v/>
      </c>
    </row>
    <row r="608">
      <c r="A608" s="22" t="n"/>
      <c r="B608" s="23" t="n"/>
      <c r="C608" s="23" t="n"/>
      <c r="D608" s="24" t="n"/>
      <c r="E608" s="24" t="n"/>
      <c r="F608" s="23" t="n"/>
      <c r="G608" s="19">
        <f>IFERROR(IF(OR($B608="",$C608=""),"",IF(MATCH($C608,'Ajustes'!$A$5:$A$8,0)&lt;=2,$D608*INDEX('Ajustes'!$C$5:$C$6,MATCH($C608,'Ajustes'!$A$5:$A$8,0)),IF(MATCH($C608,'Ajustes'!$A$5:$A$8,0)=3,-($D608+$E608*INDEX('Equipo'!$B$5:$B$29,MATCH($B608,'Equipo'!$A$5:$A$29,0))),0))),"")</f>
        <v/>
      </c>
      <c r="H608" s="25">
        <f>IFERROR(IF(OR($B608="",$C608=""),"",IF(MATCH($C608,'Ajustes'!$A$5:$A$8,0)=4,$D608/INDEX('Equipo'!$B$5:$B$29,MATCH($B608,'Equipo'!$A$5:$A$29,0))+$E608,0)),"")</f>
        <v/>
      </c>
      <c r="I608" s="26">
        <f>IF($B608='Perfil'!$B$3,COUNTIF($B$4:$B608,'Perfil'!$B$3),"")</f>
        <v/>
      </c>
    </row>
    <row r="609">
      <c r="A609" s="22" t="n"/>
      <c r="B609" s="23" t="n"/>
      <c r="C609" s="23" t="n"/>
      <c r="D609" s="24" t="n"/>
      <c r="E609" s="24" t="n"/>
      <c r="F609" s="23" t="n"/>
      <c r="G609" s="19">
        <f>IFERROR(IF(OR($B609="",$C609=""),"",IF(MATCH($C609,'Ajustes'!$A$5:$A$8,0)&lt;=2,$D609*INDEX('Ajustes'!$C$5:$C$6,MATCH($C609,'Ajustes'!$A$5:$A$8,0)),IF(MATCH($C609,'Ajustes'!$A$5:$A$8,0)=3,-($D609+$E609*INDEX('Equipo'!$B$5:$B$29,MATCH($B609,'Equipo'!$A$5:$A$29,0))),0))),"")</f>
        <v/>
      </c>
      <c r="H609" s="25">
        <f>IFERROR(IF(OR($B609="",$C609=""),"",IF(MATCH($C609,'Ajustes'!$A$5:$A$8,0)=4,$D609/INDEX('Equipo'!$B$5:$B$29,MATCH($B609,'Equipo'!$A$5:$A$29,0))+$E609,0)),"")</f>
        <v/>
      </c>
      <c r="I609" s="26">
        <f>IF($B609='Perfil'!$B$3,COUNTIF($B$4:$B609,'Perfil'!$B$3),"")</f>
        <v/>
      </c>
    </row>
    <row r="610">
      <c r="A610" s="22" t="n"/>
      <c r="B610" s="23" t="n"/>
      <c r="C610" s="23" t="n"/>
      <c r="D610" s="24" t="n"/>
      <c r="E610" s="24" t="n"/>
      <c r="F610" s="23" t="n"/>
      <c r="G610" s="19">
        <f>IFERROR(IF(OR($B610="",$C610=""),"",IF(MATCH($C610,'Ajustes'!$A$5:$A$8,0)&lt;=2,$D610*INDEX('Ajustes'!$C$5:$C$6,MATCH($C610,'Ajustes'!$A$5:$A$8,0)),IF(MATCH($C610,'Ajustes'!$A$5:$A$8,0)=3,-($D610+$E610*INDEX('Equipo'!$B$5:$B$29,MATCH($B610,'Equipo'!$A$5:$A$29,0))),0))),"")</f>
        <v/>
      </c>
      <c r="H610" s="25">
        <f>IFERROR(IF(OR($B610="",$C610=""),"",IF(MATCH($C610,'Ajustes'!$A$5:$A$8,0)=4,$D610/INDEX('Equipo'!$B$5:$B$29,MATCH($B610,'Equipo'!$A$5:$A$29,0))+$E610,0)),"")</f>
        <v/>
      </c>
      <c r="I610" s="26">
        <f>IF($B610='Perfil'!$B$3,COUNTIF($B$4:$B610,'Perfil'!$B$3),"")</f>
        <v/>
      </c>
    </row>
    <row r="611">
      <c r="A611" s="22" t="n"/>
      <c r="B611" s="23" t="n"/>
      <c r="C611" s="23" t="n"/>
      <c r="D611" s="24" t="n"/>
      <c r="E611" s="24" t="n"/>
      <c r="F611" s="23" t="n"/>
      <c r="G611" s="19">
        <f>IFERROR(IF(OR($B611="",$C611=""),"",IF(MATCH($C611,'Ajustes'!$A$5:$A$8,0)&lt;=2,$D611*INDEX('Ajustes'!$C$5:$C$6,MATCH($C611,'Ajustes'!$A$5:$A$8,0)),IF(MATCH($C611,'Ajustes'!$A$5:$A$8,0)=3,-($D611+$E611*INDEX('Equipo'!$B$5:$B$29,MATCH($B611,'Equipo'!$A$5:$A$29,0))),0))),"")</f>
        <v/>
      </c>
      <c r="H611" s="25">
        <f>IFERROR(IF(OR($B611="",$C611=""),"",IF(MATCH($C611,'Ajustes'!$A$5:$A$8,0)=4,$D611/INDEX('Equipo'!$B$5:$B$29,MATCH($B611,'Equipo'!$A$5:$A$29,0))+$E611,0)),"")</f>
        <v/>
      </c>
      <c r="I611" s="26">
        <f>IF($B611='Perfil'!$B$3,COUNTIF($B$4:$B611,'Perfil'!$B$3),"")</f>
        <v/>
      </c>
    </row>
    <row r="612">
      <c r="A612" s="22" t="n"/>
      <c r="B612" s="23" t="n"/>
      <c r="C612" s="23" t="n"/>
      <c r="D612" s="24" t="n"/>
      <c r="E612" s="24" t="n"/>
      <c r="F612" s="23" t="n"/>
      <c r="G612" s="19">
        <f>IFERROR(IF(OR($B612="",$C612=""),"",IF(MATCH($C612,'Ajustes'!$A$5:$A$8,0)&lt;=2,$D612*INDEX('Ajustes'!$C$5:$C$6,MATCH($C612,'Ajustes'!$A$5:$A$8,0)),IF(MATCH($C612,'Ajustes'!$A$5:$A$8,0)=3,-($D612+$E612*INDEX('Equipo'!$B$5:$B$29,MATCH($B612,'Equipo'!$A$5:$A$29,0))),0))),"")</f>
        <v/>
      </c>
      <c r="H612" s="25">
        <f>IFERROR(IF(OR($B612="",$C612=""),"",IF(MATCH($C612,'Ajustes'!$A$5:$A$8,0)=4,$D612/INDEX('Equipo'!$B$5:$B$29,MATCH($B612,'Equipo'!$A$5:$A$29,0))+$E612,0)),"")</f>
        <v/>
      </c>
      <c r="I612" s="26">
        <f>IF($B612='Perfil'!$B$3,COUNTIF($B$4:$B612,'Perfil'!$B$3),"")</f>
        <v/>
      </c>
    </row>
    <row r="613">
      <c r="A613" s="22" t="n"/>
      <c r="B613" s="23" t="n"/>
      <c r="C613" s="23" t="n"/>
      <c r="D613" s="24" t="n"/>
      <c r="E613" s="24" t="n"/>
      <c r="F613" s="23" t="n"/>
      <c r="G613" s="19">
        <f>IFERROR(IF(OR($B613="",$C613=""),"",IF(MATCH($C613,'Ajustes'!$A$5:$A$8,0)&lt;=2,$D613*INDEX('Ajustes'!$C$5:$C$6,MATCH($C613,'Ajustes'!$A$5:$A$8,0)),IF(MATCH($C613,'Ajustes'!$A$5:$A$8,0)=3,-($D613+$E613*INDEX('Equipo'!$B$5:$B$29,MATCH($B613,'Equipo'!$A$5:$A$29,0))),0))),"")</f>
        <v/>
      </c>
      <c r="H613" s="25">
        <f>IFERROR(IF(OR($B613="",$C613=""),"",IF(MATCH($C613,'Ajustes'!$A$5:$A$8,0)=4,$D613/INDEX('Equipo'!$B$5:$B$29,MATCH($B613,'Equipo'!$A$5:$A$29,0))+$E613,0)),"")</f>
        <v/>
      </c>
      <c r="I613" s="26">
        <f>IF($B613='Perfil'!$B$3,COUNTIF($B$4:$B613,'Perfil'!$B$3),"")</f>
        <v/>
      </c>
    </row>
    <row r="614">
      <c r="A614" s="22" t="n"/>
      <c r="B614" s="23" t="n"/>
      <c r="C614" s="23" t="n"/>
      <c r="D614" s="24" t="n"/>
      <c r="E614" s="24" t="n"/>
      <c r="F614" s="23" t="n"/>
      <c r="G614" s="19">
        <f>IFERROR(IF(OR($B614="",$C614=""),"",IF(MATCH($C614,'Ajustes'!$A$5:$A$8,0)&lt;=2,$D614*INDEX('Ajustes'!$C$5:$C$6,MATCH($C614,'Ajustes'!$A$5:$A$8,0)),IF(MATCH($C614,'Ajustes'!$A$5:$A$8,0)=3,-($D614+$E614*INDEX('Equipo'!$B$5:$B$29,MATCH($B614,'Equipo'!$A$5:$A$29,0))),0))),"")</f>
        <v/>
      </c>
      <c r="H614" s="25">
        <f>IFERROR(IF(OR($B614="",$C614=""),"",IF(MATCH($C614,'Ajustes'!$A$5:$A$8,0)=4,$D614/INDEX('Equipo'!$B$5:$B$29,MATCH($B614,'Equipo'!$A$5:$A$29,0))+$E614,0)),"")</f>
        <v/>
      </c>
      <c r="I614" s="26">
        <f>IF($B614='Perfil'!$B$3,COUNTIF($B$4:$B614,'Perfil'!$B$3),"")</f>
        <v/>
      </c>
    </row>
    <row r="615">
      <c r="A615" s="22" t="n"/>
      <c r="B615" s="23" t="n"/>
      <c r="C615" s="23" t="n"/>
      <c r="D615" s="24" t="n"/>
      <c r="E615" s="24" t="n"/>
      <c r="F615" s="23" t="n"/>
      <c r="G615" s="19">
        <f>IFERROR(IF(OR($B615="",$C615=""),"",IF(MATCH($C615,'Ajustes'!$A$5:$A$8,0)&lt;=2,$D615*INDEX('Ajustes'!$C$5:$C$6,MATCH($C615,'Ajustes'!$A$5:$A$8,0)),IF(MATCH($C615,'Ajustes'!$A$5:$A$8,0)=3,-($D615+$E615*INDEX('Equipo'!$B$5:$B$29,MATCH($B615,'Equipo'!$A$5:$A$29,0))),0))),"")</f>
        <v/>
      </c>
      <c r="H615" s="25">
        <f>IFERROR(IF(OR($B615="",$C615=""),"",IF(MATCH($C615,'Ajustes'!$A$5:$A$8,0)=4,$D615/INDEX('Equipo'!$B$5:$B$29,MATCH($B615,'Equipo'!$A$5:$A$29,0))+$E615,0)),"")</f>
        <v/>
      </c>
      <c r="I615" s="26">
        <f>IF($B615='Perfil'!$B$3,COUNTIF($B$4:$B615,'Perfil'!$B$3),"")</f>
        <v/>
      </c>
    </row>
    <row r="616">
      <c r="A616" s="22" t="n"/>
      <c r="B616" s="23" t="n"/>
      <c r="C616" s="23" t="n"/>
      <c r="D616" s="24" t="n"/>
      <c r="E616" s="24" t="n"/>
      <c r="F616" s="23" t="n"/>
      <c r="G616" s="19">
        <f>IFERROR(IF(OR($B616="",$C616=""),"",IF(MATCH($C616,'Ajustes'!$A$5:$A$8,0)&lt;=2,$D616*INDEX('Ajustes'!$C$5:$C$6,MATCH($C616,'Ajustes'!$A$5:$A$8,0)),IF(MATCH($C616,'Ajustes'!$A$5:$A$8,0)=3,-($D616+$E616*INDEX('Equipo'!$B$5:$B$29,MATCH($B616,'Equipo'!$A$5:$A$29,0))),0))),"")</f>
        <v/>
      </c>
      <c r="H616" s="25">
        <f>IFERROR(IF(OR($B616="",$C616=""),"",IF(MATCH($C616,'Ajustes'!$A$5:$A$8,0)=4,$D616/INDEX('Equipo'!$B$5:$B$29,MATCH($B616,'Equipo'!$A$5:$A$29,0))+$E616,0)),"")</f>
        <v/>
      </c>
      <c r="I616" s="26">
        <f>IF($B616='Perfil'!$B$3,COUNTIF($B$4:$B616,'Perfil'!$B$3),"")</f>
        <v/>
      </c>
    </row>
    <row r="617">
      <c r="A617" s="22" t="n"/>
      <c r="B617" s="23" t="n"/>
      <c r="C617" s="23" t="n"/>
      <c r="D617" s="24" t="n"/>
      <c r="E617" s="24" t="n"/>
      <c r="F617" s="23" t="n"/>
      <c r="G617" s="19">
        <f>IFERROR(IF(OR($B617="",$C617=""),"",IF(MATCH($C617,'Ajustes'!$A$5:$A$8,0)&lt;=2,$D617*INDEX('Ajustes'!$C$5:$C$6,MATCH($C617,'Ajustes'!$A$5:$A$8,0)),IF(MATCH($C617,'Ajustes'!$A$5:$A$8,0)=3,-($D617+$E617*INDEX('Equipo'!$B$5:$B$29,MATCH($B617,'Equipo'!$A$5:$A$29,0))),0))),"")</f>
        <v/>
      </c>
      <c r="H617" s="25">
        <f>IFERROR(IF(OR($B617="",$C617=""),"",IF(MATCH($C617,'Ajustes'!$A$5:$A$8,0)=4,$D617/INDEX('Equipo'!$B$5:$B$29,MATCH($B617,'Equipo'!$A$5:$A$29,0))+$E617,0)),"")</f>
        <v/>
      </c>
      <c r="I617" s="26">
        <f>IF($B617='Perfil'!$B$3,COUNTIF($B$4:$B617,'Perfil'!$B$3),"")</f>
        <v/>
      </c>
    </row>
    <row r="618">
      <c r="A618" s="22" t="n"/>
      <c r="B618" s="23" t="n"/>
      <c r="C618" s="23" t="n"/>
      <c r="D618" s="24" t="n"/>
      <c r="E618" s="24" t="n"/>
      <c r="F618" s="23" t="n"/>
      <c r="G618" s="19">
        <f>IFERROR(IF(OR($B618="",$C618=""),"",IF(MATCH($C618,'Ajustes'!$A$5:$A$8,0)&lt;=2,$D618*INDEX('Ajustes'!$C$5:$C$6,MATCH($C618,'Ajustes'!$A$5:$A$8,0)),IF(MATCH($C618,'Ajustes'!$A$5:$A$8,0)=3,-($D618+$E618*INDEX('Equipo'!$B$5:$B$29,MATCH($B618,'Equipo'!$A$5:$A$29,0))),0))),"")</f>
        <v/>
      </c>
      <c r="H618" s="25">
        <f>IFERROR(IF(OR($B618="",$C618=""),"",IF(MATCH($C618,'Ajustes'!$A$5:$A$8,0)=4,$D618/INDEX('Equipo'!$B$5:$B$29,MATCH($B618,'Equipo'!$A$5:$A$29,0))+$E618,0)),"")</f>
        <v/>
      </c>
      <c r="I618" s="26">
        <f>IF($B618='Perfil'!$B$3,COUNTIF($B$4:$B618,'Perfil'!$B$3),"")</f>
        <v/>
      </c>
    </row>
    <row r="619">
      <c r="A619" s="22" t="n"/>
      <c r="B619" s="23" t="n"/>
      <c r="C619" s="23" t="n"/>
      <c r="D619" s="24" t="n"/>
      <c r="E619" s="24" t="n"/>
      <c r="F619" s="23" t="n"/>
      <c r="G619" s="19">
        <f>IFERROR(IF(OR($B619="",$C619=""),"",IF(MATCH($C619,'Ajustes'!$A$5:$A$8,0)&lt;=2,$D619*INDEX('Ajustes'!$C$5:$C$6,MATCH($C619,'Ajustes'!$A$5:$A$8,0)),IF(MATCH($C619,'Ajustes'!$A$5:$A$8,0)=3,-($D619+$E619*INDEX('Equipo'!$B$5:$B$29,MATCH($B619,'Equipo'!$A$5:$A$29,0))),0))),"")</f>
        <v/>
      </c>
      <c r="H619" s="25">
        <f>IFERROR(IF(OR($B619="",$C619=""),"",IF(MATCH($C619,'Ajustes'!$A$5:$A$8,0)=4,$D619/INDEX('Equipo'!$B$5:$B$29,MATCH($B619,'Equipo'!$A$5:$A$29,0))+$E619,0)),"")</f>
        <v/>
      </c>
      <c r="I619" s="26">
        <f>IF($B619='Perfil'!$B$3,COUNTIF($B$4:$B619,'Perfil'!$B$3),"")</f>
        <v/>
      </c>
    </row>
    <row r="620">
      <c r="A620" s="22" t="n"/>
      <c r="B620" s="23" t="n"/>
      <c r="C620" s="23" t="n"/>
      <c r="D620" s="24" t="n"/>
      <c r="E620" s="24" t="n"/>
      <c r="F620" s="23" t="n"/>
      <c r="G620" s="19">
        <f>IFERROR(IF(OR($B620="",$C620=""),"",IF(MATCH($C620,'Ajustes'!$A$5:$A$8,0)&lt;=2,$D620*INDEX('Ajustes'!$C$5:$C$6,MATCH($C620,'Ajustes'!$A$5:$A$8,0)),IF(MATCH($C620,'Ajustes'!$A$5:$A$8,0)=3,-($D620+$E620*INDEX('Equipo'!$B$5:$B$29,MATCH($B620,'Equipo'!$A$5:$A$29,0))),0))),"")</f>
        <v/>
      </c>
      <c r="H620" s="25">
        <f>IFERROR(IF(OR($B620="",$C620=""),"",IF(MATCH($C620,'Ajustes'!$A$5:$A$8,0)=4,$D620/INDEX('Equipo'!$B$5:$B$29,MATCH($B620,'Equipo'!$A$5:$A$29,0))+$E620,0)),"")</f>
        <v/>
      </c>
      <c r="I620" s="26">
        <f>IF($B620='Perfil'!$B$3,COUNTIF($B$4:$B620,'Perfil'!$B$3),"")</f>
        <v/>
      </c>
    </row>
    <row r="621">
      <c r="A621" s="22" t="n"/>
      <c r="B621" s="23" t="n"/>
      <c r="C621" s="23" t="n"/>
      <c r="D621" s="24" t="n"/>
      <c r="E621" s="24" t="n"/>
      <c r="F621" s="23" t="n"/>
      <c r="G621" s="19">
        <f>IFERROR(IF(OR($B621="",$C621=""),"",IF(MATCH($C621,'Ajustes'!$A$5:$A$8,0)&lt;=2,$D621*INDEX('Ajustes'!$C$5:$C$6,MATCH($C621,'Ajustes'!$A$5:$A$8,0)),IF(MATCH($C621,'Ajustes'!$A$5:$A$8,0)=3,-($D621+$E621*INDEX('Equipo'!$B$5:$B$29,MATCH($B621,'Equipo'!$A$5:$A$29,0))),0))),"")</f>
        <v/>
      </c>
      <c r="H621" s="25">
        <f>IFERROR(IF(OR($B621="",$C621=""),"",IF(MATCH($C621,'Ajustes'!$A$5:$A$8,0)=4,$D621/INDEX('Equipo'!$B$5:$B$29,MATCH($B621,'Equipo'!$A$5:$A$29,0))+$E621,0)),"")</f>
        <v/>
      </c>
      <c r="I621" s="26">
        <f>IF($B621='Perfil'!$B$3,COUNTIF($B$4:$B621,'Perfil'!$B$3),"")</f>
        <v/>
      </c>
    </row>
    <row r="622">
      <c r="A622" s="22" t="n"/>
      <c r="B622" s="23" t="n"/>
      <c r="C622" s="23" t="n"/>
      <c r="D622" s="24" t="n"/>
      <c r="E622" s="24" t="n"/>
      <c r="F622" s="23" t="n"/>
      <c r="G622" s="19">
        <f>IFERROR(IF(OR($B622="",$C622=""),"",IF(MATCH($C622,'Ajustes'!$A$5:$A$8,0)&lt;=2,$D622*INDEX('Ajustes'!$C$5:$C$6,MATCH($C622,'Ajustes'!$A$5:$A$8,0)),IF(MATCH($C622,'Ajustes'!$A$5:$A$8,0)=3,-($D622+$E622*INDEX('Equipo'!$B$5:$B$29,MATCH($B622,'Equipo'!$A$5:$A$29,0))),0))),"")</f>
        <v/>
      </c>
      <c r="H622" s="25">
        <f>IFERROR(IF(OR($B622="",$C622=""),"",IF(MATCH($C622,'Ajustes'!$A$5:$A$8,0)=4,$D622/INDEX('Equipo'!$B$5:$B$29,MATCH($B622,'Equipo'!$A$5:$A$29,0))+$E622,0)),"")</f>
        <v/>
      </c>
      <c r="I622" s="26">
        <f>IF($B622='Perfil'!$B$3,COUNTIF($B$4:$B622,'Perfil'!$B$3),"")</f>
        <v/>
      </c>
    </row>
    <row r="623">
      <c r="A623" s="22" t="n"/>
      <c r="B623" s="23" t="n"/>
      <c r="C623" s="23" t="n"/>
      <c r="D623" s="24" t="n"/>
      <c r="E623" s="24" t="n"/>
      <c r="F623" s="23" t="n"/>
      <c r="G623" s="19">
        <f>IFERROR(IF(OR($B623="",$C623=""),"",IF(MATCH($C623,'Ajustes'!$A$5:$A$8,0)&lt;=2,$D623*INDEX('Ajustes'!$C$5:$C$6,MATCH($C623,'Ajustes'!$A$5:$A$8,0)),IF(MATCH($C623,'Ajustes'!$A$5:$A$8,0)=3,-($D623+$E623*INDEX('Equipo'!$B$5:$B$29,MATCH($B623,'Equipo'!$A$5:$A$29,0))),0))),"")</f>
        <v/>
      </c>
      <c r="H623" s="25">
        <f>IFERROR(IF(OR($B623="",$C623=""),"",IF(MATCH($C623,'Ajustes'!$A$5:$A$8,0)=4,$D623/INDEX('Equipo'!$B$5:$B$29,MATCH($B623,'Equipo'!$A$5:$A$29,0))+$E623,0)),"")</f>
        <v/>
      </c>
      <c r="I623" s="26">
        <f>IF($B623='Perfil'!$B$3,COUNTIF($B$4:$B623,'Perfil'!$B$3),"")</f>
        <v/>
      </c>
    </row>
    <row r="624">
      <c r="A624" s="22" t="n"/>
      <c r="B624" s="23" t="n"/>
      <c r="C624" s="23" t="n"/>
      <c r="D624" s="24" t="n"/>
      <c r="E624" s="24" t="n"/>
      <c r="F624" s="23" t="n"/>
      <c r="G624" s="19">
        <f>IFERROR(IF(OR($B624="",$C624=""),"",IF(MATCH($C624,'Ajustes'!$A$5:$A$8,0)&lt;=2,$D624*INDEX('Ajustes'!$C$5:$C$6,MATCH($C624,'Ajustes'!$A$5:$A$8,0)),IF(MATCH($C624,'Ajustes'!$A$5:$A$8,0)=3,-($D624+$E624*INDEX('Equipo'!$B$5:$B$29,MATCH($B624,'Equipo'!$A$5:$A$29,0))),0))),"")</f>
        <v/>
      </c>
      <c r="H624" s="25">
        <f>IFERROR(IF(OR($B624="",$C624=""),"",IF(MATCH($C624,'Ajustes'!$A$5:$A$8,0)=4,$D624/INDEX('Equipo'!$B$5:$B$29,MATCH($B624,'Equipo'!$A$5:$A$29,0))+$E624,0)),"")</f>
        <v/>
      </c>
      <c r="I624" s="26">
        <f>IF($B624='Perfil'!$B$3,COUNTIF($B$4:$B624,'Perfil'!$B$3),"")</f>
        <v/>
      </c>
    </row>
    <row r="625">
      <c r="A625" s="22" t="n"/>
      <c r="B625" s="23" t="n"/>
      <c r="C625" s="23" t="n"/>
      <c r="D625" s="24" t="n"/>
      <c r="E625" s="24" t="n"/>
      <c r="F625" s="23" t="n"/>
      <c r="G625" s="19">
        <f>IFERROR(IF(OR($B625="",$C625=""),"",IF(MATCH($C625,'Ajustes'!$A$5:$A$8,0)&lt;=2,$D625*INDEX('Ajustes'!$C$5:$C$6,MATCH($C625,'Ajustes'!$A$5:$A$8,0)),IF(MATCH($C625,'Ajustes'!$A$5:$A$8,0)=3,-($D625+$E625*INDEX('Equipo'!$B$5:$B$29,MATCH($B625,'Equipo'!$A$5:$A$29,0))),0))),"")</f>
        <v/>
      </c>
      <c r="H625" s="25">
        <f>IFERROR(IF(OR($B625="",$C625=""),"",IF(MATCH($C625,'Ajustes'!$A$5:$A$8,0)=4,$D625/INDEX('Equipo'!$B$5:$B$29,MATCH($B625,'Equipo'!$A$5:$A$29,0))+$E625,0)),"")</f>
        <v/>
      </c>
      <c r="I625" s="26">
        <f>IF($B625='Perfil'!$B$3,COUNTIF($B$4:$B625,'Perfil'!$B$3),"")</f>
        <v/>
      </c>
    </row>
    <row r="626">
      <c r="A626" s="22" t="n"/>
      <c r="B626" s="23" t="n"/>
      <c r="C626" s="23" t="n"/>
      <c r="D626" s="24" t="n"/>
      <c r="E626" s="24" t="n"/>
      <c r="F626" s="23" t="n"/>
      <c r="G626" s="19">
        <f>IFERROR(IF(OR($B626="",$C626=""),"",IF(MATCH($C626,'Ajustes'!$A$5:$A$8,0)&lt;=2,$D626*INDEX('Ajustes'!$C$5:$C$6,MATCH($C626,'Ajustes'!$A$5:$A$8,0)),IF(MATCH($C626,'Ajustes'!$A$5:$A$8,0)=3,-($D626+$E626*INDEX('Equipo'!$B$5:$B$29,MATCH($B626,'Equipo'!$A$5:$A$29,0))),0))),"")</f>
        <v/>
      </c>
      <c r="H626" s="25">
        <f>IFERROR(IF(OR($B626="",$C626=""),"",IF(MATCH($C626,'Ajustes'!$A$5:$A$8,0)=4,$D626/INDEX('Equipo'!$B$5:$B$29,MATCH($B626,'Equipo'!$A$5:$A$29,0))+$E626,0)),"")</f>
        <v/>
      </c>
      <c r="I626" s="26">
        <f>IF($B626='Perfil'!$B$3,COUNTIF($B$4:$B626,'Perfil'!$B$3),"")</f>
        <v/>
      </c>
    </row>
    <row r="627">
      <c r="A627" s="22" t="n"/>
      <c r="B627" s="23" t="n"/>
      <c r="C627" s="23" t="n"/>
      <c r="D627" s="24" t="n"/>
      <c r="E627" s="24" t="n"/>
      <c r="F627" s="23" t="n"/>
      <c r="G627" s="19">
        <f>IFERROR(IF(OR($B627="",$C627=""),"",IF(MATCH($C627,'Ajustes'!$A$5:$A$8,0)&lt;=2,$D627*INDEX('Ajustes'!$C$5:$C$6,MATCH($C627,'Ajustes'!$A$5:$A$8,0)),IF(MATCH($C627,'Ajustes'!$A$5:$A$8,0)=3,-($D627+$E627*INDEX('Equipo'!$B$5:$B$29,MATCH($B627,'Equipo'!$A$5:$A$29,0))),0))),"")</f>
        <v/>
      </c>
      <c r="H627" s="25">
        <f>IFERROR(IF(OR($B627="",$C627=""),"",IF(MATCH($C627,'Ajustes'!$A$5:$A$8,0)=4,$D627/INDEX('Equipo'!$B$5:$B$29,MATCH($B627,'Equipo'!$A$5:$A$29,0))+$E627,0)),"")</f>
        <v/>
      </c>
      <c r="I627" s="26">
        <f>IF($B627='Perfil'!$B$3,COUNTIF($B$4:$B627,'Perfil'!$B$3),"")</f>
        <v/>
      </c>
    </row>
    <row r="628">
      <c r="A628" s="22" t="n"/>
      <c r="B628" s="23" t="n"/>
      <c r="C628" s="23" t="n"/>
      <c r="D628" s="24" t="n"/>
      <c r="E628" s="24" t="n"/>
      <c r="F628" s="23" t="n"/>
      <c r="G628" s="19">
        <f>IFERROR(IF(OR($B628="",$C628=""),"",IF(MATCH($C628,'Ajustes'!$A$5:$A$8,0)&lt;=2,$D628*INDEX('Ajustes'!$C$5:$C$6,MATCH($C628,'Ajustes'!$A$5:$A$8,0)),IF(MATCH($C628,'Ajustes'!$A$5:$A$8,0)=3,-($D628+$E628*INDEX('Equipo'!$B$5:$B$29,MATCH($B628,'Equipo'!$A$5:$A$29,0))),0))),"")</f>
        <v/>
      </c>
      <c r="H628" s="25">
        <f>IFERROR(IF(OR($B628="",$C628=""),"",IF(MATCH($C628,'Ajustes'!$A$5:$A$8,0)=4,$D628/INDEX('Equipo'!$B$5:$B$29,MATCH($B628,'Equipo'!$A$5:$A$29,0))+$E628,0)),"")</f>
        <v/>
      </c>
      <c r="I628" s="26">
        <f>IF($B628='Perfil'!$B$3,COUNTIF($B$4:$B628,'Perfil'!$B$3),"")</f>
        <v/>
      </c>
    </row>
    <row r="629">
      <c r="A629" s="22" t="n"/>
      <c r="B629" s="23" t="n"/>
      <c r="C629" s="23" t="n"/>
      <c r="D629" s="24" t="n"/>
      <c r="E629" s="24" t="n"/>
      <c r="F629" s="23" t="n"/>
      <c r="G629" s="19">
        <f>IFERROR(IF(OR($B629="",$C629=""),"",IF(MATCH($C629,'Ajustes'!$A$5:$A$8,0)&lt;=2,$D629*INDEX('Ajustes'!$C$5:$C$6,MATCH($C629,'Ajustes'!$A$5:$A$8,0)),IF(MATCH($C629,'Ajustes'!$A$5:$A$8,0)=3,-($D629+$E629*INDEX('Equipo'!$B$5:$B$29,MATCH($B629,'Equipo'!$A$5:$A$29,0))),0))),"")</f>
        <v/>
      </c>
      <c r="H629" s="25">
        <f>IFERROR(IF(OR($B629="",$C629=""),"",IF(MATCH($C629,'Ajustes'!$A$5:$A$8,0)=4,$D629/INDEX('Equipo'!$B$5:$B$29,MATCH($B629,'Equipo'!$A$5:$A$29,0))+$E629,0)),"")</f>
        <v/>
      </c>
      <c r="I629" s="26">
        <f>IF($B629='Perfil'!$B$3,COUNTIF($B$4:$B629,'Perfil'!$B$3),"")</f>
        <v/>
      </c>
    </row>
    <row r="630">
      <c r="A630" s="22" t="n"/>
      <c r="B630" s="23" t="n"/>
      <c r="C630" s="23" t="n"/>
      <c r="D630" s="24" t="n"/>
      <c r="E630" s="24" t="n"/>
      <c r="F630" s="23" t="n"/>
      <c r="G630" s="19">
        <f>IFERROR(IF(OR($B630="",$C630=""),"",IF(MATCH($C630,'Ajustes'!$A$5:$A$8,0)&lt;=2,$D630*INDEX('Ajustes'!$C$5:$C$6,MATCH($C630,'Ajustes'!$A$5:$A$8,0)),IF(MATCH($C630,'Ajustes'!$A$5:$A$8,0)=3,-($D630+$E630*INDEX('Equipo'!$B$5:$B$29,MATCH($B630,'Equipo'!$A$5:$A$29,0))),0))),"")</f>
        <v/>
      </c>
      <c r="H630" s="25">
        <f>IFERROR(IF(OR($B630="",$C630=""),"",IF(MATCH($C630,'Ajustes'!$A$5:$A$8,0)=4,$D630/INDEX('Equipo'!$B$5:$B$29,MATCH($B630,'Equipo'!$A$5:$A$29,0))+$E630,0)),"")</f>
        <v/>
      </c>
      <c r="I630" s="26">
        <f>IF($B630='Perfil'!$B$3,COUNTIF($B$4:$B630,'Perfil'!$B$3),"")</f>
        <v/>
      </c>
    </row>
    <row r="631">
      <c r="A631" s="22" t="n"/>
      <c r="B631" s="23" t="n"/>
      <c r="C631" s="23" t="n"/>
      <c r="D631" s="24" t="n"/>
      <c r="E631" s="24" t="n"/>
      <c r="F631" s="23" t="n"/>
      <c r="G631" s="19">
        <f>IFERROR(IF(OR($B631="",$C631=""),"",IF(MATCH($C631,'Ajustes'!$A$5:$A$8,0)&lt;=2,$D631*INDEX('Ajustes'!$C$5:$C$6,MATCH($C631,'Ajustes'!$A$5:$A$8,0)),IF(MATCH($C631,'Ajustes'!$A$5:$A$8,0)=3,-($D631+$E631*INDEX('Equipo'!$B$5:$B$29,MATCH($B631,'Equipo'!$A$5:$A$29,0))),0))),"")</f>
        <v/>
      </c>
      <c r="H631" s="25">
        <f>IFERROR(IF(OR($B631="",$C631=""),"",IF(MATCH($C631,'Ajustes'!$A$5:$A$8,0)=4,$D631/INDEX('Equipo'!$B$5:$B$29,MATCH($B631,'Equipo'!$A$5:$A$29,0))+$E631,0)),"")</f>
        <v/>
      </c>
      <c r="I631" s="26">
        <f>IF($B631='Perfil'!$B$3,COUNTIF($B$4:$B631,'Perfil'!$B$3),"")</f>
        <v/>
      </c>
    </row>
    <row r="632">
      <c r="A632" s="22" t="n"/>
      <c r="B632" s="23" t="n"/>
      <c r="C632" s="23" t="n"/>
      <c r="D632" s="24" t="n"/>
      <c r="E632" s="24" t="n"/>
      <c r="F632" s="23" t="n"/>
      <c r="G632" s="19">
        <f>IFERROR(IF(OR($B632="",$C632=""),"",IF(MATCH($C632,'Ajustes'!$A$5:$A$8,0)&lt;=2,$D632*INDEX('Ajustes'!$C$5:$C$6,MATCH($C632,'Ajustes'!$A$5:$A$8,0)),IF(MATCH($C632,'Ajustes'!$A$5:$A$8,0)=3,-($D632+$E632*INDEX('Equipo'!$B$5:$B$29,MATCH($B632,'Equipo'!$A$5:$A$29,0))),0))),"")</f>
        <v/>
      </c>
      <c r="H632" s="25">
        <f>IFERROR(IF(OR($B632="",$C632=""),"",IF(MATCH($C632,'Ajustes'!$A$5:$A$8,0)=4,$D632/INDEX('Equipo'!$B$5:$B$29,MATCH($B632,'Equipo'!$A$5:$A$29,0))+$E632,0)),"")</f>
        <v/>
      </c>
      <c r="I632" s="26">
        <f>IF($B632='Perfil'!$B$3,COUNTIF($B$4:$B632,'Perfil'!$B$3),"")</f>
        <v/>
      </c>
    </row>
    <row r="633">
      <c r="A633" s="22" t="n"/>
      <c r="B633" s="23" t="n"/>
      <c r="C633" s="23" t="n"/>
      <c r="D633" s="24" t="n"/>
      <c r="E633" s="24" t="n"/>
      <c r="F633" s="23" t="n"/>
      <c r="G633" s="19">
        <f>IFERROR(IF(OR($B633="",$C633=""),"",IF(MATCH($C633,'Ajustes'!$A$5:$A$8,0)&lt;=2,$D633*INDEX('Ajustes'!$C$5:$C$6,MATCH($C633,'Ajustes'!$A$5:$A$8,0)),IF(MATCH($C633,'Ajustes'!$A$5:$A$8,0)=3,-($D633+$E633*INDEX('Equipo'!$B$5:$B$29,MATCH($B633,'Equipo'!$A$5:$A$29,0))),0))),"")</f>
        <v/>
      </c>
      <c r="H633" s="25">
        <f>IFERROR(IF(OR($B633="",$C633=""),"",IF(MATCH($C633,'Ajustes'!$A$5:$A$8,0)=4,$D633/INDEX('Equipo'!$B$5:$B$29,MATCH($B633,'Equipo'!$A$5:$A$29,0))+$E633,0)),"")</f>
        <v/>
      </c>
      <c r="I633" s="26">
        <f>IF($B633='Perfil'!$B$3,COUNTIF($B$4:$B633,'Perfil'!$B$3),"")</f>
        <v/>
      </c>
    </row>
    <row r="634">
      <c r="A634" s="22" t="n"/>
      <c r="B634" s="23" t="n"/>
      <c r="C634" s="23" t="n"/>
      <c r="D634" s="24" t="n"/>
      <c r="E634" s="24" t="n"/>
      <c r="F634" s="23" t="n"/>
      <c r="G634" s="19">
        <f>IFERROR(IF(OR($B634="",$C634=""),"",IF(MATCH($C634,'Ajustes'!$A$5:$A$8,0)&lt;=2,$D634*INDEX('Ajustes'!$C$5:$C$6,MATCH($C634,'Ajustes'!$A$5:$A$8,0)),IF(MATCH($C634,'Ajustes'!$A$5:$A$8,0)=3,-($D634+$E634*INDEX('Equipo'!$B$5:$B$29,MATCH($B634,'Equipo'!$A$5:$A$29,0))),0))),"")</f>
        <v/>
      </c>
      <c r="H634" s="25">
        <f>IFERROR(IF(OR($B634="",$C634=""),"",IF(MATCH($C634,'Ajustes'!$A$5:$A$8,0)=4,$D634/INDEX('Equipo'!$B$5:$B$29,MATCH($B634,'Equipo'!$A$5:$A$29,0))+$E634,0)),"")</f>
        <v/>
      </c>
      <c r="I634" s="26">
        <f>IF($B634='Perfil'!$B$3,COUNTIF($B$4:$B634,'Perfil'!$B$3),"")</f>
        <v/>
      </c>
    </row>
    <row r="635">
      <c r="A635" s="22" t="n"/>
      <c r="B635" s="23" t="n"/>
      <c r="C635" s="23" t="n"/>
      <c r="D635" s="24" t="n"/>
      <c r="E635" s="24" t="n"/>
      <c r="F635" s="23" t="n"/>
      <c r="G635" s="19">
        <f>IFERROR(IF(OR($B635="",$C635=""),"",IF(MATCH($C635,'Ajustes'!$A$5:$A$8,0)&lt;=2,$D635*INDEX('Ajustes'!$C$5:$C$6,MATCH($C635,'Ajustes'!$A$5:$A$8,0)),IF(MATCH($C635,'Ajustes'!$A$5:$A$8,0)=3,-($D635+$E635*INDEX('Equipo'!$B$5:$B$29,MATCH($B635,'Equipo'!$A$5:$A$29,0))),0))),"")</f>
        <v/>
      </c>
      <c r="H635" s="25">
        <f>IFERROR(IF(OR($B635="",$C635=""),"",IF(MATCH($C635,'Ajustes'!$A$5:$A$8,0)=4,$D635/INDEX('Equipo'!$B$5:$B$29,MATCH($B635,'Equipo'!$A$5:$A$29,0))+$E635,0)),"")</f>
        <v/>
      </c>
      <c r="I635" s="26">
        <f>IF($B635='Perfil'!$B$3,COUNTIF($B$4:$B635,'Perfil'!$B$3),"")</f>
        <v/>
      </c>
    </row>
    <row r="636">
      <c r="A636" s="22" t="n"/>
      <c r="B636" s="23" t="n"/>
      <c r="C636" s="23" t="n"/>
      <c r="D636" s="24" t="n"/>
      <c r="E636" s="24" t="n"/>
      <c r="F636" s="23" t="n"/>
      <c r="G636" s="19">
        <f>IFERROR(IF(OR($B636="",$C636=""),"",IF(MATCH($C636,'Ajustes'!$A$5:$A$8,0)&lt;=2,$D636*INDEX('Ajustes'!$C$5:$C$6,MATCH($C636,'Ajustes'!$A$5:$A$8,0)),IF(MATCH($C636,'Ajustes'!$A$5:$A$8,0)=3,-($D636+$E636*INDEX('Equipo'!$B$5:$B$29,MATCH($B636,'Equipo'!$A$5:$A$29,0))),0))),"")</f>
        <v/>
      </c>
      <c r="H636" s="25">
        <f>IFERROR(IF(OR($B636="",$C636=""),"",IF(MATCH($C636,'Ajustes'!$A$5:$A$8,0)=4,$D636/INDEX('Equipo'!$B$5:$B$29,MATCH($B636,'Equipo'!$A$5:$A$29,0))+$E636,0)),"")</f>
        <v/>
      </c>
      <c r="I636" s="26">
        <f>IF($B636='Perfil'!$B$3,COUNTIF($B$4:$B636,'Perfil'!$B$3),"")</f>
        <v/>
      </c>
    </row>
    <row r="637">
      <c r="A637" s="22" t="n"/>
      <c r="B637" s="23" t="n"/>
      <c r="C637" s="23" t="n"/>
      <c r="D637" s="24" t="n"/>
      <c r="E637" s="24" t="n"/>
      <c r="F637" s="23" t="n"/>
      <c r="G637" s="19">
        <f>IFERROR(IF(OR($B637="",$C637=""),"",IF(MATCH($C637,'Ajustes'!$A$5:$A$8,0)&lt;=2,$D637*INDEX('Ajustes'!$C$5:$C$6,MATCH($C637,'Ajustes'!$A$5:$A$8,0)),IF(MATCH($C637,'Ajustes'!$A$5:$A$8,0)=3,-($D637+$E637*INDEX('Equipo'!$B$5:$B$29,MATCH($B637,'Equipo'!$A$5:$A$29,0))),0))),"")</f>
        <v/>
      </c>
      <c r="H637" s="25">
        <f>IFERROR(IF(OR($B637="",$C637=""),"",IF(MATCH($C637,'Ajustes'!$A$5:$A$8,0)=4,$D637/INDEX('Equipo'!$B$5:$B$29,MATCH($B637,'Equipo'!$A$5:$A$29,0))+$E637,0)),"")</f>
        <v/>
      </c>
      <c r="I637" s="26">
        <f>IF($B637='Perfil'!$B$3,COUNTIF($B$4:$B637,'Perfil'!$B$3),"")</f>
        <v/>
      </c>
    </row>
    <row r="638">
      <c r="A638" s="22" t="n"/>
      <c r="B638" s="23" t="n"/>
      <c r="C638" s="23" t="n"/>
      <c r="D638" s="24" t="n"/>
      <c r="E638" s="24" t="n"/>
      <c r="F638" s="23" t="n"/>
      <c r="G638" s="19">
        <f>IFERROR(IF(OR($B638="",$C638=""),"",IF(MATCH($C638,'Ajustes'!$A$5:$A$8,0)&lt;=2,$D638*INDEX('Ajustes'!$C$5:$C$6,MATCH($C638,'Ajustes'!$A$5:$A$8,0)),IF(MATCH($C638,'Ajustes'!$A$5:$A$8,0)=3,-($D638+$E638*INDEX('Equipo'!$B$5:$B$29,MATCH($B638,'Equipo'!$A$5:$A$29,0))),0))),"")</f>
        <v/>
      </c>
      <c r="H638" s="25">
        <f>IFERROR(IF(OR($B638="",$C638=""),"",IF(MATCH($C638,'Ajustes'!$A$5:$A$8,0)=4,$D638/INDEX('Equipo'!$B$5:$B$29,MATCH($B638,'Equipo'!$A$5:$A$29,0))+$E638,0)),"")</f>
        <v/>
      </c>
      <c r="I638" s="26">
        <f>IF($B638='Perfil'!$B$3,COUNTIF($B$4:$B638,'Perfil'!$B$3),"")</f>
        <v/>
      </c>
    </row>
    <row r="639">
      <c r="A639" s="22" t="n"/>
      <c r="B639" s="23" t="n"/>
      <c r="C639" s="23" t="n"/>
      <c r="D639" s="24" t="n"/>
      <c r="E639" s="24" t="n"/>
      <c r="F639" s="23" t="n"/>
      <c r="G639" s="19">
        <f>IFERROR(IF(OR($B639="",$C639=""),"",IF(MATCH($C639,'Ajustes'!$A$5:$A$8,0)&lt;=2,$D639*INDEX('Ajustes'!$C$5:$C$6,MATCH($C639,'Ajustes'!$A$5:$A$8,0)),IF(MATCH($C639,'Ajustes'!$A$5:$A$8,0)=3,-($D639+$E639*INDEX('Equipo'!$B$5:$B$29,MATCH($B639,'Equipo'!$A$5:$A$29,0))),0))),"")</f>
        <v/>
      </c>
      <c r="H639" s="25">
        <f>IFERROR(IF(OR($B639="",$C639=""),"",IF(MATCH($C639,'Ajustes'!$A$5:$A$8,0)=4,$D639/INDEX('Equipo'!$B$5:$B$29,MATCH($B639,'Equipo'!$A$5:$A$29,0))+$E639,0)),"")</f>
        <v/>
      </c>
      <c r="I639" s="26">
        <f>IF($B639='Perfil'!$B$3,COUNTIF($B$4:$B639,'Perfil'!$B$3),"")</f>
        <v/>
      </c>
    </row>
    <row r="640">
      <c r="A640" s="22" t="n"/>
      <c r="B640" s="23" t="n"/>
      <c r="C640" s="23" t="n"/>
      <c r="D640" s="24" t="n"/>
      <c r="E640" s="24" t="n"/>
      <c r="F640" s="23" t="n"/>
      <c r="G640" s="19">
        <f>IFERROR(IF(OR($B640="",$C640=""),"",IF(MATCH($C640,'Ajustes'!$A$5:$A$8,0)&lt;=2,$D640*INDEX('Ajustes'!$C$5:$C$6,MATCH($C640,'Ajustes'!$A$5:$A$8,0)),IF(MATCH($C640,'Ajustes'!$A$5:$A$8,0)=3,-($D640+$E640*INDEX('Equipo'!$B$5:$B$29,MATCH($B640,'Equipo'!$A$5:$A$29,0))),0))),"")</f>
        <v/>
      </c>
      <c r="H640" s="25">
        <f>IFERROR(IF(OR($B640="",$C640=""),"",IF(MATCH($C640,'Ajustes'!$A$5:$A$8,0)=4,$D640/INDEX('Equipo'!$B$5:$B$29,MATCH($B640,'Equipo'!$A$5:$A$29,0))+$E640,0)),"")</f>
        <v/>
      </c>
      <c r="I640" s="26">
        <f>IF($B640='Perfil'!$B$3,COUNTIF($B$4:$B640,'Perfil'!$B$3),"")</f>
        <v/>
      </c>
    </row>
    <row r="641">
      <c r="A641" s="22" t="n"/>
      <c r="B641" s="23" t="n"/>
      <c r="C641" s="23" t="n"/>
      <c r="D641" s="24" t="n"/>
      <c r="E641" s="24" t="n"/>
      <c r="F641" s="23" t="n"/>
      <c r="G641" s="19">
        <f>IFERROR(IF(OR($B641="",$C641=""),"",IF(MATCH($C641,'Ajustes'!$A$5:$A$8,0)&lt;=2,$D641*INDEX('Ajustes'!$C$5:$C$6,MATCH($C641,'Ajustes'!$A$5:$A$8,0)),IF(MATCH($C641,'Ajustes'!$A$5:$A$8,0)=3,-($D641+$E641*INDEX('Equipo'!$B$5:$B$29,MATCH($B641,'Equipo'!$A$5:$A$29,0))),0))),"")</f>
        <v/>
      </c>
      <c r="H641" s="25">
        <f>IFERROR(IF(OR($B641="",$C641=""),"",IF(MATCH($C641,'Ajustes'!$A$5:$A$8,0)=4,$D641/INDEX('Equipo'!$B$5:$B$29,MATCH($B641,'Equipo'!$A$5:$A$29,0))+$E641,0)),"")</f>
        <v/>
      </c>
      <c r="I641" s="26">
        <f>IF($B641='Perfil'!$B$3,COUNTIF($B$4:$B641,'Perfil'!$B$3),"")</f>
        <v/>
      </c>
    </row>
    <row r="642">
      <c r="A642" s="22" t="n"/>
      <c r="B642" s="23" t="n"/>
      <c r="C642" s="23" t="n"/>
      <c r="D642" s="24" t="n"/>
      <c r="E642" s="24" t="n"/>
      <c r="F642" s="23" t="n"/>
      <c r="G642" s="19">
        <f>IFERROR(IF(OR($B642="",$C642=""),"",IF(MATCH($C642,'Ajustes'!$A$5:$A$8,0)&lt;=2,$D642*INDEX('Ajustes'!$C$5:$C$6,MATCH($C642,'Ajustes'!$A$5:$A$8,0)),IF(MATCH($C642,'Ajustes'!$A$5:$A$8,0)=3,-($D642+$E642*INDEX('Equipo'!$B$5:$B$29,MATCH($B642,'Equipo'!$A$5:$A$29,0))),0))),"")</f>
        <v/>
      </c>
      <c r="H642" s="25">
        <f>IFERROR(IF(OR($B642="",$C642=""),"",IF(MATCH($C642,'Ajustes'!$A$5:$A$8,0)=4,$D642/INDEX('Equipo'!$B$5:$B$29,MATCH($B642,'Equipo'!$A$5:$A$29,0))+$E642,0)),"")</f>
        <v/>
      </c>
      <c r="I642" s="26">
        <f>IF($B642='Perfil'!$B$3,COUNTIF($B$4:$B642,'Perfil'!$B$3),"")</f>
        <v/>
      </c>
    </row>
    <row r="643">
      <c r="A643" s="22" t="n"/>
      <c r="B643" s="23" t="n"/>
      <c r="C643" s="23" t="n"/>
      <c r="D643" s="24" t="n"/>
      <c r="E643" s="24" t="n"/>
      <c r="F643" s="23" t="n"/>
      <c r="G643" s="19">
        <f>IFERROR(IF(OR($B643="",$C643=""),"",IF(MATCH($C643,'Ajustes'!$A$5:$A$8,0)&lt;=2,$D643*INDEX('Ajustes'!$C$5:$C$6,MATCH($C643,'Ajustes'!$A$5:$A$8,0)),IF(MATCH($C643,'Ajustes'!$A$5:$A$8,0)=3,-($D643+$E643*INDEX('Equipo'!$B$5:$B$29,MATCH($B643,'Equipo'!$A$5:$A$29,0))),0))),"")</f>
        <v/>
      </c>
      <c r="H643" s="25">
        <f>IFERROR(IF(OR($B643="",$C643=""),"",IF(MATCH($C643,'Ajustes'!$A$5:$A$8,0)=4,$D643/INDEX('Equipo'!$B$5:$B$29,MATCH($B643,'Equipo'!$A$5:$A$29,0))+$E643,0)),"")</f>
        <v/>
      </c>
      <c r="I643" s="26">
        <f>IF($B643='Perfil'!$B$3,COUNTIF($B$4:$B643,'Perfil'!$B$3),"")</f>
        <v/>
      </c>
    </row>
    <row r="644">
      <c r="A644" s="22" t="n"/>
      <c r="B644" s="23" t="n"/>
      <c r="C644" s="23" t="n"/>
      <c r="D644" s="24" t="n"/>
      <c r="E644" s="24" t="n"/>
      <c r="F644" s="23" t="n"/>
      <c r="G644" s="19">
        <f>IFERROR(IF(OR($B644="",$C644=""),"",IF(MATCH($C644,'Ajustes'!$A$5:$A$8,0)&lt;=2,$D644*INDEX('Ajustes'!$C$5:$C$6,MATCH($C644,'Ajustes'!$A$5:$A$8,0)),IF(MATCH($C644,'Ajustes'!$A$5:$A$8,0)=3,-($D644+$E644*INDEX('Equipo'!$B$5:$B$29,MATCH($B644,'Equipo'!$A$5:$A$29,0))),0))),"")</f>
        <v/>
      </c>
      <c r="H644" s="25">
        <f>IFERROR(IF(OR($B644="",$C644=""),"",IF(MATCH($C644,'Ajustes'!$A$5:$A$8,0)=4,$D644/INDEX('Equipo'!$B$5:$B$29,MATCH($B644,'Equipo'!$A$5:$A$29,0))+$E644,0)),"")</f>
        <v/>
      </c>
      <c r="I644" s="26">
        <f>IF($B644='Perfil'!$B$3,COUNTIF($B$4:$B644,'Perfil'!$B$3),"")</f>
        <v/>
      </c>
    </row>
    <row r="645">
      <c r="A645" s="22" t="n"/>
      <c r="B645" s="23" t="n"/>
      <c r="C645" s="23" t="n"/>
      <c r="D645" s="24" t="n"/>
      <c r="E645" s="24" t="n"/>
      <c r="F645" s="23" t="n"/>
      <c r="G645" s="19">
        <f>IFERROR(IF(OR($B645="",$C645=""),"",IF(MATCH($C645,'Ajustes'!$A$5:$A$8,0)&lt;=2,$D645*INDEX('Ajustes'!$C$5:$C$6,MATCH($C645,'Ajustes'!$A$5:$A$8,0)),IF(MATCH($C645,'Ajustes'!$A$5:$A$8,0)=3,-($D645+$E645*INDEX('Equipo'!$B$5:$B$29,MATCH($B645,'Equipo'!$A$5:$A$29,0))),0))),"")</f>
        <v/>
      </c>
      <c r="H645" s="25">
        <f>IFERROR(IF(OR($B645="",$C645=""),"",IF(MATCH($C645,'Ajustes'!$A$5:$A$8,0)=4,$D645/INDEX('Equipo'!$B$5:$B$29,MATCH($B645,'Equipo'!$A$5:$A$29,0))+$E645,0)),"")</f>
        <v/>
      </c>
      <c r="I645" s="26">
        <f>IF($B645='Perfil'!$B$3,COUNTIF($B$4:$B645,'Perfil'!$B$3),"")</f>
        <v/>
      </c>
    </row>
    <row r="646">
      <c r="A646" s="22" t="n"/>
      <c r="B646" s="23" t="n"/>
      <c r="C646" s="23" t="n"/>
      <c r="D646" s="24" t="n"/>
      <c r="E646" s="24" t="n"/>
      <c r="F646" s="23" t="n"/>
      <c r="G646" s="19">
        <f>IFERROR(IF(OR($B646="",$C646=""),"",IF(MATCH($C646,'Ajustes'!$A$5:$A$8,0)&lt;=2,$D646*INDEX('Ajustes'!$C$5:$C$6,MATCH($C646,'Ajustes'!$A$5:$A$8,0)),IF(MATCH($C646,'Ajustes'!$A$5:$A$8,0)=3,-($D646+$E646*INDEX('Equipo'!$B$5:$B$29,MATCH($B646,'Equipo'!$A$5:$A$29,0))),0))),"")</f>
        <v/>
      </c>
      <c r="H646" s="25">
        <f>IFERROR(IF(OR($B646="",$C646=""),"",IF(MATCH($C646,'Ajustes'!$A$5:$A$8,0)=4,$D646/INDEX('Equipo'!$B$5:$B$29,MATCH($B646,'Equipo'!$A$5:$A$29,0))+$E646,0)),"")</f>
        <v/>
      </c>
      <c r="I646" s="26">
        <f>IF($B646='Perfil'!$B$3,COUNTIF($B$4:$B646,'Perfil'!$B$3),"")</f>
        <v/>
      </c>
    </row>
    <row r="647">
      <c r="A647" s="22" t="n"/>
      <c r="B647" s="23" t="n"/>
      <c r="C647" s="23" t="n"/>
      <c r="D647" s="24" t="n"/>
      <c r="E647" s="24" t="n"/>
      <c r="F647" s="23" t="n"/>
      <c r="G647" s="19">
        <f>IFERROR(IF(OR($B647="",$C647=""),"",IF(MATCH($C647,'Ajustes'!$A$5:$A$8,0)&lt;=2,$D647*INDEX('Ajustes'!$C$5:$C$6,MATCH($C647,'Ajustes'!$A$5:$A$8,0)),IF(MATCH($C647,'Ajustes'!$A$5:$A$8,0)=3,-($D647+$E647*INDEX('Equipo'!$B$5:$B$29,MATCH($B647,'Equipo'!$A$5:$A$29,0))),0))),"")</f>
        <v/>
      </c>
      <c r="H647" s="25">
        <f>IFERROR(IF(OR($B647="",$C647=""),"",IF(MATCH($C647,'Ajustes'!$A$5:$A$8,0)=4,$D647/INDEX('Equipo'!$B$5:$B$29,MATCH($B647,'Equipo'!$A$5:$A$29,0))+$E647,0)),"")</f>
        <v/>
      </c>
      <c r="I647" s="26">
        <f>IF($B647='Perfil'!$B$3,COUNTIF($B$4:$B647,'Perfil'!$B$3),"")</f>
        <v/>
      </c>
    </row>
    <row r="648">
      <c r="A648" s="22" t="n"/>
      <c r="B648" s="23" t="n"/>
      <c r="C648" s="23" t="n"/>
      <c r="D648" s="24" t="n"/>
      <c r="E648" s="24" t="n"/>
      <c r="F648" s="23" t="n"/>
      <c r="G648" s="19">
        <f>IFERROR(IF(OR($B648="",$C648=""),"",IF(MATCH($C648,'Ajustes'!$A$5:$A$8,0)&lt;=2,$D648*INDEX('Ajustes'!$C$5:$C$6,MATCH($C648,'Ajustes'!$A$5:$A$8,0)),IF(MATCH($C648,'Ajustes'!$A$5:$A$8,0)=3,-($D648+$E648*INDEX('Equipo'!$B$5:$B$29,MATCH($B648,'Equipo'!$A$5:$A$29,0))),0))),"")</f>
        <v/>
      </c>
      <c r="H648" s="25">
        <f>IFERROR(IF(OR($B648="",$C648=""),"",IF(MATCH($C648,'Ajustes'!$A$5:$A$8,0)=4,$D648/INDEX('Equipo'!$B$5:$B$29,MATCH($B648,'Equipo'!$A$5:$A$29,0))+$E648,0)),"")</f>
        <v/>
      </c>
      <c r="I648" s="26">
        <f>IF($B648='Perfil'!$B$3,COUNTIF($B$4:$B648,'Perfil'!$B$3),"")</f>
        <v/>
      </c>
    </row>
    <row r="649">
      <c r="A649" s="22" t="n"/>
      <c r="B649" s="23" t="n"/>
      <c r="C649" s="23" t="n"/>
      <c r="D649" s="24" t="n"/>
      <c r="E649" s="24" t="n"/>
      <c r="F649" s="23" t="n"/>
      <c r="G649" s="19">
        <f>IFERROR(IF(OR($B649="",$C649=""),"",IF(MATCH($C649,'Ajustes'!$A$5:$A$8,0)&lt;=2,$D649*INDEX('Ajustes'!$C$5:$C$6,MATCH($C649,'Ajustes'!$A$5:$A$8,0)),IF(MATCH($C649,'Ajustes'!$A$5:$A$8,0)=3,-($D649+$E649*INDEX('Equipo'!$B$5:$B$29,MATCH($B649,'Equipo'!$A$5:$A$29,0))),0))),"")</f>
        <v/>
      </c>
      <c r="H649" s="25">
        <f>IFERROR(IF(OR($B649="",$C649=""),"",IF(MATCH($C649,'Ajustes'!$A$5:$A$8,0)=4,$D649/INDEX('Equipo'!$B$5:$B$29,MATCH($B649,'Equipo'!$A$5:$A$29,0))+$E649,0)),"")</f>
        <v/>
      </c>
      <c r="I649" s="26">
        <f>IF($B649='Perfil'!$B$3,COUNTIF($B$4:$B649,'Perfil'!$B$3),"")</f>
        <v/>
      </c>
    </row>
    <row r="650">
      <c r="A650" s="22" t="n"/>
      <c r="B650" s="23" t="n"/>
      <c r="C650" s="23" t="n"/>
      <c r="D650" s="24" t="n"/>
      <c r="E650" s="24" t="n"/>
      <c r="F650" s="23" t="n"/>
      <c r="G650" s="19">
        <f>IFERROR(IF(OR($B650="",$C650=""),"",IF(MATCH($C650,'Ajustes'!$A$5:$A$8,0)&lt;=2,$D650*INDEX('Ajustes'!$C$5:$C$6,MATCH($C650,'Ajustes'!$A$5:$A$8,0)),IF(MATCH($C650,'Ajustes'!$A$5:$A$8,0)=3,-($D650+$E650*INDEX('Equipo'!$B$5:$B$29,MATCH($B650,'Equipo'!$A$5:$A$29,0))),0))),"")</f>
        <v/>
      </c>
      <c r="H650" s="25">
        <f>IFERROR(IF(OR($B650="",$C650=""),"",IF(MATCH($C650,'Ajustes'!$A$5:$A$8,0)=4,$D650/INDEX('Equipo'!$B$5:$B$29,MATCH($B650,'Equipo'!$A$5:$A$29,0))+$E650,0)),"")</f>
        <v/>
      </c>
      <c r="I650" s="26">
        <f>IF($B650='Perfil'!$B$3,COUNTIF($B$4:$B650,'Perfil'!$B$3),"")</f>
        <v/>
      </c>
    </row>
    <row r="651">
      <c r="A651" s="22" t="n"/>
      <c r="B651" s="23" t="n"/>
      <c r="C651" s="23" t="n"/>
      <c r="D651" s="24" t="n"/>
      <c r="E651" s="24" t="n"/>
      <c r="F651" s="23" t="n"/>
      <c r="G651" s="19">
        <f>IFERROR(IF(OR($B651="",$C651=""),"",IF(MATCH($C651,'Ajustes'!$A$5:$A$8,0)&lt;=2,$D651*INDEX('Ajustes'!$C$5:$C$6,MATCH($C651,'Ajustes'!$A$5:$A$8,0)),IF(MATCH($C651,'Ajustes'!$A$5:$A$8,0)=3,-($D651+$E651*INDEX('Equipo'!$B$5:$B$29,MATCH($B651,'Equipo'!$A$5:$A$29,0))),0))),"")</f>
        <v/>
      </c>
      <c r="H651" s="25">
        <f>IFERROR(IF(OR($B651="",$C651=""),"",IF(MATCH($C651,'Ajustes'!$A$5:$A$8,0)=4,$D651/INDEX('Equipo'!$B$5:$B$29,MATCH($B651,'Equipo'!$A$5:$A$29,0))+$E651,0)),"")</f>
        <v/>
      </c>
      <c r="I651" s="26">
        <f>IF($B651='Perfil'!$B$3,COUNTIF($B$4:$B651,'Perfil'!$B$3),"")</f>
        <v/>
      </c>
    </row>
    <row r="652">
      <c r="A652" s="22" t="n"/>
      <c r="B652" s="23" t="n"/>
      <c r="C652" s="23" t="n"/>
      <c r="D652" s="24" t="n"/>
      <c r="E652" s="24" t="n"/>
      <c r="F652" s="23" t="n"/>
      <c r="G652" s="19">
        <f>IFERROR(IF(OR($B652="",$C652=""),"",IF(MATCH($C652,'Ajustes'!$A$5:$A$8,0)&lt;=2,$D652*INDEX('Ajustes'!$C$5:$C$6,MATCH($C652,'Ajustes'!$A$5:$A$8,0)),IF(MATCH($C652,'Ajustes'!$A$5:$A$8,0)=3,-($D652+$E652*INDEX('Equipo'!$B$5:$B$29,MATCH($B652,'Equipo'!$A$5:$A$29,0))),0))),"")</f>
        <v/>
      </c>
      <c r="H652" s="25">
        <f>IFERROR(IF(OR($B652="",$C652=""),"",IF(MATCH($C652,'Ajustes'!$A$5:$A$8,0)=4,$D652/INDEX('Equipo'!$B$5:$B$29,MATCH($B652,'Equipo'!$A$5:$A$29,0))+$E652,0)),"")</f>
        <v/>
      </c>
      <c r="I652" s="26">
        <f>IF($B652='Perfil'!$B$3,COUNTIF($B$4:$B652,'Perfil'!$B$3),"")</f>
        <v/>
      </c>
    </row>
    <row r="653">
      <c r="A653" s="22" t="n"/>
      <c r="B653" s="23" t="n"/>
      <c r="C653" s="23" t="n"/>
      <c r="D653" s="24" t="n"/>
      <c r="E653" s="24" t="n"/>
      <c r="F653" s="23" t="n"/>
      <c r="G653" s="19">
        <f>IFERROR(IF(OR($B653="",$C653=""),"",IF(MATCH($C653,'Ajustes'!$A$5:$A$8,0)&lt;=2,$D653*INDEX('Ajustes'!$C$5:$C$6,MATCH($C653,'Ajustes'!$A$5:$A$8,0)),IF(MATCH($C653,'Ajustes'!$A$5:$A$8,0)=3,-($D653+$E653*INDEX('Equipo'!$B$5:$B$29,MATCH($B653,'Equipo'!$A$5:$A$29,0))),0))),"")</f>
        <v/>
      </c>
      <c r="H653" s="25">
        <f>IFERROR(IF(OR($B653="",$C653=""),"",IF(MATCH($C653,'Ajustes'!$A$5:$A$8,0)=4,$D653/INDEX('Equipo'!$B$5:$B$29,MATCH($B653,'Equipo'!$A$5:$A$29,0))+$E653,0)),"")</f>
        <v/>
      </c>
      <c r="I653" s="26">
        <f>IF($B653='Perfil'!$B$3,COUNTIF($B$4:$B653,'Perfil'!$B$3),"")</f>
        <v/>
      </c>
    </row>
    <row r="654">
      <c r="A654" s="22" t="n"/>
      <c r="B654" s="23" t="n"/>
      <c r="C654" s="23" t="n"/>
      <c r="D654" s="24" t="n"/>
      <c r="E654" s="24" t="n"/>
      <c r="F654" s="23" t="n"/>
      <c r="G654" s="19">
        <f>IFERROR(IF(OR($B654="",$C654=""),"",IF(MATCH($C654,'Ajustes'!$A$5:$A$8,0)&lt;=2,$D654*INDEX('Ajustes'!$C$5:$C$6,MATCH($C654,'Ajustes'!$A$5:$A$8,0)),IF(MATCH($C654,'Ajustes'!$A$5:$A$8,0)=3,-($D654+$E654*INDEX('Equipo'!$B$5:$B$29,MATCH($B654,'Equipo'!$A$5:$A$29,0))),0))),"")</f>
        <v/>
      </c>
      <c r="H654" s="25">
        <f>IFERROR(IF(OR($B654="",$C654=""),"",IF(MATCH($C654,'Ajustes'!$A$5:$A$8,0)=4,$D654/INDEX('Equipo'!$B$5:$B$29,MATCH($B654,'Equipo'!$A$5:$A$29,0))+$E654,0)),"")</f>
        <v/>
      </c>
      <c r="I654" s="26">
        <f>IF($B654='Perfil'!$B$3,COUNTIF($B$4:$B654,'Perfil'!$B$3),"")</f>
        <v/>
      </c>
    </row>
    <row r="655">
      <c r="A655" s="22" t="n"/>
      <c r="B655" s="23" t="n"/>
      <c r="C655" s="23" t="n"/>
      <c r="D655" s="24" t="n"/>
      <c r="E655" s="24" t="n"/>
      <c r="F655" s="23" t="n"/>
      <c r="G655" s="19">
        <f>IFERROR(IF(OR($B655="",$C655=""),"",IF(MATCH($C655,'Ajustes'!$A$5:$A$8,0)&lt;=2,$D655*INDEX('Ajustes'!$C$5:$C$6,MATCH($C655,'Ajustes'!$A$5:$A$8,0)),IF(MATCH($C655,'Ajustes'!$A$5:$A$8,0)=3,-($D655+$E655*INDEX('Equipo'!$B$5:$B$29,MATCH($B655,'Equipo'!$A$5:$A$29,0))),0))),"")</f>
        <v/>
      </c>
      <c r="H655" s="25">
        <f>IFERROR(IF(OR($B655="",$C655=""),"",IF(MATCH($C655,'Ajustes'!$A$5:$A$8,0)=4,$D655/INDEX('Equipo'!$B$5:$B$29,MATCH($B655,'Equipo'!$A$5:$A$29,0))+$E655,0)),"")</f>
        <v/>
      </c>
      <c r="I655" s="26">
        <f>IF($B655='Perfil'!$B$3,COUNTIF($B$4:$B655,'Perfil'!$B$3),"")</f>
        <v/>
      </c>
    </row>
    <row r="656">
      <c r="A656" s="22" t="n"/>
      <c r="B656" s="23" t="n"/>
      <c r="C656" s="23" t="n"/>
      <c r="D656" s="24" t="n"/>
      <c r="E656" s="24" t="n"/>
      <c r="F656" s="23" t="n"/>
      <c r="G656" s="19">
        <f>IFERROR(IF(OR($B656="",$C656=""),"",IF(MATCH($C656,'Ajustes'!$A$5:$A$8,0)&lt;=2,$D656*INDEX('Ajustes'!$C$5:$C$6,MATCH($C656,'Ajustes'!$A$5:$A$8,0)),IF(MATCH($C656,'Ajustes'!$A$5:$A$8,0)=3,-($D656+$E656*INDEX('Equipo'!$B$5:$B$29,MATCH($B656,'Equipo'!$A$5:$A$29,0))),0))),"")</f>
        <v/>
      </c>
      <c r="H656" s="25">
        <f>IFERROR(IF(OR($B656="",$C656=""),"",IF(MATCH($C656,'Ajustes'!$A$5:$A$8,0)=4,$D656/INDEX('Equipo'!$B$5:$B$29,MATCH($B656,'Equipo'!$A$5:$A$29,0))+$E656,0)),"")</f>
        <v/>
      </c>
      <c r="I656" s="26">
        <f>IF($B656='Perfil'!$B$3,COUNTIF($B$4:$B656,'Perfil'!$B$3),"")</f>
        <v/>
      </c>
    </row>
    <row r="657">
      <c r="A657" s="22" t="n"/>
      <c r="B657" s="23" t="n"/>
      <c r="C657" s="23" t="n"/>
      <c r="D657" s="24" t="n"/>
      <c r="E657" s="24" t="n"/>
      <c r="F657" s="23" t="n"/>
      <c r="G657" s="19">
        <f>IFERROR(IF(OR($B657="",$C657=""),"",IF(MATCH($C657,'Ajustes'!$A$5:$A$8,0)&lt;=2,$D657*INDEX('Ajustes'!$C$5:$C$6,MATCH($C657,'Ajustes'!$A$5:$A$8,0)),IF(MATCH($C657,'Ajustes'!$A$5:$A$8,0)=3,-($D657+$E657*INDEX('Equipo'!$B$5:$B$29,MATCH($B657,'Equipo'!$A$5:$A$29,0))),0))),"")</f>
        <v/>
      </c>
      <c r="H657" s="25">
        <f>IFERROR(IF(OR($B657="",$C657=""),"",IF(MATCH($C657,'Ajustes'!$A$5:$A$8,0)=4,$D657/INDEX('Equipo'!$B$5:$B$29,MATCH($B657,'Equipo'!$A$5:$A$29,0))+$E657,0)),"")</f>
        <v/>
      </c>
      <c r="I657" s="26">
        <f>IF($B657='Perfil'!$B$3,COUNTIF($B$4:$B657,'Perfil'!$B$3),"")</f>
        <v/>
      </c>
    </row>
    <row r="658">
      <c r="A658" s="22" t="n"/>
      <c r="B658" s="23" t="n"/>
      <c r="C658" s="23" t="n"/>
      <c r="D658" s="24" t="n"/>
      <c r="E658" s="24" t="n"/>
      <c r="F658" s="23" t="n"/>
      <c r="G658" s="19">
        <f>IFERROR(IF(OR($B658="",$C658=""),"",IF(MATCH($C658,'Ajustes'!$A$5:$A$8,0)&lt;=2,$D658*INDEX('Ajustes'!$C$5:$C$6,MATCH($C658,'Ajustes'!$A$5:$A$8,0)),IF(MATCH($C658,'Ajustes'!$A$5:$A$8,0)=3,-($D658+$E658*INDEX('Equipo'!$B$5:$B$29,MATCH($B658,'Equipo'!$A$5:$A$29,0))),0))),"")</f>
        <v/>
      </c>
      <c r="H658" s="25">
        <f>IFERROR(IF(OR($B658="",$C658=""),"",IF(MATCH($C658,'Ajustes'!$A$5:$A$8,0)=4,$D658/INDEX('Equipo'!$B$5:$B$29,MATCH($B658,'Equipo'!$A$5:$A$29,0))+$E658,0)),"")</f>
        <v/>
      </c>
      <c r="I658" s="26">
        <f>IF($B658='Perfil'!$B$3,COUNTIF($B$4:$B658,'Perfil'!$B$3),"")</f>
        <v/>
      </c>
    </row>
    <row r="659">
      <c r="A659" s="22" t="n"/>
      <c r="B659" s="23" t="n"/>
      <c r="C659" s="23" t="n"/>
      <c r="D659" s="24" t="n"/>
      <c r="E659" s="24" t="n"/>
      <c r="F659" s="23" t="n"/>
      <c r="G659" s="19">
        <f>IFERROR(IF(OR($B659="",$C659=""),"",IF(MATCH($C659,'Ajustes'!$A$5:$A$8,0)&lt;=2,$D659*INDEX('Ajustes'!$C$5:$C$6,MATCH($C659,'Ajustes'!$A$5:$A$8,0)),IF(MATCH($C659,'Ajustes'!$A$5:$A$8,0)=3,-($D659+$E659*INDEX('Equipo'!$B$5:$B$29,MATCH($B659,'Equipo'!$A$5:$A$29,0))),0))),"")</f>
        <v/>
      </c>
      <c r="H659" s="25">
        <f>IFERROR(IF(OR($B659="",$C659=""),"",IF(MATCH($C659,'Ajustes'!$A$5:$A$8,0)=4,$D659/INDEX('Equipo'!$B$5:$B$29,MATCH($B659,'Equipo'!$A$5:$A$29,0))+$E659,0)),"")</f>
        <v/>
      </c>
      <c r="I659" s="26">
        <f>IF($B659='Perfil'!$B$3,COUNTIF($B$4:$B659,'Perfil'!$B$3),"")</f>
        <v/>
      </c>
    </row>
    <row r="660">
      <c r="A660" s="22" t="n"/>
      <c r="B660" s="23" t="n"/>
      <c r="C660" s="23" t="n"/>
      <c r="D660" s="24" t="n"/>
      <c r="E660" s="24" t="n"/>
      <c r="F660" s="23" t="n"/>
      <c r="G660" s="19">
        <f>IFERROR(IF(OR($B660="",$C660=""),"",IF(MATCH($C660,'Ajustes'!$A$5:$A$8,0)&lt;=2,$D660*INDEX('Ajustes'!$C$5:$C$6,MATCH($C660,'Ajustes'!$A$5:$A$8,0)),IF(MATCH($C660,'Ajustes'!$A$5:$A$8,0)=3,-($D660+$E660*INDEX('Equipo'!$B$5:$B$29,MATCH($B660,'Equipo'!$A$5:$A$29,0))),0))),"")</f>
        <v/>
      </c>
      <c r="H660" s="25">
        <f>IFERROR(IF(OR($B660="",$C660=""),"",IF(MATCH($C660,'Ajustes'!$A$5:$A$8,0)=4,$D660/INDEX('Equipo'!$B$5:$B$29,MATCH($B660,'Equipo'!$A$5:$A$29,0))+$E660,0)),"")</f>
        <v/>
      </c>
      <c r="I660" s="26">
        <f>IF($B660='Perfil'!$B$3,COUNTIF($B$4:$B660,'Perfil'!$B$3),"")</f>
        <v/>
      </c>
    </row>
    <row r="661">
      <c r="A661" s="22" t="n"/>
      <c r="B661" s="23" t="n"/>
      <c r="C661" s="23" t="n"/>
      <c r="D661" s="24" t="n"/>
      <c r="E661" s="24" t="n"/>
      <c r="F661" s="23" t="n"/>
      <c r="G661" s="19">
        <f>IFERROR(IF(OR($B661="",$C661=""),"",IF(MATCH($C661,'Ajustes'!$A$5:$A$8,0)&lt;=2,$D661*INDEX('Ajustes'!$C$5:$C$6,MATCH($C661,'Ajustes'!$A$5:$A$8,0)),IF(MATCH($C661,'Ajustes'!$A$5:$A$8,0)=3,-($D661+$E661*INDEX('Equipo'!$B$5:$B$29,MATCH($B661,'Equipo'!$A$5:$A$29,0))),0))),"")</f>
        <v/>
      </c>
      <c r="H661" s="25">
        <f>IFERROR(IF(OR($B661="",$C661=""),"",IF(MATCH($C661,'Ajustes'!$A$5:$A$8,0)=4,$D661/INDEX('Equipo'!$B$5:$B$29,MATCH($B661,'Equipo'!$A$5:$A$29,0))+$E661,0)),"")</f>
        <v/>
      </c>
      <c r="I661" s="26">
        <f>IF($B661='Perfil'!$B$3,COUNTIF($B$4:$B661,'Perfil'!$B$3),"")</f>
        <v/>
      </c>
    </row>
    <row r="662">
      <c r="A662" s="22" t="n"/>
      <c r="B662" s="23" t="n"/>
      <c r="C662" s="23" t="n"/>
      <c r="D662" s="24" t="n"/>
      <c r="E662" s="24" t="n"/>
      <c r="F662" s="23" t="n"/>
      <c r="G662" s="19">
        <f>IFERROR(IF(OR($B662="",$C662=""),"",IF(MATCH($C662,'Ajustes'!$A$5:$A$8,0)&lt;=2,$D662*INDEX('Ajustes'!$C$5:$C$6,MATCH($C662,'Ajustes'!$A$5:$A$8,0)),IF(MATCH($C662,'Ajustes'!$A$5:$A$8,0)=3,-($D662+$E662*INDEX('Equipo'!$B$5:$B$29,MATCH($B662,'Equipo'!$A$5:$A$29,0))),0))),"")</f>
        <v/>
      </c>
      <c r="H662" s="25">
        <f>IFERROR(IF(OR($B662="",$C662=""),"",IF(MATCH($C662,'Ajustes'!$A$5:$A$8,0)=4,$D662/INDEX('Equipo'!$B$5:$B$29,MATCH($B662,'Equipo'!$A$5:$A$29,0))+$E662,0)),"")</f>
        <v/>
      </c>
      <c r="I662" s="26">
        <f>IF($B662='Perfil'!$B$3,COUNTIF($B$4:$B662,'Perfil'!$B$3),"")</f>
        <v/>
      </c>
    </row>
    <row r="663">
      <c r="A663" s="22" t="n"/>
      <c r="B663" s="23" t="n"/>
      <c r="C663" s="23" t="n"/>
      <c r="D663" s="24" t="n"/>
      <c r="E663" s="24" t="n"/>
      <c r="F663" s="23" t="n"/>
      <c r="G663" s="19">
        <f>IFERROR(IF(OR($B663="",$C663=""),"",IF(MATCH($C663,'Ajustes'!$A$5:$A$8,0)&lt;=2,$D663*INDEX('Ajustes'!$C$5:$C$6,MATCH($C663,'Ajustes'!$A$5:$A$8,0)),IF(MATCH($C663,'Ajustes'!$A$5:$A$8,0)=3,-($D663+$E663*INDEX('Equipo'!$B$5:$B$29,MATCH($B663,'Equipo'!$A$5:$A$29,0))),0))),"")</f>
        <v/>
      </c>
      <c r="H663" s="25">
        <f>IFERROR(IF(OR($B663="",$C663=""),"",IF(MATCH($C663,'Ajustes'!$A$5:$A$8,0)=4,$D663/INDEX('Equipo'!$B$5:$B$29,MATCH($B663,'Equipo'!$A$5:$A$29,0))+$E663,0)),"")</f>
        <v/>
      </c>
      <c r="I663" s="26">
        <f>IF($B663='Perfil'!$B$3,COUNTIF($B$4:$B663,'Perfil'!$B$3),"")</f>
        <v/>
      </c>
    </row>
    <row r="664">
      <c r="A664" s="22" t="n"/>
      <c r="B664" s="23" t="n"/>
      <c r="C664" s="23" t="n"/>
      <c r="D664" s="24" t="n"/>
      <c r="E664" s="24" t="n"/>
      <c r="F664" s="23" t="n"/>
      <c r="G664" s="19">
        <f>IFERROR(IF(OR($B664="",$C664=""),"",IF(MATCH($C664,'Ajustes'!$A$5:$A$8,0)&lt;=2,$D664*INDEX('Ajustes'!$C$5:$C$6,MATCH($C664,'Ajustes'!$A$5:$A$8,0)),IF(MATCH($C664,'Ajustes'!$A$5:$A$8,0)=3,-($D664+$E664*INDEX('Equipo'!$B$5:$B$29,MATCH($B664,'Equipo'!$A$5:$A$29,0))),0))),"")</f>
        <v/>
      </c>
      <c r="H664" s="25">
        <f>IFERROR(IF(OR($B664="",$C664=""),"",IF(MATCH($C664,'Ajustes'!$A$5:$A$8,0)=4,$D664/INDEX('Equipo'!$B$5:$B$29,MATCH($B664,'Equipo'!$A$5:$A$29,0))+$E664,0)),"")</f>
        <v/>
      </c>
      <c r="I664" s="26">
        <f>IF($B664='Perfil'!$B$3,COUNTIF($B$4:$B664,'Perfil'!$B$3),"")</f>
        <v/>
      </c>
    </row>
    <row r="665">
      <c r="A665" s="22" t="n"/>
      <c r="B665" s="23" t="n"/>
      <c r="C665" s="23" t="n"/>
      <c r="D665" s="24" t="n"/>
      <c r="E665" s="24" t="n"/>
      <c r="F665" s="23" t="n"/>
      <c r="G665" s="19">
        <f>IFERROR(IF(OR($B665="",$C665=""),"",IF(MATCH($C665,'Ajustes'!$A$5:$A$8,0)&lt;=2,$D665*INDEX('Ajustes'!$C$5:$C$6,MATCH($C665,'Ajustes'!$A$5:$A$8,0)),IF(MATCH($C665,'Ajustes'!$A$5:$A$8,0)=3,-($D665+$E665*INDEX('Equipo'!$B$5:$B$29,MATCH($B665,'Equipo'!$A$5:$A$29,0))),0))),"")</f>
        <v/>
      </c>
      <c r="H665" s="25">
        <f>IFERROR(IF(OR($B665="",$C665=""),"",IF(MATCH($C665,'Ajustes'!$A$5:$A$8,0)=4,$D665/INDEX('Equipo'!$B$5:$B$29,MATCH($B665,'Equipo'!$A$5:$A$29,0))+$E665,0)),"")</f>
        <v/>
      </c>
      <c r="I665" s="26">
        <f>IF($B665='Perfil'!$B$3,COUNTIF($B$4:$B665,'Perfil'!$B$3),"")</f>
        <v/>
      </c>
    </row>
    <row r="666">
      <c r="A666" s="22" t="n"/>
      <c r="B666" s="23" t="n"/>
      <c r="C666" s="23" t="n"/>
      <c r="D666" s="24" t="n"/>
      <c r="E666" s="24" t="n"/>
      <c r="F666" s="23" t="n"/>
      <c r="G666" s="19">
        <f>IFERROR(IF(OR($B666="",$C666=""),"",IF(MATCH($C666,'Ajustes'!$A$5:$A$8,0)&lt;=2,$D666*INDEX('Ajustes'!$C$5:$C$6,MATCH($C666,'Ajustes'!$A$5:$A$8,0)),IF(MATCH($C666,'Ajustes'!$A$5:$A$8,0)=3,-($D666+$E666*INDEX('Equipo'!$B$5:$B$29,MATCH($B666,'Equipo'!$A$5:$A$29,0))),0))),"")</f>
        <v/>
      </c>
      <c r="H666" s="25">
        <f>IFERROR(IF(OR($B666="",$C666=""),"",IF(MATCH($C666,'Ajustes'!$A$5:$A$8,0)=4,$D666/INDEX('Equipo'!$B$5:$B$29,MATCH($B666,'Equipo'!$A$5:$A$29,0))+$E666,0)),"")</f>
        <v/>
      </c>
      <c r="I666" s="26">
        <f>IF($B666='Perfil'!$B$3,COUNTIF($B$4:$B666,'Perfil'!$B$3),"")</f>
        <v/>
      </c>
    </row>
    <row r="667">
      <c r="A667" s="22" t="n"/>
      <c r="B667" s="23" t="n"/>
      <c r="C667" s="23" t="n"/>
      <c r="D667" s="24" t="n"/>
      <c r="E667" s="24" t="n"/>
      <c r="F667" s="23" t="n"/>
      <c r="G667" s="19">
        <f>IFERROR(IF(OR($B667="",$C667=""),"",IF(MATCH($C667,'Ajustes'!$A$5:$A$8,0)&lt;=2,$D667*INDEX('Ajustes'!$C$5:$C$6,MATCH($C667,'Ajustes'!$A$5:$A$8,0)),IF(MATCH($C667,'Ajustes'!$A$5:$A$8,0)=3,-($D667+$E667*INDEX('Equipo'!$B$5:$B$29,MATCH($B667,'Equipo'!$A$5:$A$29,0))),0))),"")</f>
        <v/>
      </c>
      <c r="H667" s="25">
        <f>IFERROR(IF(OR($B667="",$C667=""),"",IF(MATCH($C667,'Ajustes'!$A$5:$A$8,0)=4,$D667/INDEX('Equipo'!$B$5:$B$29,MATCH($B667,'Equipo'!$A$5:$A$29,0))+$E667,0)),"")</f>
        <v/>
      </c>
      <c r="I667" s="26">
        <f>IF($B667='Perfil'!$B$3,COUNTIF($B$4:$B667,'Perfil'!$B$3),"")</f>
        <v/>
      </c>
    </row>
    <row r="668">
      <c r="A668" s="22" t="n"/>
      <c r="B668" s="23" t="n"/>
      <c r="C668" s="23" t="n"/>
      <c r="D668" s="24" t="n"/>
      <c r="E668" s="24" t="n"/>
      <c r="F668" s="23" t="n"/>
      <c r="G668" s="19">
        <f>IFERROR(IF(OR($B668="",$C668=""),"",IF(MATCH($C668,'Ajustes'!$A$5:$A$8,0)&lt;=2,$D668*INDEX('Ajustes'!$C$5:$C$6,MATCH($C668,'Ajustes'!$A$5:$A$8,0)),IF(MATCH($C668,'Ajustes'!$A$5:$A$8,0)=3,-($D668+$E668*INDEX('Equipo'!$B$5:$B$29,MATCH($B668,'Equipo'!$A$5:$A$29,0))),0))),"")</f>
        <v/>
      </c>
      <c r="H668" s="25">
        <f>IFERROR(IF(OR($B668="",$C668=""),"",IF(MATCH($C668,'Ajustes'!$A$5:$A$8,0)=4,$D668/INDEX('Equipo'!$B$5:$B$29,MATCH($B668,'Equipo'!$A$5:$A$29,0))+$E668,0)),"")</f>
        <v/>
      </c>
      <c r="I668" s="26">
        <f>IF($B668='Perfil'!$B$3,COUNTIF($B$4:$B668,'Perfil'!$B$3),"")</f>
        <v/>
      </c>
    </row>
    <row r="669">
      <c r="A669" s="22" t="n"/>
      <c r="B669" s="23" t="n"/>
      <c r="C669" s="23" t="n"/>
      <c r="D669" s="24" t="n"/>
      <c r="E669" s="24" t="n"/>
      <c r="F669" s="23" t="n"/>
      <c r="G669" s="19">
        <f>IFERROR(IF(OR($B669="",$C669=""),"",IF(MATCH($C669,'Ajustes'!$A$5:$A$8,0)&lt;=2,$D669*INDEX('Ajustes'!$C$5:$C$6,MATCH($C669,'Ajustes'!$A$5:$A$8,0)),IF(MATCH($C669,'Ajustes'!$A$5:$A$8,0)=3,-($D669+$E669*INDEX('Equipo'!$B$5:$B$29,MATCH($B669,'Equipo'!$A$5:$A$29,0))),0))),"")</f>
        <v/>
      </c>
      <c r="H669" s="25">
        <f>IFERROR(IF(OR($B669="",$C669=""),"",IF(MATCH($C669,'Ajustes'!$A$5:$A$8,0)=4,$D669/INDEX('Equipo'!$B$5:$B$29,MATCH($B669,'Equipo'!$A$5:$A$29,0))+$E669,0)),"")</f>
        <v/>
      </c>
      <c r="I669" s="26">
        <f>IF($B669='Perfil'!$B$3,COUNTIF($B$4:$B669,'Perfil'!$B$3),"")</f>
        <v/>
      </c>
    </row>
    <row r="670">
      <c r="A670" s="22" t="n"/>
      <c r="B670" s="23" t="n"/>
      <c r="C670" s="23" t="n"/>
      <c r="D670" s="24" t="n"/>
      <c r="E670" s="24" t="n"/>
      <c r="F670" s="23" t="n"/>
      <c r="G670" s="19">
        <f>IFERROR(IF(OR($B670="",$C670=""),"",IF(MATCH($C670,'Ajustes'!$A$5:$A$8,0)&lt;=2,$D670*INDEX('Ajustes'!$C$5:$C$6,MATCH($C670,'Ajustes'!$A$5:$A$8,0)),IF(MATCH($C670,'Ajustes'!$A$5:$A$8,0)=3,-($D670+$E670*INDEX('Equipo'!$B$5:$B$29,MATCH($B670,'Equipo'!$A$5:$A$29,0))),0))),"")</f>
        <v/>
      </c>
      <c r="H670" s="25">
        <f>IFERROR(IF(OR($B670="",$C670=""),"",IF(MATCH($C670,'Ajustes'!$A$5:$A$8,0)=4,$D670/INDEX('Equipo'!$B$5:$B$29,MATCH($B670,'Equipo'!$A$5:$A$29,0))+$E670,0)),"")</f>
        <v/>
      </c>
      <c r="I670" s="26">
        <f>IF($B670='Perfil'!$B$3,COUNTIF($B$4:$B670,'Perfil'!$B$3),"")</f>
        <v/>
      </c>
    </row>
    <row r="671">
      <c r="A671" s="22" t="n"/>
      <c r="B671" s="23" t="n"/>
      <c r="C671" s="23" t="n"/>
      <c r="D671" s="24" t="n"/>
      <c r="E671" s="24" t="n"/>
      <c r="F671" s="23" t="n"/>
      <c r="G671" s="19">
        <f>IFERROR(IF(OR($B671="",$C671=""),"",IF(MATCH($C671,'Ajustes'!$A$5:$A$8,0)&lt;=2,$D671*INDEX('Ajustes'!$C$5:$C$6,MATCH($C671,'Ajustes'!$A$5:$A$8,0)),IF(MATCH($C671,'Ajustes'!$A$5:$A$8,0)=3,-($D671+$E671*INDEX('Equipo'!$B$5:$B$29,MATCH($B671,'Equipo'!$A$5:$A$29,0))),0))),"")</f>
        <v/>
      </c>
      <c r="H671" s="25">
        <f>IFERROR(IF(OR($B671="",$C671=""),"",IF(MATCH($C671,'Ajustes'!$A$5:$A$8,0)=4,$D671/INDEX('Equipo'!$B$5:$B$29,MATCH($B671,'Equipo'!$A$5:$A$29,0))+$E671,0)),"")</f>
        <v/>
      </c>
      <c r="I671" s="26">
        <f>IF($B671='Perfil'!$B$3,COUNTIF($B$4:$B671,'Perfil'!$B$3),"")</f>
        <v/>
      </c>
    </row>
    <row r="672">
      <c r="A672" s="22" t="n"/>
      <c r="B672" s="23" t="n"/>
      <c r="C672" s="23" t="n"/>
      <c r="D672" s="24" t="n"/>
      <c r="E672" s="24" t="n"/>
      <c r="F672" s="23" t="n"/>
      <c r="G672" s="19">
        <f>IFERROR(IF(OR($B672="",$C672=""),"",IF(MATCH($C672,'Ajustes'!$A$5:$A$8,0)&lt;=2,$D672*INDEX('Ajustes'!$C$5:$C$6,MATCH($C672,'Ajustes'!$A$5:$A$8,0)),IF(MATCH($C672,'Ajustes'!$A$5:$A$8,0)=3,-($D672+$E672*INDEX('Equipo'!$B$5:$B$29,MATCH($B672,'Equipo'!$A$5:$A$29,0))),0))),"")</f>
        <v/>
      </c>
      <c r="H672" s="25">
        <f>IFERROR(IF(OR($B672="",$C672=""),"",IF(MATCH($C672,'Ajustes'!$A$5:$A$8,0)=4,$D672/INDEX('Equipo'!$B$5:$B$29,MATCH($B672,'Equipo'!$A$5:$A$29,0))+$E672,0)),"")</f>
        <v/>
      </c>
      <c r="I672" s="26">
        <f>IF($B672='Perfil'!$B$3,COUNTIF($B$4:$B672,'Perfil'!$B$3),"")</f>
        <v/>
      </c>
    </row>
    <row r="673">
      <c r="A673" s="22" t="n"/>
      <c r="B673" s="23" t="n"/>
      <c r="C673" s="23" t="n"/>
      <c r="D673" s="24" t="n"/>
      <c r="E673" s="24" t="n"/>
      <c r="F673" s="23" t="n"/>
      <c r="G673" s="19">
        <f>IFERROR(IF(OR($B673="",$C673=""),"",IF(MATCH($C673,'Ajustes'!$A$5:$A$8,0)&lt;=2,$D673*INDEX('Ajustes'!$C$5:$C$6,MATCH($C673,'Ajustes'!$A$5:$A$8,0)),IF(MATCH($C673,'Ajustes'!$A$5:$A$8,0)=3,-($D673+$E673*INDEX('Equipo'!$B$5:$B$29,MATCH($B673,'Equipo'!$A$5:$A$29,0))),0))),"")</f>
        <v/>
      </c>
      <c r="H673" s="25">
        <f>IFERROR(IF(OR($B673="",$C673=""),"",IF(MATCH($C673,'Ajustes'!$A$5:$A$8,0)=4,$D673/INDEX('Equipo'!$B$5:$B$29,MATCH($B673,'Equipo'!$A$5:$A$29,0))+$E673,0)),"")</f>
        <v/>
      </c>
      <c r="I673" s="26">
        <f>IF($B673='Perfil'!$B$3,COUNTIF($B$4:$B673,'Perfil'!$B$3),"")</f>
        <v/>
      </c>
    </row>
    <row r="674">
      <c r="A674" s="22" t="n"/>
      <c r="B674" s="23" t="n"/>
      <c r="C674" s="23" t="n"/>
      <c r="D674" s="24" t="n"/>
      <c r="E674" s="24" t="n"/>
      <c r="F674" s="23" t="n"/>
      <c r="G674" s="19">
        <f>IFERROR(IF(OR($B674="",$C674=""),"",IF(MATCH($C674,'Ajustes'!$A$5:$A$8,0)&lt;=2,$D674*INDEX('Ajustes'!$C$5:$C$6,MATCH($C674,'Ajustes'!$A$5:$A$8,0)),IF(MATCH($C674,'Ajustes'!$A$5:$A$8,0)=3,-($D674+$E674*INDEX('Equipo'!$B$5:$B$29,MATCH($B674,'Equipo'!$A$5:$A$29,0))),0))),"")</f>
        <v/>
      </c>
      <c r="H674" s="25">
        <f>IFERROR(IF(OR($B674="",$C674=""),"",IF(MATCH($C674,'Ajustes'!$A$5:$A$8,0)=4,$D674/INDEX('Equipo'!$B$5:$B$29,MATCH($B674,'Equipo'!$A$5:$A$29,0))+$E674,0)),"")</f>
        <v/>
      </c>
      <c r="I674" s="26">
        <f>IF($B674='Perfil'!$B$3,COUNTIF($B$4:$B674,'Perfil'!$B$3),"")</f>
        <v/>
      </c>
    </row>
    <row r="675">
      <c r="A675" s="22" t="n"/>
      <c r="B675" s="23" t="n"/>
      <c r="C675" s="23" t="n"/>
      <c r="D675" s="24" t="n"/>
      <c r="E675" s="24" t="n"/>
      <c r="F675" s="23" t="n"/>
      <c r="G675" s="19">
        <f>IFERROR(IF(OR($B675="",$C675=""),"",IF(MATCH($C675,'Ajustes'!$A$5:$A$8,0)&lt;=2,$D675*INDEX('Ajustes'!$C$5:$C$6,MATCH($C675,'Ajustes'!$A$5:$A$8,0)),IF(MATCH($C675,'Ajustes'!$A$5:$A$8,0)=3,-($D675+$E675*INDEX('Equipo'!$B$5:$B$29,MATCH($B675,'Equipo'!$A$5:$A$29,0))),0))),"")</f>
        <v/>
      </c>
      <c r="H675" s="25">
        <f>IFERROR(IF(OR($B675="",$C675=""),"",IF(MATCH($C675,'Ajustes'!$A$5:$A$8,0)=4,$D675/INDEX('Equipo'!$B$5:$B$29,MATCH($B675,'Equipo'!$A$5:$A$29,0))+$E675,0)),"")</f>
        <v/>
      </c>
      <c r="I675" s="26">
        <f>IF($B675='Perfil'!$B$3,COUNTIF($B$4:$B675,'Perfil'!$B$3),"")</f>
        <v/>
      </c>
    </row>
    <row r="676">
      <c r="A676" s="22" t="n"/>
      <c r="B676" s="23" t="n"/>
      <c r="C676" s="23" t="n"/>
      <c r="D676" s="24" t="n"/>
      <c r="E676" s="24" t="n"/>
      <c r="F676" s="23" t="n"/>
      <c r="G676" s="19">
        <f>IFERROR(IF(OR($B676="",$C676=""),"",IF(MATCH($C676,'Ajustes'!$A$5:$A$8,0)&lt;=2,$D676*INDEX('Ajustes'!$C$5:$C$6,MATCH($C676,'Ajustes'!$A$5:$A$8,0)),IF(MATCH($C676,'Ajustes'!$A$5:$A$8,0)=3,-($D676+$E676*INDEX('Equipo'!$B$5:$B$29,MATCH($B676,'Equipo'!$A$5:$A$29,0))),0))),"")</f>
        <v/>
      </c>
      <c r="H676" s="25">
        <f>IFERROR(IF(OR($B676="",$C676=""),"",IF(MATCH($C676,'Ajustes'!$A$5:$A$8,0)=4,$D676/INDEX('Equipo'!$B$5:$B$29,MATCH($B676,'Equipo'!$A$5:$A$29,0))+$E676,0)),"")</f>
        <v/>
      </c>
      <c r="I676" s="26">
        <f>IF($B676='Perfil'!$B$3,COUNTIF($B$4:$B676,'Perfil'!$B$3),"")</f>
        <v/>
      </c>
    </row>
    <row r="677">
      <c r="A677" s="22" t="n"/>
      <c r="B677" s="23" t="n"/>
      <c r="C677" s="23" t="n"/>
      <c r="D677" s="24" t="n"/>
      <c r="E677" s="24" t="n"/>
      <c r="F677" s="23" t="n"/>
      <c r="G677" s="19">
        <f>IFERROR(IF(OR($B677="",$C677=""),"",IF(MATCH($C677,'Ajustes'!$A$5:$A$8,0)&lt;=2,$D677*INDEX('Ajustes'!$C$5:$C$6,MATCH($C677,'Ajustes'!$A$5:$A$8,0)),IF(MATCH($C677,'Ajustes'!$A$5:$A$8,0)=3,-($D677+$E677*INDEX('Equipo'!$B$5:$B$29,MATCH($B677,'Equipo'!$A$5:$A$29,0))),0))),"")</f>
        <v/>
      </c>
      <c r="H677" s="25">
        <f>IFERROR(IF(OR($B677="",$C677=""),"",IF(MATCH($C677,'Ajustes'!$A$5:$A$8,0)=4,$D677/INDEX('Equipo'!$B$5:$B$29,MATCH($B677,'Equipo'!$A$5:$A$29,0))+$E677,0)),"")</f>
        <v/>
      </c>
      <c r="I677" s="26">
        <f>IF($B677='Perfil'!$B$3,COUNTIF($B$4:$B677,'Perfil'!$B$3),"")</f>
        <v/>
      </c>
    </row>
    <row r="678">
      <c r="A678" s="22" t="n"/>
      <c r="B678" s="23" t="n"/>
      <c r="C678" s="23" t="n"/>
      <c r="D678" s="24" t="n"/>
      <c r="E678" s="24" t="n"/>
      <c r="F678" s="23" t="n"/>
      <c r="G678" s="19">
        <f>IFERROR(IF(OR($B678="",$C678=""),"",IF(MATCH($C678,'Ajustes'!$A$5:$A$8,0)&lt;=2,$D678*INDEX('Ajustes'!$C$5:$C$6,MATCH($C678,'Ajustes'!$A$5:$A$8,0)),IF(MATCH($C678,'Ajustes'!$A$5:$A$8,0)=3,-($D678+$E678*INDEX('Equipo'!$B$5:$B$29,MATCH($B678,'Equipo'!$A$5:$A$29,0))),0))),"")</f>
        <v/>
      </c>
      <c r="H678" s="25">
        <f>IFERROR(IF(OR($B678="",$C678=""),"",IF(MATCH($C678,'Ajustes'!$A$5:$A$8,0)=4,$D678/INDEX('Equipo'!$B$5:$B$29,MATCH($B678,'Equipo'!$A$5:$A$29,0))+$E678,0)),"")</f>
        <v/>
      </c>
      <c r="I678" s="26">
        <f>IF($B678='Perfil'!$B$3,COUNTIF($B$4:$B678,'Perfil'!$B$3),"")</f>
        <v/>
      </c>
    </row>
    <row r="679">
      <c r="A679" s="22" t="n"/>
      <c r="B679" s="23" t="n"/>
      <c r="C679" s="23" t="n"/>
      <c r="D679" s="24" t="n"/>
      <c r="E679" s="24" t="n"/>
      <c r="F679" s="23" t="n"/>
      <c r="G679" s="19">
        <f>IFERROR(IF(OR($B679="",$C679=""),"",IF(MATCH($C679,'Ajustes'!$A$5:$A$8,0)&lt;=2,$D679*INDEX('Ajustes'!$C$5:$C$6,MATCH($C679,'Ajustes'!$A$5:$A$8,0)),IF(MATCH($C679,'Ajustes'!$A$5:$A$8,0)=3,-($D679+$E679*INDEX('Equipo'!$B$5:$B$29,MATCH($B679,'Equipo'!$A$5:$A$29,0))),0))),"")</f>
        <v/>
      </c>
      <c r="H679" s="25">
        <f>IFERROR(IF(OR($B679="",$C679=""),"",IF(MATCH($C679,'Ajustes'!$A$5:$A$8,0)=4,$D679/INDEX('Equipo'!$B$5:$B$29,MATCH($B679,'Equipo'!$A$5:$A$29,0))+$E679,0)),"")</f>
        <v/>
      </c>
      <c r="I679" s="26">
        <f>IF($B679='Perfil'!$B$3,COUNTIF($B$4:$B679,'Perfil'!$B$3),"")</f>
        <v/>
      </c>
    </row>
    <row r="680">
      <c r="A680" s="22" t="n"/>
      <c r="B680" s="23" t="n"/>
      <c r="C680" s="23" t="n"/>
      <c r="D680" s="24" t="n"/>
      <c r="E680" s="24" t="n"/>
      <c r="F680" s="23" t="n"/>
      <c r="G680" s="19">
        <f>IFERROR(IF(OR($B680="",$C680=""),"",IF(MATCH($C680,'Ajustes'!$A$5:$A$8,0)&lt;=2,$D680*INDEX('Ajustes'!$C$5:$C$6,MATCH($C680,'Ajustes'!$A$5:$A$8,0)),IF(MATCH($C680,'Ajustes'!$A$5:$A$8,0)=3,-($D680+$E680*INDEX('Equipo'!$B$5:$B$29,MATCH($B680,'Equipo'!$A$5:$A$29,0))),0))),"")</f>
        <v/>
      </c>
      <c r="H680" s="25">
        <f>IFERROR(IF(OR($B680="",$C680=""),"",IF(MATCH($C680,'Ajustes'!$A$5:$A$8,0)=4,$D680/INDEX('Equipo'!$B$5:$B$29,MATCH($B680,'Equipo'!$A$5:$A$29,0))+$E680,0)),"")</f>
        <v/>
      </c>
      <c r="I680" s="26">
        <f>IF($B680='Perfil'!$B$3,COUNTIF($B$4:$B680,'Perfil'!$B$3),"")</f>
        <v/>
      </c>
    </row>
    <row r="681">
      <c r="A681" s="22" t="n"/>
      <c r="B681" s="23" t="n"/>
      <c r="C681" s="23" t="n"/>
      <c r="D681" s="24" t="n"/>
      <c r="E681" s="24" t="n"/>
      <c r="F681" s="23" t="n"/>
      <c r="G681" s="19">
        <f>IFERROR(IF(OR($B681="",$C681=""),"",IF(MATCH($C681,'Ajustes'!$A$5:$A$8,0)&lt;=2,$D681*INDEX('Ajustes'!$C$5:$C$6,MATCH($C681,'Ajustes'!$A$5:$A$8,0)),IF(MATCH($C681,'Ajustes'!$A$5:$A$8,0)=3,-($D681+$E681*INDEX('Equipo'!$B$5:$B$29,MATCH($B681,'Equipo'!$A$5:$A$29,0))),0))),"")</f>
        <v/>
      </c>
      <c r="H681" s="25">
        <f>IFERROR(IF(OR($B681="",$C681=""),"",IF(MATCH($C681,'Ajustes'!$A$5:$A$8,0)=4,$D681/INDEX('Equipo'!$B$5:$B$29,MATCH($B681,'Equipo'!$A$5:$A$29,0))+$E681,0)),"")</f>
        <v/>
      </c>
      <c r="I681" s="26">
        <f>IF($B681='Perfil'!$B$3,COUNTIF($B$4:$B681,'Perfil'!$B$3),"")</f>
        <v/>
      </c>
    </row>
    <row r="682">
      <c r="A682" s="22" t="n"/>
      <c r="B682" s="23" t="n"/>
      <c r="C682" s="23" t="n"/>
      <c r="D682" s="24" t="n"/>
      <c r="E682" s="24" t="n"/>
      <c r="F682" s="23" t="n"/>
      <c r="G682" s="19">
        <f>IFERROR(IF(OR($B682="",$C682=""),"",IF(MATCH($C682,'Ajustes'!$A$5:$A$8,0)&lt;=2,$D682*INDEX('Ajustes'!$C$5:$C$6,MATCH($C682,'Ajustes'!$A$5:$A$8,0)),IF(MATCH($C682,'Ajustes'!$A$5:$A$8,0)=3,-($D682+$E682*INDEX('Equipo'!$B$5:$B$29,MATCH($B682,'Equipo'!$A$5:$A$29,0))),0))),"")</f>
        <v/>
      </c>
      <c r="H682" s="25">
        <f>IFERROR(IF(OR($B682="",$C682=""),"",IF(MATCH($C682,'Ajustes'!$A$5:$A$8,0)=4,$D682/INDEX('Equipo'!$B$5:$B$29,MATCH($B682,'Equipo'!$A$5:$A$29,0))+$E682,0)),"")</f>
        <v/>
      </c>
      <c r="I682" s="26">
        <f>IF($B682='Perfil'!$B$3,COUNTIF($B$4:$B682,'Perfil'!$B$3),"")</f>
        <v/>
      </c>
    </row>
    <row r="683">
      <c r="A683" s="22" t="n"/>
      <c r="B683" s="23" t="n"/>
      <c r="C683" s="23" t="n"/>
      <c r="D683" s="24" t="n"/>
      <c r="E683" s="24" t="n"/>
      <c r="F683" s="23" t="n"/>
      <c r="G683" s="19">
        <f>IFERROR(IF(OR($B683="",$C683=""),"",IF(MATCH($C683,'Ajustes'!$A$5:$A$8,0)&lt;=2,$D683*INDEX('Ajustes'!$C$5:$C$6,MATCH($C683,'Ajustes'!$A$5:$A$8,0)),IF(MATCH($C683,'Ajustes'!$A$5:$A$8,0)=3,-($D683+$E683*INDEX('Equipo'!$B$5:$B$29,MATCH($B683,'Equipo'!$A$5:$A$29,0))),0))),"")</f>
        <v/>
      </c>
      <c r="H683" s="25">
        <f>IFERROR(IF(OR($B683="",$C683=""),"",IF(MATCH($C683,'Ajustes'!$A$5:$A$8,0)=4,$D683/INDEX('Equipo'!$B$5:$B$29,MATCH($B683,'Equipo'!$A$5:$A$29,0))+$E683,0)),"")</f>
        <v/>
      </c>
      <c r="I683" s="26">
        <f>IF($B683='Perfil'!$B$3,COUNTIF($B$4:$B683,'Perfil'!$B$3),"")</f>
        <v/>
      </c>
    </row>
    <row r="684">
      <c r="A684" s="22" t="n"/>
      <c r="B684" s="23" t="n"/>
      <c r="C684" s="23" t="n"/>
      <c r="D684" s="24" t="n"/>
      <c r="E684" s="24" t="n"/>
      <c r="F684" s="23" t="n"/>
      <c r="G684" s="19">
        <f>IFERROR(IF(OR($B684="",$C684=""),"",IF(MATCH($C684,'Ajustes'!$A$5:$A$8,0)&lt;=2,$D684*INDEX('Ajustes'!$C$5:$C$6,MATCH($C684,'Ajustes'!$A$5:$A$8,0)),IF(MATCH($C684,'Ajustes'!$A$5:$A$8,0)=3,-($D684+$E684*INDEX('Equipo'!$B$5:$B$29,MATCH($B684,'Equipo'!$A$5:$A$29,0))),0))),"")</f>
        <v/>
      </c>
      <c r="H684" s="25">
        <f>IFERROR(IF(OR($B684="",$C684=""),"",IF(MATCH($C684,'Ajustes'!$A$5:$A$8,0)=4,$D684/INDEX('Equipo'!$B$5:$B$29,MATCH($B684,'Equipo'!$A$5:$A$29,0))+$E684,0)),"")</f>
        <v/>
      </c>
      <c r="I684" s="26">
        <f>IF($B684='Perfil'!$B$3,COUNTIF($B$4:$B684,'Perfil'!$B$3),"")</f>
        <v/>
      </c>
    </row>
    <row r="685">
      <c r="A685" s="22" t="n"/>
      <c r="B685" s="23" t="n"/>
      <c r="C685" s="23" t="n"/>
      <c r="D685" s="24" t="n"/>
      <c r="E685" s="24" t="n"/>
      <c r="F685" s="23" t="n"/>
      <c r="G685" s="19">
        <f>IFERROR(IF(OR($B685="",$C685=""),"",IF(MATCH($C685,'Ajustes'!$A$5:$A$8,0)&lt;=2,$D685*INDEX('Ajustes'!$C$5:$C$6,MATCH($C685,'Ajustes'!$A$5:$A$8,0)),IF(MATCH($C685,'Ajustes'!$A$5:$A$8,0)=3,-($D685+$E685*INDEX('Equipo'!$B$5:$B$29,MATCH($B685,'Equipo'!$A$5:$A$29,0))),0))),"")</f>
        <v/>
      </c>
      <c r="H685" s="25">
        <f>IFERROR(IF(OR($B685="",$C685=""),"",IF(MATCH($C685,'Ajustes'!$A$5:$A$8,0)=4,$D685/INDEX('Equipo'!$B$5:$B$29,MATCH($B685,'Equipo'!$A$5:$A$29,0))+$E685,0)),"")</f>
        <v/>
      </c>
      <c r="I685" s="26">
        <f>IF($B685='Perfil'!$B$3,COUNTIF($B$4:$B685,'Perfil'!$B$3),"")</f>
        <v/>
      </c>
    </row>
    <row r="686">
      <c r="A686" s="22" t="n"/>
      <c r="B686" s="23" t="n"/>
      <c r="C686" s="23" t="n"/>
      <c r="D686" s="24" t="n"/>
      <c r="E686" s="24" t="n"/>
      <c r="F686" s="23" t="n"/>
      <c r="G686" s="19">
        <f>IFERROR(IF(OR($B686="",$C686=""),"",IF(MATCH($C686,'Ajustes'!$A$5:$A$8,0)&lt;=2,$D686*INDEX('Ajustes'!$C$5:$C$6,MATCH($C686,'Ajustes'!$A$5:$A$8,0)),IF(MATCH($C686,'Ajustes'!$A$5:$A$8,0)=3,-($D686+$E686*INDEX('Equipo'!$B$5:$B$29,MATCH($B686,'Equipo'!$A$5:$A$29,0))),0))),"")</f>
        <v/>
      </c>
      <c r="H686" s="25">
        <f>IFERROR(IF(OR($B686="",$C686=""),"",IF(MATCH($C686,'Ajustes'!$A$5:$A$8,0)=4,$D686/INDEX('Equipo'!$B$5:$B$29,MATCH($B686,'Equipo'!$A$5:$A$29,0))+$E686,0)),"")</f>
        <v/>
      </c>
      <c r="I686" s="26">
        <f>IF($B686='Perfil'!$B$3,COUNTIF($B$4:$B686,'Perfil'!$B$3),"")</f>
        <v/>
      </c>
    </row>
    <row r="687">
      <c r="A687" s="22" t="n"/>
      <c r="B687" s="23" t="n"/>
      <c r="C687" s="23" t="n"/>
      <c r="D687" s="24" t="n"/>
      <c r="E687" s="24" t="n"/>
      <c r="F687" s="23" t="n"/>
      <c r="G687" s="19">
        <f>IFERROR(IF(OR($B687="",$C687=""),"",IF(MATCH($C687,'Ajustes'!$A$5:$A$8,0)&lt;=2,$D687*INDEX('Ajustes'!$C$5:$C$6,MATCH($C687,'Ajustes'!$A$5:$A$8,0)),IF(MATCH($C687,'Ajustes'!$A$5:$A$8,0)=3,-($D687+$E687*INDEX('Equipo'!$B$5:$B$29,MATCH($B687,'Equipo'!$A$5:$A$29,0))),0))),"")</f>
        <v/>
      </c>
      <c r="H687" s="25">
        <f>IFERROR(IF(OR($B687="",$C687=""),"",IF(MATCH($C687,'Ajustes'!$A$5:$A$8,0)=4,$D687/INDEX('Equipo'!$B$5:$B$29,MATCH($B687,'Equipo'!$A$5:$A$29,0))+$E687,0)),"")</f>
        <v/>
      </c>
      <c r="I687" s="26">
        <f>IF($B687='Perfil'!$B$3,COUNTIF($B$4:$B687,'Perfil'!$B$3),"")</f>
        <v/>
      </c>
    </row>
    <row r="688">
      <c r="A688" s="22" t="n"/>
      <c r="B688" s="23" t="n"/>
      <c r="C688" s="23" t="n"/>
      <c r="D688" s="24" t="n"/>
      <c r="E688" s="24" t="n"/>
      <c r="F688" s="23" t="n"/>
      <c r="G688" s="19">
        <f>IFERROR(IF(OR($B688="",$C688=""),"",IF(MATCH($C688,'Ajustes'!$A$5:$A$8,0)&lt;=2,$D688*INDEX('Ajustes'!$C$5:$C$6,MATCH($C688,'Ajustes'!$A$5:$A$8,0)),IF(MATCH($C688,'Ajustes'!$A$5:$A$8,0)=3,-($D688+$E688*INDEX('Equipo'!$B$5:$B$29,MATCH($B688,'Equipo'!$A$5:$A$29,0))),0))),"")</f>
        <v/>
      </c>
      <c r="H688" s="25">
        <f>IFERROR(IF(OR($B688="",$C688=""),"",IF(MATCH($C688,'Ajustes'!$A$5:$A$8,0)=4,$D688/INDEX('Equipo'!$B$5:$B$29,MATCH($B688,'Equipo'!$A$5:$A$29,0))+$E688,0)),"")</f>
        <v/>
      </c>
      <c r="I688" s="26">
        <f>IF($B688='Perfil'!$B$3,COUNTIF($B$4:$B688,'Perfil'!$B$3),"")</f>
        <v/>
      </c>
    </row>
    <row r="689">
      <c r="A689" s="22" t="n"/>
      <c r="B689" s="23" t="n"/>
      <c r="C689" s="23" t="n"/>
      <c r="D689" s="24" t="n"/>
      <c r="E689" s="24" t="n"/>
      <c r="F689" s="23" t="n"/>
      <c r="G689" s="19">
        <f>IFERROR(IF(OR($B689="",$C689=""),"",IF(MATCH($C689,'Ajustes'!$A$5:$A$8,0)&lt;=2,$D689*INDEX('Ajustes'!$C$5:$C$6,MATCH($C689,'Ajustes'!$A$5:$A$8,0)),IF(MATCH($C689,'Ajustes'!$A$5:$A$8,0)=3,-($D689+$E689*INDEX('Equipo'!$B$5:$B$29,MATCH($B689,'Equipo'!$A$5:$A$29,0))),0))),"")</f>
        <v/>
      </c>
      <c r="H689" s="25">
        <f>IFERROR(IF(OR($B689="",$C689=""),"",IF(MATCH($C689,'Ajustes'!$A$5:$A$8,0)=4,$D689/INDEX('Equipo'!$B$5:$B$29,MATCH($B689,'Equipo'!$A$5:$A$29,0))+$E689,0)),"")</f>
        <v/>
      </c>
      <c r="I689" s="26">
        <f>IF($B689='Perfil'!$B$3,COUNTIF($B$4:$B689,'Perfil'!$B$3),"")</f>
        <v/>
      </c>
    </row>
    <row r="690">
      <c r="A690" s="22" t="n"/>
      <c r="B690" s="23" t="n"/>
      <c r="C690" s="23" t="n"/>
      <c r="D690" s="24" t="n"/>
      <c r="E690" s="24" t="n"/>
      <c r="F690" s="23" t="n"/>
      <c r="G690" s="19">
        <f>IFERROR(IF(OR($B690="",$C690=""),"",IF(MATCH($C690,'Ajustes'!$A$5:$A$8,0)&lt;=2,$D690*INDEX('Ajustes'!$C$5:$C$6,MATCH($C690,'Ajustes'!$A$5:$A$8,0)),IF(MATCH($C690,'Ajustes'!$A$5:$A$8,0)=3,-($D690+$E690*INDEX('Equipo'!$B$5:$B$29,MATCH($B690,'Equipo'!$A$5:$A$29,0))),0))),"")</f>
        <v/>
      </c>
      <c r="H690" s="25">
        <f>IFERROR(IF(OR($B690="",$C690=""),"",IF(MATCH($C690,'Ajustes'!$A$5:$A$8,0)=4,$D690/INDEX('Equipo'!$B$5:$B$29,MATCH($B690,'Equipo'!$A$5:$A$29,0))+$E690,0)),"")</f>
        <v/>
      </c>
      <c r="I690" s="26">
        <f>IF($B690='Perfil'!$B$3,COUNTIF($B$4:$B690,'Perfil'!$B$3),"")</f>
        <v/>
      </c>
    </row>
    <row r="691">
      <c r="A691" s="22" t="n"/>
      <c r="B691" s="23" t="n"/>
      <c r="C691" s="23" t="n"/>
      <c r="D691" s="24" t="n"/>
      <c r="E691" s="24" t="n"/>
      <c r="F691" s="23" t="n"/>
      <c r="G691" s="19">
        <f>IFERROR(IF(OR($B691="",$C691=""),"",IF(MATCH($C691,'Ajustes'!$A$5:$A$8,0)&lt;=2,$D691*INDEX('Ajustes'!$C$5:$C$6,MATCH($C691,'Ajustes'!$A$5:$A$8,0)),IF(MATCH($C691,'Ajustes'!$A$5:$A$8,0)=3,-($D691+$E691*INDEX('Equipo'!$B$5:$B$29,MATCH($B691,'Equipo'!$A$5:$A$29,0))),0))),"")</f>
        <v/>
      </c>
      <c r="H691" s="25">
        <f>IFERROR(IF(OR($B691="",$C691=""),"",IF(MATCH($C691,'Ajustes'!$A$5:$A$8,0)=4,$D691/INDEX('Equipo'!$B$5:$B$29,MATCH($B691,'Equipo'!$A$5:$A$29,0))+$E691,0)),"")</f>
        <v/>
      </c>
      <c r="I691" s="26">
        <f>IF($B691='Perfil'!$B$3,COUNTIF($B$4:$B691,'Perfil'!$B$3),"")</f>
        <v/>
      </c>
    </row>
    <row r="692">
      <c r="A692" s="22" t="n"/>
      <c r="B692" s="23" t="n"/>
      <c r="C692" s="23" t="n"/>
      <c r="D692" s="24" t="n"/>
      <c r="E692" s="24" t="n"/>
      <c r="F692" s="23" t="n"/>
      <c r="G692" s="19">
        <f>IFERROR(IF(OR($B692="",$C692=""),"",IF(MATCH($C692,'Ajustes'!$A$5:$A$8,0)&lt;=2,$D692*INDEX('Ajustes'!$C$5:$C$6,MATCH($C692,'Ajustes'!$A$5:$A$8,0)),IF(MATCH($C692,'Ajustes'!$A$5:$A$8,0)=3,-($D692+$E692*INDEX('Equipo'!$B$5:$B$29,MATCH($B692,'Equipo'!$A$5:$A$29,0))),0))),"")</f>
        <v/>
      </c>
      <c r="H692" s="25">
        <f>IFERROR(IF(OR($B692="",$C692=""),"",IF(MATCH($C692,'Ajustes'!$A$5:$A$8,0)=4,$D692/INDEX('Equipo'!$B$5:$B$29,MATCH($B692,'Equipo'!$A$5:$A$29,0))+$E692,0)),"")</f>
        <v/>
      </c>
      <c r="I692" s="26">
        <f>IF($B692='Perfil'!$B$3,COUNTIF($B$4:$B692,'Perfil'!$B$3),"")</f>
        <v/>
      </c>
    </row>
    <row r="693">
      <c r="A693" s="22" t="n"/>
      <c r="B693" s="23" t="n"/>
      <c r="C693" s="23" t="n"/>
      <c r="D693" s="24" t="n"/>
      <c r="E693" s="24" t="n"/>
      <c r="F693" s="23" t="n"/>
      <c r="G693" s="19">
        <f>IFERROR(IF(OR($B693="",$C693=""),"",IF(MATCH($C693,'Ajustes'!$A$5:$A$8,0)&lt;=2,$D693*INDEX('Ajustes'!$C$5:$C$6,MATCH($C693,'Ajustes'!$A$5:$A$8,0)),IF(MATCH($C693,'Ajustes'!$A$5:$A$8,0)=3,-($D693+$E693*INDEX('Equipo'!$B$5:$B$29,MATCH($B693,'Equipo'!$A$5:$A$29,0))),0))),"")</f>
        <v/>
      </c>
      <c r="H693" s="25">
        <f>IFERROR(IF(OR($B693="",$C693=""),"",IF(MATCH($C693,'Ajustes'!$A$5:$A$8,0)=4,$D693/INDEX('Equipo'!$B$5:$B$29,MATCH($B693,'Equipo'!$A$5:$A$29,0))+$E693,0)),"")</f>
        <v/>
      </c>
      <c r="I693" s="26">
        <f>IF($B693='Perfil'!$B$3,COUNTIF($B$4:$B693,'Perfil'!$B$3),"")</f>
        <v/>
      </c>
    </row>
    <row r="694">
      <c r="A694" s="22" t="n"/>
      <c r="B694" s="23" t="n"/>
      <c r="C694" s="23" t="n"/>
      <c r="D694" s="24" t="n"/>
      <c r="E694" s="24" t="n"/>
      <c r="F694" s="23" t="n"/>
      <c r="G694" s="19">
        <f>IFERROR(IF(OR($B694="",$C694=""),"",IF(MATCH($C694,'Ajustes'!$A$5:$A$8,0)&lt;=2,$D694*INDEX('Ajustes'!$C$5:$C$6,MATCH($C694,'Ajustes'!$A$5:$A$8,0)),IF(MATCH($C694,'Ajustes'!$A$5:$A$8,0)=3,-($D694+$E694*INDEX('Equipo'!$B$5:$B$29,MATCH($B694,'Equipo'!$A$5:$A$29,0))),0))),"")</f>
        <v/>
      </c>
      <c r="H694" s="25">
        <f>IFERROR(IF(OR($B694="",$C694=""),"",IF(MATCH($C694,'Ajustes'!$A$5:$A$8,0)=4,$D694/INDEX('Equipo'!$B$5:$B$29,MATCH($B694,'Equipo'!$A$5:$A$29,0))+$E694,0)),"")</f>
        <v/>
      </c>
      <c r="I694" s="26">
        <f>IF($B694='Perfil'!$B$3,COUNTIF($B$4:$B694,'Perfil'!$B$3),"")</f>
        <v/>
      </c>
    </row>
    <row r="695">
      <c r="A695" s="22" t="n"/>
      <c r="B695" s="23" t="n"/>
      <c r="C695" s="23" t="n"/>
      <c r="D695" s="24" t="n"/>
      <c r="E695" s="24" t="n"/>
      <c r="F695" s="23" t="n"/>
      <c r="G695" s="19">
        <f>IFERROR(IF(OR($B695="",$C695=""),"",IF(MATCH($C695,'Ajustes'!$A$5:$A$8,0)&lt;=2,$D695*INDEX('Ajustes'!$C$5:$C$6,MATCH($C695,'Ajustes'!$A$5:$A$8,0)),IF(MATCH($C695,'Ajustes'!$A$5:$A$8,0)=3,-($D695+$E695*INDEX('Equipo'!$B$5:$B$29,MATCH($B695,'Equipo'!$A$5:$A$29,0))),0))),"")</f>
        <v/>
      </c>
      <c r="H695" s="25">
        <f>IFERROR(IF(OR($B695="",$C695=""),"",IF(MATCH($C695,'Ajustes'!$A$5:$A$8,0)=4,$D695/INDEX('Equipo'!$B$5:$B$29,MATCH($B695,'Equipo'!$A$5:$A$29,0))+$E695,0)),"")</f>
        <v/>
      </c>
      <c r="I695" s="26">
        <f>IF($B695='Perfil'!$B$3,COUNTIF($B$4:$B695,'Perfil'!$B$3),"")</f>
        <v/>
      </c>
    </row>
    <row r="696">
      <c r="A696" s="22" t="n"/>
      <c r="B696" s="23" t="n"/>
      <c r="C696" s="23" t="n"/>
      <c r="D696" s="24" t="n"/>
      <c r="E696" s="24" t="n"/>
      <c r="F696" s="23" t="n"/>
      <c r="G696" s="19">
        <f>IFERROR(IF(OR($B696="",$C696=""),"",IF(MATCH($C696,'Ajustes'!$A$5:$A$8,0)&lt;=2,$D696*INDEX('Ajustes'!$C$5:$C$6,MATCH($C696,'Ajustes'!$A$5:$A$8,0)),IF(MATCH($C696,'Ajustes'!$A$5:$A$8,0)=3,-($D696+$E696*INDEX('Equipo'!$B$5:$B$29,MATCH($B696,'Equipo'!$A$5:$A$29,0))),0))),"")</f>
        <v/>
      </c>
      <c r="H696" s="25">
        <f>IFERROR(IF(OR($B696="",$C696=""),"",IF(MATCH($C696,'Ajustes'!$A$5:$A$8,0)=4,$D696/INDEX('Equipo'!$B$5:$B$29,MATCH($B696,'Equipo'!$A$5:$A$29,0))+$E696,0)),"")</f>
        <v/>
      </c>
      <c r="I696" s="26">
        <f>IF($B696='Perfil'!$B$3,COUNTIF($B$4:$B696,'Perfil'!$B$3),"")</f>
        <v/>
      </c>
    </row>
    <row r="697">
      <c r="A697" s="22" t="n"/>
      <c r="B697" s="23" t="n"/>
      <c r="C697" s="23" t="n"/>
      <c r="D697" s="24" t="n"/>
      <c r="E697" s="24" t="n"/>
      <c r="F697" s="23" t="n"/>
      <c r="G697" s="19">
        <f>IFERROR(IF(OR($B697="",$C697=""),"",IF(MATCH($C697,'Ajustes'!$A$5:$A$8,0)&lt;=2,$D697*INDEX('Ajustes'!$C$5:$C$6,MATCH($C697,'Ajustes'!$A$5:$A$8,0)),IF(MATCH($C697,'Ajustes'!$A$5:$A$8,0)=3,-($D697+$E697*INDEX('Equipo'!$B$5:$B$29,MATCH($B697,'Equipo'!$A$5:$A$29,0))),0))),"")</f>
        <v/>
      </c>
      <c r="H697" s="25">
        <f>IFERROR(IF(OR($B697="",$C697=""),"",IF(MATCH($C697,'Ajustes'!$A$5:$A$8,0)=4,$D697/INDEX('Equipo'!$B$5:$B$29,MATCH($B697,'Equipo'!$A$5:$A$29,0))+$E697,0)),"")</f>
        <v/>
      </c>
      <c r="I697" s="26">
        <f>IF($B697='Perfil'!$B$3,COUNTIF($B$4:$B697,'Perfil'!$B$3),"")</f>
        <v/>
      </c>
    </row>
    <row r="698">
      <c r="A698" s="22" t="n"/>
      <c r="B698" s="23" t="n"/>
      <c r="C698" s="23" t="n"/>
      <c r="D698" s="24" t="n"/>
      <c r="E698" s="24" t="n"/>
      <c r="F698" s="23" t="n"/>
      <c r="G698" s="19">
        <f>IFERROR(IF(OR($B698="",$C698=""),"",IF(MATCH($C698,'Ajustes'!$A$5:$A$8,0)&lt;=2,$D698*INDEX('Ajustes'!$C$5:$C$6,MATCH($C698,'Ajustes'!$A$5:$A$8,0)),IF(MATCH($C698,'Ajustes'!$A$5:$A$8,0)=3,-($D698+$E698*INDEX('Equipo'!$B$5:$B$29,MATCH($B698,'Equipo'!$A$5:$A$29,0))),0))),"")</f>
        <v/>
      </c>
      <c r="H698" s="25">
        <f>IFERROR(IF(OR($B698="",$C698=""),"",IF(MATCH($C698,'Ajustes'!$A$5:$A$8,0)=4,$D698/INDEX('Equipo'!$B$5:$B$29,MATCH($B698,'Equipo'!$A$5:$A$29,0))+$E698,0)),"")</f>
        <v/>
      </c>
      <c r="I698" s="26">
        <f>IF($B698='Perfil'!$B$3,COUNTIF($B$4:$B698,'Perfil'!$B$3),"")</f>
        <v/>
      </c>
    </row>
    <row r="699">
      <c r="A699" s="22" t="n"/>
      <c r="B699" s="23" t="n"/>
      <c r="C699" s="23" t="n"/>
      <c r="D699" s="24" t="n"/>
      <c r="E699" s="24" t="n"/>
      <c r="F699" s="23" t="n"/>
      <c r="G699" s="19">
        <f>IFERROR(IF(OR($B699="",$C699=""),"",IF(MATCH($C699,'Ajustes'!$A$5:$A$8,0)&lt;=2,$D699*INDEX('Ajustes'!$C$5:$C$6,MATCH($C699,'Ajustes'!$A$5:$A$8,0)),IF(MATCH($C699,'Ajustes'!$A$5:$A$8,0)=3,-($D699+$E699*INDEX('Equipo'!$B$5:$B$29,MATCH($B699,'Equipo'!$A$5:$A$29,0))),0))),"")</f>
        <v/>
      </c>
      <c r="H699" s="25">
        <f>IFERROR(IF(OR($B699="",$C699=""),"",IF(MATCH($C699,'Ajustes'!$A$5:$A$8,0)=4,$D699/INDEX('Equipo'!$B$5:$B$29,MATCH($B699,'Equipo'!$A$5:$A$29,0))+$E699,0)),"")</f>
        <v/>
      </c>
      <c r="I699" s="26">
        <f>IF($B699='Perfil'!$B$3,COUNTIF($B$4:$B699,'Perfil'!$B$3),"")</f>
        <v/>
      </c>
    </row>
    <row r="700">
      <c r="A700" s="22" t="n"/>
      <c r="B700" s="23" t="n"/>
      <c r="C700" s="23" t="n"/>
      <c r="D700" s="24" t="n"/>
      <c r="E700" s="24" t="n"/>
      <c r="F700" s="23" t="n"/>
      <c r="G700" s="19">
        <f>IFERROR(IF(OR($B700="",$C700=""),"",IF(MATCH($C700,'Ajustes'!$A$5:$A$8,0)&lt;=2,$D700*INDEX('Ajustes'!$C$5:$C$6,MATCH($C700,'Ajustes'!$A$5:$A$8,0)),IF(MATCH($C700,'Ajustes'!$A$5:$A$8,0)=3,-($D700+$E700*INDEX('Equipo'!$B$5:$B$29,MATCH($B700,'Equipo'!$A$5:$A$29,0))),0))),"")</f>
        <v/>
      </c>
      <c r="H700" s="25">
        <f>IFERROR(IF(OR($B700="",$C700=""),"",IF(MATCH($C700,'Ajustes'!$A$5:$A$8,0)=4,$D700/INDEX('Equipo'!$B$5:$B$29,MATCH($B700,'Equipo'!$A$5:$A$29,0))+$E700,0)),"")</f>
        <v/>
      </c>
      <c r="I700" s="26">
        <f>IF($B700='Perfil'!$B$3,COUNTIF($B$4:$B700,'Perfil'!$B$3),"")</f>
        <v/>
      </c>
    </row>
    <row r="701">
      <c r="A701" s="22" t="n"/>
      <c r="B701" s="23" t="n"/>
      <c r="C701" s="23" t="n"/>
      <c r="D701" s="24" t="n"/>
      <c r="E701" s="24" t="n"/>
      <c r="F701" s="23" t="n"/>
      <c r="G701" s="19">
        <f>IFERROR(IF(OR($B701="",$C701=""),"",IF(MATCH($C701,'Ajustes'!$A$5:$A$8,0)&lt;=2,$D701*INDEX('Ajustes'!$C$5:$C$6,MATCH($C701,'Ajustes'!$A$5:$A$8,0)),IF(MATCH($C701,'Ajustes'!$A$5:$A$8,0)=3,-($D701+$E701*INDEX('Equipo'!$B$5:$B$29,MATCH($B701,'Equipo'!$A$5:$A$29,0))),0))),"")</f>
        <v/>
      </c>
      <c r="H701" s="25">
        <f>IFERROR(IF(OR($B701="",$C701=""),"",IF(MATCH($C701,'Ajustes'!$A$5:$A$8,0)=4,$D701/INDEX('Equipo'!$B$5:$B$29,MATCH($B701,'Equipo'!$A$5:$A$29,0))+$E701,0)),"")</f>
        <v/>
      </c>
      <c r="I701" s="26">
        <f>IF($B701='Perfil'!$B$3,COUNTIF($B$4:$B701,'Perfil'!$B$3),"")</f>
        <v/>
      </c>
    </row>
    <row r="702">
      <c r="A702" s="22" t="n"/>
      <c r="B702" s="23" t="n"/>
      <c r="C702" s="23" t="n"/>
      <c r="D702" s="24" t="n"/>
      <c r="E702" s="24" t="n"/>
      <c r="F702" s="23" t="n"/>
      <c r="G702" s="19">
        <f>IFERROR(IF(OR($B702="",$C702=""),"",IF(MATCH($C702,'Ajustes'!$A$5:$A$8,0)&lt;=2,$D702*INDEX('Ajustes'!$C$5:$C$6,MATCH($C702,'Ajustes'!$A$5:$A$8,0)),IF(MATCH($C702,'Ajustes'!$A$5:$A$8,0)=3,-($D702+$E702*INDEX('Equipo'!$B$5:$B$29,MATCH($B702,'Equipo'!$A$5:$A$29,0))),0))),"")</f>
        <v/>
      </c>
      <c r="H702" s="25">
        <f>IFERROR(IF(OR($B702="",$C702=""),"",IF(MATCH($C702,'Ajustes'!$A$5:$A$8,0)=4,$D702/INDEX('Equipo'!$B$5:$B$29,MATCH($B702,'Equipo'!$A$5:$A$29,0))+$E702,0)),"")</f>
        <v/>
      </c>
      <c r="I702" s="26">
        <f>IF($B702='Perfil'!$B$3,COUNTIF($B$4:$B702,'Perfil'!$B$3),"")</f>
        <v/>
      </c>
    </row>
    <row r="703">
      <c r="A703" s="22" t="n"/>
      <c r="B703" s="23" t="n"/>
      <c r="C703" s="23" t="n"/>
      <c r="D703" s="24" t="n"/>
      <c r="E703" s="24" t="n"/>
      <c r="F703" s="23" t="n"/>
      <c r="G703" s="19">
        <f>IFERROR(IF(OR($B703="",$C703=""),"",IF(MATCH($C703,'Ajustes'!$A$5:$A$8,0)&lt;=2,$D703*INDEX('Ajustes'!$C$5:$C$6,MATCH($C703,'Ajustes'!$A$5:$A$8,0)),IF(MATCH($C703,'Ajustes'!$A$5:$A$8,0)=3,-($D703+$E703*INDEX('Equipo'!$B$5:$B$29,MATCH($B703,'Equipo'!$A$5:$A$29,0))),0))),"")</f>
        <v/>
      </c>
      <c r="H703" s="25">
        <f>IFERROR(IF(OR($B703="",$C703=""),"",IF(MATCH($C703,'Ajustes'!$A$5:$A$8,0)=4,$D703/INDEX('Equipo'!$B$5:$B$29,MATCH($B703,'Equipo'!$A$5:$A$29,0))+$E703,0)),"")</f>
        <v/>
      </c>
      <c r="I703" s="26">
        <f>IF($B703='Perfil'!$B$3,COUNTIF($B$4:$B703,'Perfil'!$B$3),"")</f>
        <v/>
      </c>
    </row>
    <row r="704">
      <c r="A704" s="22" t="n"/>
      <c r="B704" s="23" t="n"/>
      <c r="C704" s="23" t="n"/>
      <c r="D704" s="24" t="n"/>
      <c r="E704" s="24" t="n"/>
      <c r="F704" s="23" t="n"/>
      <c r="G704" s="19">
        <f>IFERROR(IF(OR($B704="",$C704=""),"",IF(MATCH($C704,'Ajustes'!$A$5:$A$8,0)&lt;=2,$D704*INDEX('Ajustes'!$C$5:$C$6,MATCH($C704,'Ajustes'!$A$5:$A$8,0)),IF(MATCH($C704,'Ajustes'!$A$5:$A$8,0)=3,-($D704+$E704*INDEX('Equipo'!$B$5:$B$29,MATCH($B704,'Equipo'!$A$5:$A$29,0))),0))),"")</f>
        <v/>
      </c>
      <c r="H704" s="25">
        <f>IFERROR(IF(OR($B704="",$C704=""),"",IF(MATCH($C704,'Ajustes'!$A$5:$A$8,0)=4,$D704/INDEX('Equipo'!$B$5:$B$29,MATCH($B704,'Equipo'!$A$5:$A$29,0))+$E704,0)),"")</f>
        <v/>
      </c>
      <c r="I704" s="26">
        <f>IF($B704='Perfil'!$B$3,COUNTIF($B$4:$B704,'Perfil'!$B$3),"")</f>
        <v/>
      </c>
    </row>
    <row r="705">
      <c r="A705" s="22" t="n"/>
      <c r="B705" s="23" t="n"/>
      <c r="C705" s="23" t="n"/>
      <c r="D705" s="24" t="n"/>
      <c r="E705" s="24" t="n"/>
      <c r="F705" s="23" t="n"/>
      <c r="G705" s="19">
        <f>IFERROR(IF(OR($B705="",$C705=""),"",IF(MATCH($C705,'Ajustes'!$A$5:$A$8,0)&lt;=2,$D705*INDEX('Ajustes'!$C$5:$C$6,MATCH($C705,'Ajustes'!$A$5:$A$8,0)),IF(MATCH($C705,'Ajustes'!$A$5:$A$8,0)=3,-($D705+$E705*INDEX('Equipo'!$B$5:$B$29,MATCH($B705,'Equipo'!$A$5:$A$29,0))),0))),"")</f>
        <v/>
      </c>
      <c r="H705" s="25">
        <f>IFERROR(IF(OR($B705="",$C705=""),"",IF(MATCH($C705,'Ajustes'!$A$5:$A$8,0)=4,$D705/INDEX('Equipo'!$B$5:$B$29,MATCH($B705,'Equipo'!$A$5:$A$29,0))+$E705,0)),"")</f>
        <v/>
      </c>
      <c r="I705" s="26">
        <f>IF($B705='Perfil'!$B$3,COUNTIF($B$4:$B705,'Perfil'!$B$3),"")</f>
        <v/>
      </c>
    </row>
    <row r="706">
      <c r="A706" s="22" t="n"/>
      <c r="B706" s="23" t="n"/>
      <c r="C706" s="23" t="n"/>
      <c r="D706" s="24" t="n"/>
      <c r="E706" s="24" t="n"/>
      <c r="F706" s="23" t="n"/>
      <c r="G706" s="19">
        <f>IFERROR(IF(OR($B706="",$C706=""),"",IF(MATCH($C706,'Ajustes'!$A$5:$A$8,0)&lt;=2,$D706*INDEX('Ajustes'!$C$5:$C$6,MATCH($C706,'Ajustes'!$A$5:$A$8,0)),IF(MATCH($C706,'Ajustes'!$A$5:$A$8,0)=3,-($D706+$E706*INDEX('Equipo'!$B$5:$B$29,MATCH($B706,'Equipo'!$A$5:$A$29,0))),0))),"")</f>
        <v/>
      </c>
      <c r="H706" s="25">
        <f>IFERROR(IF(OR($B706="",$C706=""),"",IF(MATCH($C706,'Ajustes'!$A$5:$A$8,0)=4,$D706/INDEX('Equipo'!$B$5:$B$29,MATCH($B706,'Equipo'!$A$5:$A$29,0))+$E706,0)),"")</f>
        <v/>
      </c>
      <c r="I706" s="26">
        <f>IF($B706='Perfil'!$B$3,COUNTIF($B$4:$B706,'Perfil'!$B$3),"")</f>
        <v/>
      </c>
    </row>
    <row r="707">
      <c r="A707" s="22" t="n"/>
      <c r="B707" s="23" t="n"/>
      <c r="C707" s="23" t="n"/>
      <c r="D707" s="24" t="n"/>
      <c r="E707" s="24" t="n"/>
      <c r="F707" s="23" t="n"/>
      <c r="G707" s="19">
        <f>IFERROR(IF(OR($B707="",$C707=""),"",IF(MATCH($C707,'Ajustes'!$A$5:$A$8,0)&lt;=2,$D707*INDEX('Ajustes'!$C$5:$C$6,MATCH($C707,'Ajustes'!$A$5:$A$8,0)),IF(MATCH($C707,'Ajustes'!$A$5:$A$8,0)=3,-($D707+$E707*INDEX('Equipo'!$B$5:$B$29,MATCH($B707,'Equipo'!$A$5:$A$29,0))),0))),"")</f>
        <v/>
      </c>
      <c r="H707" s="25">
        <f>IFERROR(IF(OR($B707="",$C707=""),"",IF(MATCH($C707,'Ajustes'!$A$5:$A$8,0)=4,$D707/INDEX('Equipo'!$B$5:$B$29,MATCH($B707,'Equipo'!$A$5:$A$29,0))+$E707,0)),"")</f>
        <v/>
      </c>
      <c r="I707" s="26">
        <f>IF($B707='Perfil'!$B$3,COUNTIF($B$4:$B707,'Perfil'!$B$3),"")</f>
        <v/>
      </c>
    </row>
    <row r="708">
      <c r="A708" s="22" t="n"/>
      <c r="B708" s="23" t="n"/>
      <c r="C708" s="23" t="n"/>
      <c r="D708" s="24" t="n"/>
      <c r="E708" s="24" t="n"/>
      <c r="F708" s="23" t="n"/>
      <c r="G708" s="19">
        <f>IFERROR(IF(OR($B708="",$C708=""),"",IF(MATCH($C708,'Ajustes'!$A$5:$A$8,0)&lt;=2,$D708*INDEX('Ajustes'!$C$5:$C$6,MATCH($C708,'Ajustes'!$A$5:$A$8,0)),IF(MATCH($C708,'Ajustes'!$A$5:$A$8,0)=3,-($D708+$E708*INDEX('Equipo'!$B$5:$B$29,MATCH($B708,'Equipo'!$A$5:$A$29,0))),0))),"")</f>
        <v/>
      </c>
      <c r="H708" s="25">
        <f>IFERROR(IF(OR($B708="",$C708=""),"",IF(MATCH($C708,'Ajustes'!$A$5:$A$8,0)=4,$D708/INDEX('Equipo'!$B$5:$B$29,MATCH($B708,'Equipo'!$A$5:$A$29,0))+$E708,0)),"")</f>
        <v/>
      </c>
      <c r="I708" s="26">
        <f>IF($B708='Perfil'!$B$3,COUNTIF($B$4:$B708,'Perfil'!$B$3),"")</f>
        <v/>
      </c>
    </row>
    <row r="709">
      <c r="A709" s="22" t="n"/>
      <c r="B709" s="23" t="n"/>
      <c r="C709" s="23" t="n"/>
      <c r="D709" s="24" t="n"/>
      <c r="E709" s="24" t="n"/>
      <c r="F709" s="23" t="n"/>
      <c r="G709" s="19">
        <f>IFERROR(IF(OR($B709="",$C709=""),"",IF(MATCH($C709,'Ajustes'!$A$5:$A$8,0)&lt;=2,$D709*INDEX('Ajustes'!$C$5:$C$6,MATCH($C709,'Ajustes'!$A$5:$A$8,0)),IF(MATCH($C709,'Ajustes'!$A$5:$A$8,0)=3,-($D709+$E709*INDEX('Equipo'!$B$5:$B$29,MATCH($B709,'Equipo'!$A$5:$A$29,0))),0))),"")</f>
        <v/>
      </c>
      <c r="H709" s="25">
        <f>IFERROR(IF(OR($B709="",$C709=""),"",IF(MATCH($C709,'Ajustes'!$A$5:$A$8,0)=4,$D709/INDEX('Equipo'!$B$5:$B$29,MATCH($B709,'Equipo'!$A$5:$A$29,0))+$E709,0)),"")</f>
        <v/>
      </c>
      <c r="I709" s="26">
        <f>IF($B709='Perfil'!$B$3,COUNTIF($B$4:$B709,'Perfil'!$B$3),"")</f>
        <v/>
      </c>
    </row>
    <row r="710">
      <c r="A710" s="22" t="n"/>
      <c r="B710" s="23" t="n"/>
      <c r="C710" s="23" t="n"/>
      <c r="D710" s="24" t="n"/>
      <c r="E710" s="24" t="n"/>
      <c r="F710" s="23" t="n"/>
      <c r="G710" s="19">
        <f>IFERROR(IF(OR($B710="",$C710=""),"",IF(MATCH($C710,'Ajustes'!$A$5:$A$8,0)&lt;=2,$D710*INDEX('Ajustes'!$C$5:$C$6,MATCH($C710,'Ajustes'!$A$5:$A$8,0)),IF(MATCH($C710,'Ajustes'!$A$5:$A$8,0)=3,-($D710+$E710*INDEX('Equipo'!$B$5:$B$29,MATCH($B710,'Equipo'!$A$5:$A$29,0))),0))),"")</f>
        <v/>
      </c>
      <c r="H710" s="25">
        <f>IFERROR(IF(OR($B710="",$C710=""),"",IF(MATCH($C710,'Ajustes'!$A$5:$A$8,0)=4,$D710/INDEX('Equipo'!$B$5:$B$29,MATCH($B710,'Equipo'!$A$5:$A$29,0))+$E710,0)),"")</f>
        <v/>
      </c>
      <c r="I710" s="26">
        <f>IF($B710='Perfil'!$B$3,COUNTIF($B$4:$B710,'Perfil'!$B$3),"")</f>
        <v/>
      </c>
    </row>
    <row r="711">
      <c r="A711" s="22" t="n"/>
      <c r="B711" s="23" t="n"/>
      <c r="C711" s="23" t="n"/>
      <c r="D711" s="24" t="n"/>
      <c r="E711" s="24" t="n"/>
      <c r="F711" s="23" t="n"/>
      <c r="G711" s="19">
        <f>IFERROR(IF(OR($B711="",$C711=""),"",IF(MATCH($C711,'Ajustes'!$A$5:$A$8,0)&lt;=2,$D711*INDEX('Ajustes'!$C$5:$C$6,MATCH($C711,'Ajustes'!$A$5:$A$8,0)),IF(MATCH($C711,'Ajustes'!$A$5:$A$8,0)=3,-($D711+$E711*INDEX('Equipo'!$B$5:$B$29,MATCH($B711,'Equipo'!$A$5:$A$29,0))),0))),"")</f>
        <v/>
      </c>
      <c r="H711" s="25">
        <f>IFERROR(IF(OR($B711="",$C711=""),"",IF(MATCH($C711,'Ajustes'!$A$5:$A$8,0)=4,$D711/INDEX('Equipo'!$B$5:$B$29,MATCH($B711,'Equipo'!$A$5:$A$29,0))+$E711,0)),"")</f>
        <v/>
      </c>
      <c r="I711" s="26">
        <f>IF($B711='Perfil'!$B$3,COUNTIF($B$4:$B711,'Perfil'!$B$3),"")</f>
        <v/>
      </c>
    </row>
    <row r="712">
      <c r="A712" s="22" t="n"/>
      <c r="B712" s="23" t="n"/>
      <c r="C712" s="23" t="n"/>
      <c r="D712" s="24" t="n"/>
      <c r="E712" s="24" t="n"/>
      <c r="F712" s="23" t="n"/>
      <c r="G712" s="19">
        <f>IFERROR(IF(OR($B712="",$C712=""),"",IF(MATCH($C712,'Ajustes'!$A$5:$A$8,0)&lt;=2,$D712*INDEX('Ajustes'!$C$5:$C$6,MATCH($C712,'Ajustes'!$A$5:$A$8,0)),IF(MATCH($C712,'Ajustes'!$A$5:$A$8,0)=3,-($D712+$E712*INDEX('Equipo'!$B$5:$B$29,MATCH($B712,'Equipo'!$A$5:$A$29,0))),0))),"")</f>
        <v/>
      </c>
      <c r="H712" s="25">
        <f>IFERROR(IF(OR($B712="",$C712=""),"",IF(MATCH($C712,'Ajustes'!$A$5:$A$8,0)=4,$D712/INDEX('Equipo'!$B$5:$B$29,MATCH($B712,'Equipo'!$A$5:$A$29,0))+$E712,0)),"")</f>
        <v/>
      </c>
      <c r="I712" s="26">
        <f>IF($B712='Perfil'!$B$3,COUNTIF($B$4:$B712,'Perfil'!$B$3),"")</f>
        <v/>
      </c>
    </row>
    <row r="713">
      <c r="A713" s="22" t="n"/>
      <c r="B713" s="23" t="n"/>
      <c r="C713" s="23" t="n"/>
      <c r="D713" s="24" t="n"/>
      <c r="E713" s="24" t="n"/>
      <c r="F713" s="23" t="n"/>
      <c r="G713" s="19">
        <f>IFERROR(IF(OR($B713="",$C713=""),"",IF(MATCH($C713,'Ajustes'!$A$5:$A$8,0)&lt;=2,$D713*INDEX('Ajustes'!$C$5:$C$6,MATCH($C713,'Ajustes'!$A$5:$A$8,0)),IF(MATCH($C713,'Ajustes'!$A$5:$A$8,0)=3,-($D713+$E713*INDEX('Equipo'!$B$5:$B$29,MATCH($B713,'Equipo'!$A$5:$A$29,0))),0))),"")</f>
        <v/>
      </c>
      <c r="H713" s="25">
        <f>IFERROR(IF(OR($B713="",$C713=""),"",IF(MATCH($C713,'Ajustes'!$A$5:$A$8,0)=4,$D713/INDEX('Equipo'!$B$5:$B$29,MATCH($B713,'Equipo'!$A$5:$A$29,0))+$E713,0)),"")</f>
        <v/>
      </c>
      <c r="I713" s="26">
        <f>IF($B713='Perfil'!$B$3,COUNTIF($B$4:$B713,'Perfil'!$B$3),"")</f>
        <v/>
      </c>
    </row>
    <row r="714">
      <c r="A714" s="22" t="n"/>
      <c r="B714" s="23" t="n"/>
      <c r="C714" s="23" t="n"/>
      <c r="D714" s="24" t="n"/>
      <c r="E714" s="24" t="n"/>
      <c r="F714" s="23" t="n"/>
      <c r="G714" s="19">
        <f>IFERROR(IF(OR($B714="",$C714=""),"",IF(MATCH($C714,'Ajustes'!$A$5:$A$8,0)&lt;=2,$D714*INDEX('Ajustes'!$C$5:$C$6,MATCH($C714,'Ajustes'!$A$5:$A$8,0)),IF(MATCH($C714,'Ajustes'!$A$5:$A$8,0)=3,-($D714+$E714*INDEX('Equipo'!$B$5:$B$29,MATCH($B714,'Equipo'!$A$5:$A$29,0))),0))),"")</f>
        <v/>
      </c>
      <c r="H714" s="25">
        <f>IFERROR(IF(OR($B714="",$C714=""),"",IF(MATCH($C714,'Ajustes'!$A$5:$A$8,0)=4,$D714/INDEX('Equipo'!$B$5:$B$29,MATCH($B714,'Equipo'!$A$5:$A$29,0))+$E714,0)),"")</f>
        <v/>
      </c>
      <c r="I714" s="26">
        <f>IF($B714='Perfil'!$B$3,COUNTIF($B$4:$B714,'Perfil'!$B$3),"")</f>
        <v/>
      </c>
    </row>
    <row r="715">
      <c r="A715" s="22" t="n"/>
      <c r="B715" s="23" t="n"/>
      <c r="C715" s="23" t="n"/>
      <c r="D715" s="24" t="n"/>
      <c r="E715" s="24" t="n"/>
      <c r="F715" s="23" t="n"/>
      <c r="G715" s="19">
        <f>IFERROR(IF(OR($B715="",$C715=""),"",IF(MATCH($C715,'Ajustes'!$A$5:$A$8,0)&lt;=2,$D715*INDEX('Ajustes'!$C$5:$C$6,MATCH($C715,'Ajustes'!$A$5:$A$8,0)),IF(MATCH($C715,'Ajustes'!$A$5:$A$8,0)=3,-($D715+$E715*INDEX('Equipo'!$B$5:$B$29,MATCH($B715,'Equipo'!$A$5:$A$29,0))),0))),"")</f>
        <v/>
      </c>
      <c r="H715" s="25">
        <f>IFERROR(IF(OR($B715="",$C715=""),"",IF(MATCH($C715,'Ajustes'!$A$5:$A$8,0)=4,$D715/INDEX('Equipo'!$B$5:$B$29,MATCH($B715,'Equipo'!$A$5:$A$29,0))+$E715,0)),"")</f>
        <v/>
      </c>
      <c r="I715" s="26">
        <f>IF($B715='Perfil'!$B$3,COUNTIF($B$4:$B715,'Perfil'!$B$3),"")</f>
        <v/>
      </c>
    </row>
    <row r="716">
      <c r="A716" s="22" t="n"/>
      <c r="B716" s="23" t="n"/>
      <c r="C716" s="23" t="n"/>
      <c r="D716" s="24" t="n"/>
      <c r="E716" s="24" t="n"/>
      <c r="F716" s="23" t="n"/>
      <c r="G716" s="19">
        <f>IFERROR(IF(OR($B716="",$C716=""),"",IF(MATCH($C716,'Ajustes'!$A$5:$A$8,0)&lt;=2,$D716*INDEX('Ajustes'!$C$5:$C$6,MATCH($C716,'Ajustes'!$A$5:$A$8,0)),IF(MATCH($C716,'Ajustes'!$A$5:$A$8,0)=3,-($D716+$E716*INDEX('Equipo'!$B$5:$B$29,MATCH($B716,'Equipo'!$A$5:$A$29,0))),0))),"")</f>
        <v/>
      </c>
      <c r="H716" s="25">
        <f>IFERROR(IF(OR($B716="",$C716=""),"",IF(MATCH($C716,'Ajustes'!$A$5:$A$8,0)=4,$D716/INDEX('Equipo'!$B$5:$B$29,MATCH($B716,'Equipo'!$A$5:$A$29,0))+$E716,0)),"")</f>
        <v/>
      </c>
      <c r="I716" s="26">
        <f>IF($B716='Perfil'!$B$3,COUNTIF($B$4:$B716,'Perfil'!$B$3),"")</f>
        <v/>
      </c>
    </row>
    <row r="717">
      <c r="A717" s="22" t="n"/>
      <c r="B717" s="23" t="n"/>
      <c r="C717" s="23" t="n"/>
      <c r="D717" s="24" t="n"/>
      <c r="E717" s="24" t="n"/>
      <c r="F717" s="23" t="n"/>
      <c r="G717" s="19">
        <f>IFERROR(IF(OR($B717="",$C717=""),"",IF(MATCH($C717,'Ajustes'!$A$5:$A$8,0)&lt;=2,$D717*INDEX('Ajustes'!$C$5:$C$6,MATCH($C717,'Ajustes'!$A$5:$A$8,0)),IF(MATCH($C717,'Ajustes'!$A$5:$A$8,0)=3,-($D717+$E717*INDEX('Equipo'!$B$5:$B$29,MATCH($B717,'Equipo'!$A$5:$A$29,0))),0))),"")</f>
        <v/>
      </c>
      <c r="H717" s="25">
        <f>IFERROR(IF(OR($B717="",$C717=""),"",IF(MATCH($C717,'Ajustes'!$A$5:$A$8,0)=4,$D717/INDEX('Equipo'!$B$5:$B$29,MATCH($B717,'Equipo'!$A$5:$A$29,0))+$E717,0)),"")</f>
        <v/>
      </c>
      <c r="I717" s="26">
        <f>IF($B717='Perfil'!$B$3,COUNTIF($B$4:$B717,'Perfil'!$B$3),"")</f>
        <v/>
      </c>
    </row>
    <row r="718">
      <c r="A718" s="22" t="n"/>
      <c r="B718" s="23" t="n"/>
      <c r="C718" s="23" t="n"/>
      <c r="D718" s="24" t="n"/>
      <c r="E718" s="24" t="n"/>
      <c r="F718" s="23" t="n"/>
      <c r="G718" s="19">
        <f>IFERROR(IF(OR($B718="",$C718=""),"",IF(MATCH($C718,'Ajustes'!$A$5:$A$8,0)&lt;=2,$D718*INDEX('Ajustes'!$C$5:$C$6,MATCH($C718,'Ajustes'!$A$5:$A$8,0)),IF(MATCH($C718,'Ajustes'!$A$5:$A$8,0)=3,-($D718+$E718*INDEX('Equipo'!$B$5:$B$29,MATCH($B718,'Equipo'!$A$5:$A$29,0))),0))),"")</f>
        <v/>
      </c>
      <c r="H718" s="25">
        <f>IFERROR(IF(OR($B718="",$C718=""),"",IF(MATCH($C718,'Ajustes'!$A$5:$A$8,0)=4,$D718/INDEX('Equipo'!$B$5:$B$29,MATCH($B718,'Equipo'!$A$5:$A$29,0))+$E718,0)),"")</f>
        <v/>
      </c>
      <c r="I718" s="26">
        <f>IF($B718='Perfil'!$B$3,COUNTIF($B$4:$B718,'Perfil'!$B$3),"")</f>
        <v/>
      </c>
    </row>
    <row r="719">
      <c r="A719" s="22" t="n"/>
      <c r="B719" s="23" t="n"/>
      <c r="C719" s="23" t="n"/>
      <c r="D719" s="24" t="n"/>
      <c r="E719" s="24" t="n"/>
      <c r="F719" s="23" t="n"/>
      <c r="G719" s="19">
        <f>IFERROR(IF(OR($B719="",$C719=""),"",IF(MATCH($C719,'Ajustes'!$A$5:$A$8,0)&lt;=2,$D719*INDEX('Ajustes'!$C$5:$C$6,MATCH($C719,'Ajustes'!$A$5:$A$8,0)),IF(MATCH($C719,'Ajustes'!$A$5:$A$8,0)=3,-($D719+$E719*INDEX('Equipo'!$B$5:$B$29,MATCH($B719,'Equipo'!$A$5:$A$29,0))),0))),"")</f>
        <v/>
      </c>
      <c r="H719" s="25">
        <f>IFERROR(IF(OR($B719="",$C719=""),"",IF(MATCH($C719,'Ajustes'!$A$5:$A$8,0)=4,$D719/INDEX('Equipo'!$B$5:$B$29,MATCH($B719,'Equipo'!$A$5:$A$29,0))+$E719,0)),"")</f>
        <v/>
      </c>
      <c r="I719" s="26">
        <f>IF($B719='Perfil'!$B$3,COUNTIF($B$4:$B719,'Perfil'!$B$3),"")</f>
        <v/>
      </c>
    </row>
    <row r="720">
      <c r="A720" s="22" t="n"/>
      <c r="B720" s="23" t="n"/>
      <c r="C720" s="23" t="n"/>
      <c r="D720" s="24" t="n"/>
      <c r="E720" s="24" t="n"/>
      <c r="F720" s="23" t="n"/>
      <c r="G720" s="19">
        <f>IFERROR(IF(OR($B720="",$C720=""),"",IF(MATCH($C720,'Ajustes'!$A$5:$A$8,0)&lt;=2,$D720*INDEX('Ajustes'!$C$5:$C$6,MATCH($C720,'Ajustes'!$A$5:$A$8,0)),IF(MATCH($C720,'Ajustes'!$A$5:$A$8,0)=3,-($D720+$E720*INDEX('Equipo'!$B$5:$B$29,MATCH($B720,'Equipo'!$A$5:$A$29,0))),0))),"")</f>
        <v/>
      </c>
      <c r="H720" s="25">
        <f>IFERROR(IF(OR($B720="",$C720=""),"",IF(MATCH($C720,'Ajustes'!$A$5:$A$8,0)=4,$D720/INDEX('Equipo'!$B$5:$B$29,MATCH($B720,'Equipo'!$A$5:$A$29,0))+$E720,0)),"")</f>
        <v/>
      </c>
      <c r="I720" s="26">
        <f>IF($B720='Perfil'!$B$3,COUNTIF($B$4:$B720,'Perfil'!$B$3),"")</f>
        <v/>
      </c>
    </row>
    <row r="721">
      <c r="A721" s="22" t="n"/>
      <c r="B721" s="23" t="n"/>
      <c r="C721" s="23" t="n"/>
      <c r="D721" s="24" t="n"/>
      <c r="E721" s="24" t="n"/>
      <c r="F721" s="23" t="n"/>
      <c r="G721" s="19">
        <f>IFERROR(IF(OR($B721="",$C721=""),"",IF(MATCH($C721,'Ajustes'!$A$5:$A$8,0)&lt;=2,$D721*INDEX('Ajustes'!$C$5:$C$6,MATCH($C721,'Ajustes'!$A$5:$A$8,0)),IF(MATCH($C721,'Ajustes'!$A$5:$A$8,0)=3,-($D721+$E721*INDEX('Equipo'!$B$5:$B$29,MATCH($B721,'Equipo'!$A$5:$A$29,0))),0))),"")</f>
        <v/>
      </c>
      <c r="H721" s="25">
        <f>IFERROR(IF(OR($B721="",$C721=""),"",IF(MATCH($C721,'Ajustes'!$A$5:$A$8,0)=4,$D721/INDEX('Equipo'!$B$5:$B$29,MATCH($B721,'Equipo'!$A$5:$A$29,0))+$E721,0)),"")</f>
        <v/>
      </c>
      <c r="I721" s="26">
        <f>IF($B721='Perfil'!$B$3,COUNTIF($B$4:$B721,'Perfil'!$B$3),"")</f>
        <v/>
      </c>
    </row>
    <row r="722">
      <c r="A722" s="22" t="n"/>
      <c r="B722" s="23" t="n"/>
      <c r="C722" s="23" t="n"/>
      <c r="D722" s="24" t="n"/>
      <c r="E722" s="24" t="n"/>
      <c r="F722" s="23" t="n"/>
      <c r="G722" s="19">
        <f>IFERROR(IF(OR($B722="",$C722=""),"",IF(MATCH($C722,'Ajustes'!$A$5:$A$8,0)&lt;=2,$D722*INDEX('Ajustes'!$C$5:$C$6,MATCH($C722,'Ajustes'!$A$5:$A$8,0)),IF(MATCH($C722,'Ajustes'!$A$5:$A$8,0)=3,-($D722+$E722*INDEX('Equipo'!$B$5:$B$29,MATCH($B722,'Equipo'!$A$5:$A$29,0))),0))),"")</f>
        <v/>
      </c>
      <c r="H722" s="25">
        <f>IFERROR(IF(OR($B722="",$C722=""),"",IF(MATCH($C722,'Ajustes'!$A$5:$A$8,0)=4,$D722/INDEX('Equipo'!$B$5:$B$29,MATCH($B722,'Equipo'!$A$5:$A$29,0))+$E722,0)),"")</f>
        <v/>
      </c>
      <c r="I722" s="26">
        <f>IF($B722='Perfil'!$B$3,COUNTIF($B$4:$B722,'Perfil'!$B$3),"")</f>
        <v/>
      </c>
    </row>
    <row r="723">
      <c r="A723" s="22" t="n"/>
      <c r="B723" s="23" t="n"/>
      <c r="C723" s="23" t="n"/>
      <c r="D723" s="24" t="n"/>
      <c r="E723" s="24" t="n"/>
      <c r="F723" s="23" t="n"/>
      <c r="G723" s="19">
        <f>IFERROR(IF(OR($B723="",$C723=""),"",IF(MATCH($C723,'Ajustes'!$A$5:$A$8,0)&lt;=2,$D723*INDEX('Ajustes'!$C$5:$C$6,MATCH($C723,'Ajustes'!$A$5:$A$8,0)),IF(MATCH($C723,'Ajustes'!$A$5:$A$8,0)=3,-($D723+$E723*INDEX('Equipo'!$B$5:$B$29,MATCH($B723,'Equipo'!$A$5:$A$29,0))),0))),"")</f>
        <v/>
      </c>
      <c r="H723" s="25">
        <f>IFERROR(IF(OR($B723="",$C723=""),"",IF(MATCH($C723,'Ajustes'!$A$5:$A$8,0)=4,$D723/INDEX('Equipo'!$B$5:$B$29,MATCH($B723,'Equipo'!$A$5:$A$29,0))+$E723,0)),"")</f>
        <v/>
      </c>
      <c r="I723" s="26">
        <f>IF($B723='Perfil'!$B$3,COUNTIF($B$4:$B723,'Perfil'!$B$3),"")</f>
        <v/>
      </c>
    </row>
    <row r="724">
      <c r="A724" s="22" t="n"/>
      <c r="B724" s="23" t="n"/>
      <c r="C724" s="23" t="n"/>
      <c r="D724" s="24" t="n"/>
      <c r="E724" s="24" t="n"/>
      <c r="F724" s="23" t="n"/>
      <c r="G724" s="19">
        <f>IFERROR(IF(OR($B724="",$C724=""),"",IF(MATCH($C724,'Ajustes'!$A$5:$A$8,0)&lt;=2,$D724*INDEX('Ajustes'!$C$5:$C$6,MATCH($C724,'Ajustes'!$A$5:$A$8,0)),IF(MATCH($C724,'Ajustes'!$A$5:$A$8,0)=3,-($D724+$E724*INDEX('Equipo'!$B$5:$B$29,MATCH($B724,'Equipo'!$A$5:$A$29,0))),0))),"")</f>
        <v/>
      </c>
      <c r="H724" s="25">
        <f>IFERROR(IF(OR($B724="",$C724=""),"",IF(MATCH($C724,'Ajustes'!$A$5:$A$8,0)=4,$D724/INDEX('Equipo'!$B$5:$B$29,MATCH($B724,'Equipo'!$A$5:$A$29,0))+$E724,0)),"")</f>
        <v/>
      </c>
      <c r="I724" s="26">
        <f>IF($B724='Perfil'!$B$3,COUNTIF($B$4:$B724,'Perfil'!$B$3),"")</f>
        <v/>
      </c>
    </row>
    <row r="725">
      <c r="A725" s="22" t="n"/>
      <c r="B725" s="23" t="n"/>
      <c r="C725" s="23" t="n"/>
      <c r="D725" s="24" t="n"/>
      <c r="E725" s="24" t="n"/>
      <c r="F725" s="23" t="n"/>
      <c r="G725" s="19">
        <f>IFERROR(IF(OR($B725="",$C725=""),"",IF(MATCH($C725,'Ajustes'!$A$5:$A$8,0)&lt;=2,$D725*INDEX('Ajustes'!$C$5:$C$6,MATCH($C725,'Ajustes'!$A$5:$A$8,0)),IF(MATCH($C725,'Ajustes'!$A$5:$A$8,0)=3,-($D725+$E725*INDEX('Equipo'!$B$5:$B$29,MATCH($B725,'Equipo'!$A$5:$A$29,0))),0))),"")</f>
        <v/>
      </c>
      <c r="H725" s="25">
        <f>IFERROR(IF(OR($B725="",$C725=""),"",IF(MATCH($C725,'Ajustes'!$A$5:$A$8,0)=4,$D725/INDEX('Equipo'!$B$5:$B$29,MATCH($B725,'Equipo'!$A$5:$A$29,0))+$E725,0)),"")</f>
        <v/>
      </c>
      <c r="I725" s="26">
        <f>IF($B725='Perfil'!$B$3,COUNTIF($B$4:$B725,'Perfil'!$B$3),"")</f>
        <v/>
      </c>
    </row>
    <row r="726">
      <c r="A726" s="22" t="n"/>
      <c r="B726" s="23" t="n"/>
      <c r="C726" s="23" t="n"/>
      <c r="D726" s="24" t="n"/>
      <c r="E726" s="24" t="n"/>
      <c r="F726" s="23" t="n"/>
      <c r="G726" s="19">
        <f>IFERROR(IF(OR($B726="",$C726=""),"",IF(MATCH($C726,'Ajustes'!$A$5:$A$8,0)&lt;=2,$D726*INDEX('Ajustes'!$C$5:$C$6,MATCH($C726,'Ajustes'!$A$5:$A$8,0)),IF(MATCH($C726,'Ajustes'!$A$5:$A$8,0)=3,-($D726+$E726*INDEX('Equipo'!$B$5:$B$29,MATCH($B726,'Equipo'!$A$5:$A$29,0))),0))),"")</f>
        <v/>
      </c>
      <c r="H726" s="25">
        <f>IFERROR(IF(OR($B726="",$C726=""),"",IF(MATCH($C726,'Ajustes'!$A$5:$A$8,0)=4,$D726/INDEX('Equipo'!$B$5:$B$29,MATCH($B726,'Equipo'!$A$5:$A$29,0))+$E726,0)),"")</f>
        <v/>
      </c>
      <c r="I726" s="26">
        <f>IF($B726='Perfil'!$B$3,COUNTIF($B$4:$B726,'Perfil'!$B$3),"")</f>
        <v/>
      </c>
    </row>
    <row r="727">
      <c r="A727" s="22" t="n"/>
      <c r="B727" s="23" t="n"/>
      <c r="C727" s="23" t="n"/>
      <c r="D727" s="24" t="n"/>
      <c r="E727" s="24" t="n"/>
      <c r="F727" s="23" t="n"/>
      <c r="G727" s="19">
        <f>IFERROR(IF(OR($B727="",$C727=""),"",IF(MATCH($C727,'Ajustes'!$A$5:$A$8,0)&lt;=2,$D727*INDEX('Ajustes'!$C$5:$C$6,MATCH($C727,'Ajustes'!$A$5:$A$8,0)),IF(MATCH($C727,'Ajustes'!$A$5:$A$8,0)=3,-($D727+$E727*INDEX('Equipo'!$B$5:$B$29,MATCH($B727,'Equipo'!$A$5:$A$29,0))),0))),"")</f>
        <v/>
      </c>
      <c r="H727" s="25">
        <f>IFERROR(IF(OR($B727="",$C727=""),"",IF(MATCH($C727,'Ajustes'!$A$5:$A$8,0)=4,$D727/INDEX('Equipo'!$B$5:$B$29,MATCH($B727,'Equipo'!$A$5:$A$29,0))+$E727,0)),"")</f>
        <v/>
      </c>
      <c r="I727" s="26">
        <f>IF($B727='Perfil'!$B$3,COUNTIF($B$4:$B727,'Perfil'!$B$3),"")</f>
        <v/>
      </c>
    </row>
    <row r="728">
      <c r="A728" s="22" t="n"/>
      <c r="B728" s="23" t="n"/>
      <c r="C728" s="23" t="n"/>
      <c r="D728" s="24" t="n"/>
      <c r="E728" s="24" t="n"/>
      <c r="F728" s="23" t="n"/>
      <c r="G728" s="19">
        <f>IFERROR(IF(OR($B728="",$C728=""),"",IF(MATCH($C728,'Ajustes'!$A$5:$A$8,0)&lt;=2,$D728*INDEX('Ajustes'!$C$5:$C$6,MATCH($C728,'Ajustes'!$A$5:$A$8,0)),IF(MATCH($C728,'Ajustes'!$A$5:$A$8,0)=3,-($D728+$E728*INDEX('Equipo'!$B$5:$B$29,MATCH($B728,'Equipo'!$A$5:$A$29,0))),0))),"")</f>
        <v/>
      </c>
      <c r="H728" s="25">
        <f>IFERROR(IF(OR($B728="",$C728=""),"",IF(MATCH($C728,'Ajustes'!$A$5:$A$8,0)=4,$D728/INDEX('Equipo'!$B$5:$B$29,MATCH($B728,'Equipo'!$A$5:$A$29,0))+$E728,0)),"")</f>
        <v/>
      </c>
      <c r="I728" s="26">
        <f>IF($B728='Perfil'!$B$3,COUNTIF($B$4:$B728,'Perfil'!$B$3),"")</f>
        <v/>
      </c>
    </row>
    <row r="729">
      <c r="A729" s="22" t="n"/>
      <c r="B729" s="23" t="n"/>
      <c r="C729" s="23" t="n"/>
      <c r="D729" s="24" t="n"/>
      <c r="E729" s="24" t="n"/>
      <c r="F729" s="23" t="n"/>
      <c r="G729" s="19">
        <f>IFERROR(IF(OR($B729="",$C729=""),"",IF(MATCH($C729,'Ajustes'!$A$5:$A$8,0)&lt;=2,$D729*INDEX('Ajustes'!$C$5:$C$6,MATCH($C729,'Ajustes'!$A$5:$A$8,0)),IF(MATCH($C729,'Ajustes'!$A$5:$A$8,0)=3,-($D729+$E729*INDEX('Equipo'!$B$5:$B$29,MATCH($B729,'Equipo'!$A$5:$A$29,0))),0))),"")</f>
        <v/>
      </c>
      <c r="H729" s="25">
        <f>IFERROR(IF(OR($B729="",$C729=""),"",IF(MATCH($C729,'Ajustes'!$A$5:$A$8,0)=4,$D729/INDEX('Equipo'!$B$5:$B$29,MATCH($B729,'Equipo'!$A$5:$A$29,0))+$E729,0)),"")</f>
        <v/>
      </c>
      <c r="I729" s="26">
        <f>IF($B729='Perfil'!$B$3,COUNTIF($B$4:$B729,'Perfil'!$B$3),"")</f>
        <v/>
      </c>
    </row>
    <row r="730">
      <c r="A730" s="22" t="n"/>
      <c r="B730" s="23" t="n"/>
      <c r="C730" s="23" t="n"/>
      <c r="D730" s="24" t="n"/>
      <c r="E730" s="24" t="n"/>
      <c r="F730" s="23" t="n"/>
      <c r="G730" s="19">
        <f>IFERROR(IF(OR($B730="",$C730=""),"",IF(MATCH($C730,'Ajustes'!$A$5:$A$8,0)&lt;=2,$D730*INDEX('Ajustes'!$C$5:$C$6,MATCH($C730,'Ajustes'!$A$5:$A$8,0)),IF(MATCH($C730,'Ajustes'!$A$5:$A$8,0)=3,-($D730+$E730*INDEX('Equipo'!$B$5:$B$29,MATCH($B730,'Equipo'!$A$5:$A$29,0))),0))),"")</f>
        <v/>
      </c>
      <c r="H730" s="25">
        <f>IFERROR(IF(OR($B730="",$C730=""),"",IF(MATCH($C730,'Ajustes'!$A$5:$A$8,0)=4,$D730/INDEX('Equipo'!$B$5:$B$29,MATCH($B730,'Equipo'!$A$5:$A$29,0))+$E730,0)),"")</f>
        <v/>
      </c>
      <c r="I730" s="26">
        <f>IF($B730='Perfil'!$B$3,COUNTIF($B$4:$B730,'Perfil'!$B$3),"")</f>
        <v/>
      </c>
    </row>
    <row r="731">
      <c r="A731" s="22" t="n"/>
      <c r="B731" s="23" t="n"/>
      <c r="C731" s="23" t="n"/>
      <c r="D731" s="24" t="n"/>
      <c r="E731" s="24" t="n"/>
      <c r="F731" s="23" t="n"/>
      <c r="G731" s="19">
        <f>IFERROR(IF(OR($B731="",$C731=""),"",IF(MATCH($C731,'Ajustes'!$A$5:$A$8,0)&lt;=2,$D731*INDEX('Ajustes'!$C$5:$C$6,MATCH($C731,'Ajustes'!$A$5:$A$8,0)),IF(MATCH($C731,'Ajustes'!$A$5:$A$8,0)=3,-($D731+$E731*INDEX('Equipo'!$B$5:$B$29,MATCH($B731,'Equipo'!$A$5:$A$29,0))),0))),"")</f>
        <v/>
      </c>
      <c r="H731" s="25">
        <f>IFERROR(IF(OR($B731="",$C731=""),"",IF(MATCH($C731,'Ajustes'!$A$5:$A$8,0)=4,$D731/INDEX('Equipo'!$B$5:$B$29,MATCH($B731,'Equipo'!$A$5:$A$29,0))+$E731,0)),"")</f>
        <v/>
      </c>
      <c r="I731" s="26">
        <f>IF($B731='Perfil'!$B$3,COUNTIF($B$4:$B731,'Perfil'!$B$3),"")</f>
        <v/>
      </c>
    </row>
    <row r="732">
      <c r="A732" s="22" t="n"/>
      <c r="B732" s="23" t="n"/>
      <c r="C732" s="23" t="n"/>
      <c r="D732" s="24" t="n"/>
      <c r="E732" s="24" t="n"/>
      <c r="F732" s="23" t="n"/>
      <c r="G732" s="19">
        <f>IFERROR(IF(OR($B732="",$C732=""),"",IF(MATCH($C732,'Ajustes'!$A$5:$A$8,0)&lt;=2,$D732*INDEX('Ajustes'!$C$5:$C$6,MATCH($C732,'Ajustes'!$A$5:$A$8,0)),IF(MATCH($C732,'Ajustes'!$A$5:$A$8,0)=3,-($D732+$E732*INDEX('Equipo'!$B$5:$B$29,MATCH($B732,'Equipo'!$A$5:$A$29,0))),0))),"")</f>
        <v/>
      </c>
      <c r="H732" s="25">
        <f>IFERROR(IF(OR($B732="",$C732=""),"",IF(MATCH($C732,'Ajustes'!$A$5:$A$8,0)=4,$D732/INDEX('Equipo'!$B$5:$B$29,MATCH($B732,'Equipo'!$A$5:$A$29,0))+$E732,0)),"")</f>
        <v/>
      </c>
      <c r="I732" s="26">
        <f>IF($B732='Perfil'!$B$3,COUNTIF($B$4:$B732,'Perfil'!$B$3),"")</f>
        <v/>
      </c>
    </row>
    <row r="733">
      <c r="A733" s="22" t="n"/>
      <c r="B733" s="23" t="n"/>
      <c r="C733" s="23" t="n"/>
      <c r="D733" s="24" t="n"/>
      <c r="E733" s="24" t="n"/>
      <c r="F733" s="23" t="n"/>
      <c r="G733" s="19">
        <f>IFERROR(IF(OR($B733="",$C733=""),"",IF(MATCH($C733,'Ajustes'!$A$5:$A$8,0)&lt;=2,$D733*INDEX('Ajustes'!$C$5:$C$6,MATCH($C733,'Ajustes'!$A$5:$A$8,0)),IF(MATCH($C733,'Ajustes'!$A$5:$A$8,0)=3,-($D733+$E733*INDEX('Equipo'!$B$5:$B$29,MATCH($B733,'Equipo'!$A$5:$A$29,0))),0))),"")</f>
        <v/>
      </c>
      <c r="H733" s="25">
        <f>IFERROR(IF(OR($B733="",$C733=""),"",IF(MATCH($C733,'Ajustes'!$A$5:$A$8,0)=4,$D733/INDEX('Equipo'!$B$5:$B$29,MATCH($B733,'Equipo'!$A$5:$A$29,0))+$E733,0)),"")</f>
        <v/>
      </c>
      <c r="I733" s="26">
        <f>IF($B733='Perfil'!$B$3,COUNTIF($B$4:$B733,'Perfil'!$B$3),"")</f>
        <v/>
      </c>
    </row>
    <row r="734">
      <c r="A734" s="22" t="n"/>
      <c r="B734" s="23" t="n"/>
      <c r="C734" s="23" t="n"/>
      <c r="D734" s="24" t="n"/>
      <c r="E734" s="24" t="n"/>
      <c r="F734" s="23" t="n"/>
      <c r="G734" s="19">
        <f>IFERROR(IF(OR($B734="",$C734=""),"",IF(MATCH($C734,'Ajustes'!$A$5:$A$8,0)&lt;=2,$D734*INDEX('Ajustes'!$C$5:$C$6,MATCH($C734,'Ajustes'!$A$5:$A$8,0)),IF(MATCH($C734,'Ajustes'!$A$5:$A$8,0)=3,-($D734+$E734*INDEX('Equipo'!$B$5:$B$29,MATCH($B734,'Equipo'!$A$5:$A$29,0))),0))),"")</f>
        <v/>
      </c>
      <c r="H734" s="25">
        <f>IFERROR(IF(OR($B734="",$C734=""),"",IF(MATCH($C734,'Ajustes'!$A$5:$A$8,0)=4,$D734/INDEX('Equipo'!$B$5:$B$29,MATCH($B734,'Equipo'!$A$5:$A$29,0))+$E734,0)),"")</f>
        <v/>
      </c>
      <c r="I734" s="26">
        <f>IF($B734='Perfil'!$B$3,COUNTIF($B$4:$B734,'Perfil'!$B$3),"")</f>
        <v/>
      </c>
    </row>
    <row r="735">
      <c r="A735" s="22" t="n"/>
      <c r="B735" s="23" t="n"/>
      <c r="C735" s="23" t="n"/>
      <c r="D735" s="24" t="n"/>
      <c r="E735" s="24" t="n"/>
      <c r="F735" s="23" t="n"/>
      <c r="G735" s="19">
        <f>IFERROR(IF(OR($B735="",$C735=""),"",IF(MATCH($C735,'Ajustes'!$A$5:$A$8,0)&lt;=2,$D735*INDEX('Ajustes'!$C$5:$C$6,MATCH($C735,'Ajustes'!$A$5:$A$8,0)),IF(MATCH($C735,'Ajustes'!$A$5:$A$8,0)=3,-($D735+$E735*INDEX('Equipo'!$B$5:$B$29,MATCH($B735,'Equipo'!$A$5:$A$29,0))),0))),"")</f>
        <v/>
      </c>
      <c r="H735" s="25">
        <f>IFERROR(IF(OR($B735="",$C735=""),"",IF(MATCH($C735,'Ajustes'!$A$5:$A$8,0)=4,$D735/INDEX('Equipo'!$B$5:$B$29,MATCH($B735,'Equipo'!$A$5:$A$29,0))+$E735,0)),"")</f>
        <v/>
      </c>
      <c r="I735" s="26">
        <f>IF($B735='Perfil'!$B$3,COUNTIF($B$4:$B735,'Perfil'!$B$3),"")</f>
        <v/>
      </c>
    </row>
    <row r="736">
      <c r="A736" s="22" t="n"/>
      <c r="B736" s="23" t="n"/>
      <c r="C736" s="23" t="n"/>
      <c r="D736" s="24" t="n"/>
      <c r="E736" s="24" t="n"/>
      <c r="F736" s="23" t="n"/>
      <c r="G736" s="19">
        <f>IFERROR(IF(OR($B736="",$C736=""),"",IF(MATCH($C736,'Ajustes'!$A$5:$A$8,0)&lt;=2,$D736*INDEX('Ajustes'!$C$5:$C$6,MATCH($C736,'Ajustes'!$A$5:$A$8,0)),IF(MATCH($C736,'Ajustes'!$A$5:$A$8,0)=3,-($D736+$E736*INDEX('Equipo'!$B$5:$B$29,MATCH($B736,'Equipo'!$A$5:$A$29,0))),0))),"")</f>
        <v/>
      </c>
      <c r="H736" s="25">
        <f>IFERROR(IF(OR($B736="",$C736=""),"",IF(MATCH($C736,'Ajustes'!$A$5:$A$8,0)=4,$D736/INDEX('Equipo'!$B$5:$B$29,MATCH($B736,'Equipo'!$A$5:$A$29,0))+$E736,0)),"")</f>
        <v/>
      </c>
      <c r="I736" s="26">
        <f>IF($B736='Perfil'!$B$3,COUNTIF($B$4:$B736,'Perfil'!$B$3),"")</f>
        <v/>
      </c>
    </row>
    <row r="737">
      <c r="A737" s="22" t="n"/>
      <c r="B737" s="23" t="n"/>
      <c r="C737" s="23" t="n"/>
      <c r="D737" s="24" t="n"/>
      <c r="E737" s="24" t="n"/>
      <c r="F737" s="23" t="n"/>
      <c r="G737" s="19">
        <f>IFERROR(IF(OR($B737="",$C737=""),"",IF(MATCH($C737,'Ajustes'!$A$5:$A$8,0)&lt;=2,$D737*INDEX('Ajustes'!$C$5:$C$6,MATCH($C737,'Ajustes'!$A$5:$A$8,0)),IF(MATCH($C737,'Ajustes'!$A$5:$A$8,0)=3,-($D737+$E737*INDEX('Equipo'!$B$5:$B$29,MATCH($B737,'Equipo'!$A$5:$A$29,0))),0))),"")</f>
        <v/>
      </c>
      <c r="H737" s="25">
        <f>IFERROR(IF(OR($B737="",$C737=""),"",IF(MATCH($C737,'Ajustes'!$A$5:$A$8,0)=4,$D737/INDEX('Equipo'!$B$5:$B$29,MATCH($B737,'Equipo'!$A$5:$A$29,0))+$E737,0)),"")</f>
        <v/>
      </c>
      <c r="I737" s="26">
        <f>IF($B737='Perfil'!$B$3,COUNTIF($B$4:$B737,'Perfil'!$B$3),"")</f>
        <v/>
      </c>
    </row>
    <row r="738">
      <c r="A738" s="22" t="n"/>
      <c r="B738" s="23" t="n"/>
      <c r="C738" s="23" t="n"/>
      <c r="D738" s="24" t="n"/>
      <c r="E738" s="24" t="n"/>
      <c r="F738" s="23" t="n"/>
      <c r="G738" s="19">
        <f>IFERROR(IF(OR($B738="",$C738=""),"",IF(MATCH($C738,'Ajustes'!$A$5:$A$8,0)&lt;=2,$D738*INDEX('Ajustes'!$C$5:$C$6,MATCH($C738,'Ajustes'!$A$5:$A$8,0)),IF(MATCH($C738,'Ajustes'!$A$5:$A$8,0)=3,-($D738+$E738*INDEX('Equipo'!$B$5:$B$29,MATCH($B738,'Equipo'!$A$5:$A$29,0))),0))),"")</f>
        <v/>
      </c>
      <c r="H738" s="25">
        <f>IFERROR(IF(OR($B738="",$C738=""),"",IF(MATCH($C738,'Ajustes'!$A$5:$A$8,0)=4,$D738/INDEX('Equipo'!$B$5:$B$29,MATCH($B738,'Equipo'!$A$5:$A$29,0))+$E738,0)),"")</f>
        <v/>
      </c>
      <c r="I738" s="26">
        <f>IF($B738='Perfil'!$B$3,COUNTIF($B$4:$B738,'Perfil'!$B$3),"")</f>
        <v/>
      </c>
    </row>
    <row r="739">
      <c r="A739" s="22" t="n"/>
      <c r="B739" s="23" t="n"/>
      <c r="C739" s="23" t="n"/>
      <c r="D739" s="24" t="n"/>
      <c r="E739" s="24" t="n"/>
      <c r="F739" s="23" t="n"/>
      <c r="G739" s="19">
        <f>IFERROR(IF(OR($B739="",$C739=""),"",IF(MATCH($C739,'Ajustes'!$A$5:$A$8,0)&lt;=2,$D739*INDEX('Ajustes'!$C$5:$C$6,MATCH($C739,'Ajustes'!$A$5:$A$8,0)),IF(MATCH($C739,'Ajustes'!$A$5:$A$8,0)=3,-($D739+$E739*INDEX('Equipo'!$B$5:$B$29,MATCH($B739,'Equipo'!$A$5:$A$29,0))),0))),"")</f>
        <v/>
      </c>
      <c r="H739" s="25">
        <f>IFERROR(IF(OR($B739="",$C739=""),"",IF(MATCH($C739,'Ajustes'!$A$5:$A$8,0)=4,$D739/INDEX('Equipo'!$B$5:$B$29,MATCH($B739,'Equipo'!$A$5:$A$29,0))+$E739,0)),"")</f>
        <v/>
      </c>
      <c r="I739" s="26">
        <f>IF($B739='Perfil'!$B$3,COUNTIF($B$4:$B739,'Perfil'!$B$3),"")</f>
        <v/>
      </c>
    </row>
    <row r="740">
      <c r="A740" s="22" t="n"/>
      <c r="B740" s="23" t="n"/>
      <c r="C740" s="23" t="n"/>
      <c r="D740" s="24" t="n"/>
      <c r="E740" s="24" t="n"/>
      <c r="F740" s="23" t="n"/>
      <c r="G740" s="19">
        <f>IFERROR(IF(OR($B740="",$C740=""),"",IF(MATCH($C740,'Ajustes'!$A$5:$A$8,0)&lt;=2,$D740*INDEX('Ajustes'!$C$5:$C$6,MATCH($C740,'Ajustes'!$A$5:$A$8,0)),IF(MATCH($C740,'Ajustes'!$A$5:$A$8,0)=3,-($D740+$E740*INDEX('Equipo'!$B$5:$B$29,MATCH($B740,'Equipo'!$A$5:$A$29,0))),0))),"")</f>
        <v/>
      </c>
      <c r="H740" s="25">
        <f>IFERROR(IF(OR($B740="",$C740=""),"",IF(MATCH($C740,'Ajustes'!$A$5:$A$8,0)=4,$D740/INDEX('Equipo'!$B$5:$B$29,MATCH($B740,'Equipo'!$A$5:$A$29,0))+$E740,0)),"")</f>
        <v/>
      </c>
      <c r="I740" s="26">
        <f>IF($B740='Perfil'!$B$3,COUNTIF($B$4:$B740,'Perfil'!$B$3),"")</f>
        <v/>
      </c>
    </row>
    <row r="741">
      <c r="A741" s="22" t="n"/>
      <c r="B741" s="23" t="n"/>
      <c r="C741" s="23" t="n"/>
      <c r="D741" s="24" t="n"/>
      <c r="E741" s="24" t="n"/>
      <c r="F741" s="23" t="n"/>
      <c r="G741" s="19">
        <f>IFERROR(IF(OR($B741="",$C741=""),"",IF(MATCH($C741,'Ajustes'!$A$5:$A$8,0)&lt;=2,$D741*INDEX('Ajustes'!$C$5:$C$6,MATCH($C741,'Ajustes'!$A$5:$A$8,0)),IF(MATCH($C741,'Ajustes'!$A$5:$A$8,0)=3,-($D741+$E741*INDEX('Equipo'!$B$5:$B$29,MATCH($B741,'Equipo'!$A$5:$A$29,0))),0))),"")</f>
        <v/>
      </c>
      <c r="H741" s="25">
        <f>IFERROR(IF(OR($B741="",$C741=""),"",IF(MATCH($C741,'Ajustes'!$A$5:$A$8,0)=4,$D741/INDEX('Equipo'!$B$5:$B$29,MATCH($B741,'Equipo'!$A$5:$A$29,0))+$E741,0)),"")</f>
        <v/>
      </c>
      <c r="I741" s="26">
        <f>IF($B741='Perfil'!$B$3,COUNTIF($B$4:$B741,'Perfil'!$B$3),"")</f>
        <v/>
      </c>
    </row>
    <row r="742">
      <c r="A742" s="22" t="n"/>
      <c r="B742" s="23" t="n"/>
      <c r="C742" s="23" t="n"/>
      <c r="D742" s="24" t="n"/>
      <c r="E742" s="24" t="n"/>
      <c r="F742" s="23" t="n"/>
      <c r="G742" s="19">
        <f>IFERROR(IF(OR($B742="",$C742=""),"",IF(MATCH($C742,'Ajustes'!$A$5:$A$8,0)&lt;=2,$D742*INDEX('Ajustes'!$C$5:$C$6,MATCH($C742,'Ajustes'!$A$5:$A$8,0)),IF(MATCH($C742,'Ajustes'!$A$5:$A$8,0)=3,-($D742+$E742*INDEX('Equipo'!$B$5:$B$29,MATCH($B742,'Equipo'!$A$5:$A$29,0))),0))),"")</f>
        <v/>
      </c>
      <c r="H742" s="25">
        <f>IFERROR(IF(OR($B742="",$C742=""),"",IF(MATCH($C742,'Ajustes'!$A$5:$A$8,0)=4,$D742/INDEX('Equipo'!$B$5:$B$29,MATCH($B742,'Equipo'!$A$5:$A$29,0))+$E742,0)),"")</f>
        <v/>
      </c>
      <c r="I742" s="26">
        <f>IF($B742='Perfil'!$B$3,COUNTIF($B$4:$B742,'Perfil'!$B$3),"")</f>
        <v/>
      </c>
    </row>
    <row r="743">
      <c r="A743" s="22" t="n"/>
      <c r="B743" s="23" t="n"/>
      <c r="C743" s="23" t="n"/>
      <c r="D743" s="24" t="n"/>
      <c r="E743" s="24" t="n"/>
      <c r="F743" s="23" t="n"/>
      <c r="G743" s="19">
        <f>IFERROR(IF(OR($B743="",$C743=""),"",IF(MATCH($C743,'Ajustes'!$A$5:$A$8,0)&lt;=2,$D743*INDEX('Ajustes'!$C$5:$C$6,MATCH($C743,'Ajustes'!$A$5:$A$8,0)),IF(MATCH($C743,'Ajustes'!$A$5:$A$8,0)=3,-($D743+$E743*INDEX('Equipo'!$B$5:$B$29,MATCH($B743,'Equipo'!$A$5:$A$29,0))),0))),"")</f>
        <v/>
      </c>
      <c r="H743" s="25">
        <f>IFERROR(IF(OR($B743="",$C743=""),"",IF(MATCH($C743,'Ajustes'!$A$5:$A$8,0)=4,$D743/INDEX('Equipo'!$B$5:$B$29,MATCH($B743,'Equipo'!$A$5:$A$29,0))+$E743,0)),"")</f>
        <v/>
      </c>
      <c r="I743" s="26">
        <f>IF($B743='Perfil'!$B$3,COUNTIF($B$4:$B743,'Perfil'!$B$3),"")</f>
        <v/>
      </c>
    </row>
    <row r="744">
      <c r="A744" s="22" t="n"/>
      <c r="B744" s="23" t="n"/>
      <c r="C744" s="23" t="n"/>
      <c r="D744" s="24" t="n"/>
      <c r="E744" s="24" t="n"/>
      <c r="F744" s="23" t="n"/>
      <c r="G744" s="19">
        <f>IFERROR(IF(OR($B744="",$C744=""),"",IF(MATCH($C744,'Ajustes'!$A$5:$A$8,0)&lt;=2,$D744*INDEX('Ajustes'!$C$5:$C$6,MATCH($C744,'Ajustes'!$A$5:$A$8,0)),IF(MATCH($C744,'Ajustes'!$A$5:$A$8,0)=3,-($D744+$E744*INDEX('Equipo'!$B$5:$B$29,MATCH($B744,'Equipo'!$A$5:$A$29,0))),0))),"")</f>
        <v/>
      </c>
      <c r="H744" s="25">
        <f>IFERROR(IF(OR($B744="",$C744=""),"",IF(MATCH($C744,'Ajustes'!$A$5:$A$8,0)=4,$D744/INDEX('Equipo'!$B$5:$B$29,MATCH($B744,'Equipo'!$A$5:$A$29,0))+$E744,0)),"")</f>
        <v/>
      </c>
      <c r="I744" s="26">
        <f>IF($B744='Perfil'!$B$3,COUNTIF($B$4:$B744,'Perfil'!$B$3),"")</f>
        <v/>
      </c>
    </row>
    <row r="745">
      <c r="A745" s="22" t="n"/>
      <c r="B745" s="23" t="n"/>
      <c r="C745" s="23" t="n"/>
      <c r="D745" s="24" t="n"/>
      <c r="E745" s="24" t="n"/>
      <c r="F745" s="23" t="n"/>
      <c r="G745" s="19">
        <f>IFERROR(IF(OR($B745="",$C745=""),"",IF(MATCH($C745,'Ajustes'!$A$5:$A$8,0)&lt;=2,$D745*INDEX('Ajustes'!$C$5:$C$6,MATCH($C745,'Ajustes'!$A$5:$A$8,0)),IF(MATCH($C745,'Ajustes'!$A$5:$A$8,0)=3,-($D745+$E745*INDEX('Equipo'!$B$5:$B$29,MATCH($B745,'Equipo'!$A$5:$A$29,0))),0))),"")</f>
        <v/>
      </c>
      <c r="H745" s="25">
        <f>IFERROR(IF(OR($B745="",$C745=""),"",IF(MATCH($C745,'Ajustes'!$A$5:$A$8,0)=4,$D745/INDEX('Equipo'!$B$5:$B$29,MATCH($B745,'Equipo'!$A$5:$A$29,0))+$E745,0)),"")</f>
        <v/>
      </c>
      <c r="I745" s="26">
        <f>IF($B745='Perfil'!$B$3,COUNTIF($B$4:$B745,'Perfil'!$B$3),"")</f>
        <v/>
      </c>
    </row>
    <row r="746">
      <c r="A746" s="22" t="n"/>
      <c r="B746" s="23" t="n"/>
      <c r="C746" s="23" t="n"/>
      <c r="D746" s="24" t="n"/>
      <c r="E746" s="24" t="n"/>
      <c r="F746" s="23" t="n"/>
      <c r="G746" s="19">
        <f>IFERROR(IF(OR($B746="",$C746=""),"",IF(MATCH($C746,'Ajustes'!$A$5:$A$8,0)&lt;=2,$D746*INDEX('Ajustes'!$C$5:$C$6,MATCH($C746,'Ajustes'!$A$5:$A$8,0)),IF(MATCH($C746,'Ajustes'!$A$5:$A$8,0)=3,-($D746+$E746*INDEX('Equipo'!$B$5:$B$29,MATCH($B746,'Equipo'!$A$5:$A$29,0))),0))),"")</f>
        <v/>
      </c>
      <c r="H746" s="25">
        <f>IFERROR(IF(OR($B746="",$C746=""),"",IF(MATCH($C746,'Ajustes'!$A$5:$A$8,0)=4,$D746/INDEX('Equipo'!$B$5:$B$29,MATCH($B746,'Equipo'!$A$5:$A$29,0))+$E746,0)),"")</f>
        <v/>
      </c>
      <c r="I746" s="26">
        <f>IF($B746='Perfil'!$B$3,COUNTIF($B$4:$B746,'Perfil'!$B$3),"")</f>
        <v/>
      </c>
    </row>
    <row r="747">
      <c r="A747" s="22" t="n"/>
      <c r="B747" s="23" t="n"/>
      <c r="C747" s="23" t="n"/>
      <c r="D747" s="24" t="n"/>
      <c r="E747" s="24" t="n"/>
      <c r="F747" s="23" t="n"/>
      <c r="G747" s="19">
        <f>IFERROR(IF(OR($B747="",$C747=""),"",IF(MATCH($C747,'Ajustes'!$A$5:$A$8,0)&lt;=2,$D747*INDEX('Ajustes'!$C$5:$C$6,MATCH($C747,'Ajustes'!$A$5:$A$8,0)),IF(MATCH($C747,'Ajustes'!$A$5:$A$8,0)=3,-($D747+$E747*INDEX('Equipo'!$B$5:$B$29,MATCH($B747,'Equipo'!$A$5:$A$29,0))),0))),"")</f>
        <v/>
      </c>
      <c r="H747" s="25">
        <f>IFERROR(IF(OR($B747="",$C747=""),"",IF(MATCH($C747,'Ajustes'!$A$5:$A$8,0)=4,$D747/INDEX('Equipo'!$B$5:$B$29,MATCH($B747,'Equipo'!$A$5:$A$29,0))+$E747,0)),"")</f>
        <v/>
      </c>
      <c r="I747" s="26">
        <f>IF($B747='Perfil'!$B$3,COUNTIF($B$4:$B747,'Perfil'!$B$3),"")</f>
        <v/>
      </c>
    </row>
    <row r="748">
      <c r="A748" s="22" t="n"/>
      <c r="B748" s="23" t="n"/>
      <c r="C748" s="23" t="n"/>
      <c r="D748" s="24" t="n"/>
      <c r="E748" s="24" t="n"/>
      <c r="F748" s="23" t="n"/>
      <c r="G748" s="19">
        <f>IFERROR(IF(OR($B748="",$C748=""),"",IF(MATCH($C748,'Ajustes'!$A$5:$A$8,0)&lt;=2,$D748*INDEX('Ajustes'!$C$5:$C$6,MATCH($C748,'Ajustes'!$A$5:$A$8,0)),IF(MATCH($C748,'Ajustes'!$A$5:$A$8,0)=3,-($D748+$E748*INDEX('Equipo'!$B$5:$B$29,MATCH($B748,'Equipo'!$A$5:$A$29,0))),0))),"")</f>
        <v/>
      </c>
      <c r="H748" s="25">
        <f>IFERROR(IF(OR($B748="",$C748=""),"",IF(MATCH($C748,'Ajustes'!$A$5:$A$8,0)=4,$D748/INDEX('Equipo'!$B$5:$B$29,MATCH($B748,'Equipo'!$A$5:$A$29,0))+$E748,0)),"")</f>
        <v/>
      </c>
      <c r="I748" s="26">
        <f>IF($B748='Perfil'!$B$3,COUNTIF($B$4:$B748,'Perfil'!$B$3),"")</f>
        <v/>
      </c>
    </row>
    <row r="749">
      <c r="A749" s="22" t="n"/>
      <c r="B749" s="23" t="n"/>
      <c r="C749" s="23" t="n"/>
      <c r="D749" s="24" t="n"/>
      <c r="E749" s="24" t="n"/>
      <c r="F749" s="23" t="n"/>
      <c r="G749" s="19">
        <f>IFERROR(IF(OR($B749="",$C749=""),"",IF(MATCH($C749,'Ajustes'!$A$5:$A$8,0)&lt;=2,$D749*INDEX('Ajustes'!$C$5:$C$6,MATCH($C749,'Ajustes'!$A$5:$A$8,0)),IF(MATCH($C749,'Ajustes'!$A$5:$A$8,0)=3,-($D749+$E749*INDEX('Equipo'!$B$5:$B$29,MATCH($B749,'Equipo'!$A$5:$A$29,0))),0))),"")</f>
        <v/>
      </c>
      <c r="H749" s="25">
        <f>IFERROR(IF(OR($B749="",$C749=""),"",IF(MATCH($C749,'Ajustes'!$A$5:$A$8,0)=4,$D749/INDEX('Equipo'!$B$5:$B$29,MATCH($B749,'Equipo'!$A$5:$A$29,0))+$E749,0)),"")</f>
        <v/>
      </c>
      <c r="I749" s="26">
        <f>IF($B749='Perfil'!$B$3,COUNTIF($B$4:$B749,'Perfil'!$B$3),"")</f>
        <v/>
      </c>
    </row>
    <row r="750">
      <c r="A750" s="22" t="n"/>
      <c r="B750" s="23" t="n"/>
      <c r="C750" s="23" t="n"/>
      <c r="D750" s="24" t="n"/>
      <c r="E750" s="24" t="n"/>
      <c r="F750" s="23" t="n"/>
      <c r="G750" s="19">
        <f>IFERROR(IF(OR($B750="",$C750=""),"",IF(MATCH($C750,'Ajustes'!$A$5:$A$8,0)&lt;=2,$D750*INDEX('Ajustes'!$C$5:$C$6,MATCH($C750,'Ajustes'!$A$5:$A$8,0)),IF(MATCH($C750,'Ajustes'!$A$5:$A$8,0)=3,-($D750+$E750*INDEX('Equipo'!$B$5:$B$29,MATCH($B750,'Equipo'!$A$5:$A$29,0))),0))),"")</f>
        <v/>
      </c>
      <c r="H750" s="25">
        <f>IFERROR(IF(OR($B750="",$C750=""),"",IF(MATCH($C750,'Ajustes'!$A$5:$A$8,0)=4,$D750/INDEX('Equipo'!$B$5:$B$29,MATCH($B750,'Equipo'!$A$5:$A$29,0))+$E750,0)),"")</f>
        <v/>
      </c>
      <c r="I750" s="26">
        <f>IF($B750='Perfil'!$B$3,COUNTIF($B$4:$B750,'Perfil'!$B$3),"")</f>
        <v/>
      </c>
    </row>
    <row r="751">
      <c r="A751" s="22" t="n"/>
      <c r="B751" s="23" t="n"/>
      <c r="C751" s="23" t="n"/>
      <c r="D751" s="24" t="n"/>
      <c r="E751" s="24" t="n"/>
      <c r="F751" s="23" t="n"/>
      <c r="G751" s="19">
        <f>IFERROR(IF(OR($B751="",$C751=""),"",IF(MATCH($C751,'Ajustes'!$A$5:$A$8,0)&lt;=2,$D751*INDEX('Ajustes'!$C$5:$C$6,MATCH($C751,'Ajustes'!$A$5:$A$8,0)),IF(MATCH($C751,'Ajustes'!$A$5:$A$8,0)=3,-($D751+$E751*INDEX('Equipo'!$B$5:$B$29,MATCH($B751,'Equipo'!$A$5:$A$29,0))),0))),"")</f>
        <v/>
      </c>
      <c r="H751" s="25">
        <f>IFERROR(IF(OR($B751="",$C751=""),"",IF(MATCH($C751,'Ajustes'!$A$5:$A$8,0)=4,$D751/INDEX('Equipo'!$B$5:$B$29,MATCH($B751,'Equipo'!$A$5:$A$29,0))+$E751,0)),"")</f>
        <v/>
      </c>
      <c r="I751" s="26">
        <f>IF($B751='Perfil'!$B$3,COUNTIF($B$4:$B751,'Perfil'!$B$3),"")</f>
        <v/>
      </c>
    </row>
    <row r="752">
      <c r="A752" s="22" t="n"/>
      <c r="B752" s="23" t="n"/>
      <c r="C752" s="23" t="n"/>
      <c r="D752" s="24" t="n"/>
      <c r="E752" s="24" t="n"/>
      <c r="F752" s="23" t="n"/>
      <c r="G752" s="19">
        <f>IFERROR(IF(OR($B752="",$C752=""),"",IF(MATCH($C752,'Ajustes'!$A$5:$A$8,0)&lt;=2,$D752*INDEX('Ajustes'!$C$5:$C$6,MATCH($C752,'Ajustes'!$A$5:$A$8,0)),IF(MATCH($C752,'Ajustes'!$A$5:$A$8,0)=3,-($D752+$E752*INDEX('Equipo'!$B$5:$B$29,MATCH($B752,'Equipo'!$A$5:$A$29,0))),0))),"")</f>
        <v/>
      </c>
      <c r="H752" s="25">
        <f>IFERROR(IF(OR($B752="",$C752=""),"",IF(MATCH($C752,'Ajustes'!$A$5:$A$8,0)=4,$D752/INDEX('Equipo'!$B$5:$B$29,MATCH($B752,'Equipo'!$A$5:$A$29,0))+$E752,0)),"")</f>
        <v/>
      </c>
      <c r="I752" s="26">
        <f>IF($B752='Perfil'!$B$3,COUNTIF($B$4:$B752,'Perfil'!$B$3),"")</f>
        <v/>
      </c>
    </row>
    <row r="753">
      <c r="A753" s="22" t="n"/>
      <c r="B753" s="23" t="n"/>
      <c r="C753" s="23" t="n"/>
      <c r="D753" s="24" t="n"/>
      <c r="E753" s="24" t="n"/>
      <c r="F753" s="23" t="n"/>
      <c r="G753" s="19">
        <f>IFERROR(IF(OR($B753="",$C753=""),"",IF(MATCH($C753,'Ajustes'!$A$5:$A$8,0)&lt;=2,$D753*INDEX('Ajustes'!$C$5:$C$6,MATCH($C753,'Ajustes'!$A$5:$A$8,0)),IF(MATCH($C753,'Ajustes'!$A$5:$A$8,0)=3,-($D753+$E753*INDEX('Equipo'!$B$5:$B$29,MATCH($B753,'Equipo'!$A$5:$A$29,0))),0))),"")</f>
        <v/>
      </c>
      <c r="H753" s="25">
        <f>IFERROR(IF(OR($B753="",$C753=""),"",IF(MATCH($C753,'Ajustes'!$A$5:$A$8,0)=4,$D753/INDEX('Equipo'!$B$5:$B$29,MATCH($B753,'Equipo'!$A$5:$A$29,0))+$E753,0)),"")</f>
        <v/>
      </c>
      <c r="I753" s="26">
        <f>IF($B753='Perfil'!$B$3,COUNTIF($B$4:$B753,'Perfil'!$B$3),"")</f>
        <v/>
      </c>
    </row>
    <row r="754">
      <c r="A754" s="22" t="n"/>
      <c r="B754" s="23" t="n"/>
      <c r="C754" s="23" t="n"/>
      <c r="D754" s="24" t="n"/>
      <c r="E754" s="24" t="n"/>
      <c r="F754" s="23" t="n"/>
      <c r="G754" s="19">
        <f>IFERROR(IF(OR($B754="",$C754=""),"",IF(MATCH($C754,'Ajustes'!$A$5:$A$8,0)&lt;=2,$D754*INDEX('Ajustes'!$C$5:$C$6,MATCH($C754,'Ajustes'!$A$5:$A$8,0)),IF(MATCH($C754,'Ajustes'!$A$5:$A$8,0)=3,-($D754+$E754*INDEX('Equipo'!$B$5:$B$29,MATCH($B754,'Equipo'!$A$5:$A$29,0))),0))),"")</f>
        <v/>
      </c>
      <c r="H754" s="25">
        <f>IFERROR(IF(OR($B754="",$C754=""),"",IF(MATCH($C754,'Ajustes'!$A$5:$A$8,0)=4,$D754/INDEX('Equipo'!$B$5:$B$29,MATCH($B754,'Equipo'!$A$5:$A$29,0))+$E754,0)),"")</f>
        <v/>
      </c>
      <c r="I754" s="26">
        <f>IF($B754='Perfil'!$B$3,COUNTIF($B$4:$B754,'Perfil'!$B$3),"")</f>
        <v/>
      </c>
    </row>
    <row r="755">
      <c r="A755" s="22" t="n"/>
      <c r="B755" s="23" t="n"/>
      <c r="C755" s="23" t="n"/>
      <c r="D755" s="24" t="n"/>
      <c r="E755" s="24" t="n"/>
      <c r="F755" s="23" t="n"/>
      <c r="G755" s="19">
        <f>IFERROR(IF(OR($B755="",$C755=""),"",IF(MATCH($C755,'Ajustes'!$A$5:$A$8,0)&lt;=2,$D755*INDEX('Ajustes'!$C$5:$C$6,MATCH($C755,'Ajustes'!$A$5:$A$8,0)),IF(MATCH($C755,'Ajustes'!$A$5:$A$8,0)=3,-($D755+$E755*INDEX('Equipo'!$B$5:$B$29,MATCH($B755,'Equipo'!$A$5:$A$29,0))),0))),"")</f>
        <v/>
      </c>
      <c r="H755" s="25">
        <f>IFERROR(IF(OR($B755="",$C755=""),"",IF(MATCH($C755,'Ajustes'!$A$5:$A$8,0)=4,$D755/INDEX('Equipo'!$B$5:$B$29,MATCH($B755,'Equipo'!$A$5:$A$29,0))+$E755,0)),"")</f>
        <v/>
      </c>
      <c r="I755" s="26">
        <f>IF($B755='Perfil'!$B$3,COUNTIF($B$4:$B755,'Perfil'!$B$3),"")</f>
        <v/>
      </c>
    </row>
    <row r="756">
      <c r="A756" s="22" t="n"/>
      <c r="B756" s="23" t="n"/>
      <c r="C756" s="23" t="n"/>
      <c r="D756" s="24" t="n"/>
      <c r="E756" s="24" t="n"/>
      <c r="F756" s="23" t="n"/>
      <c r="G756" s="19">
        <f>IFERROR(IF(OR($B756="",$C756=""),"",IF(MATCH($C756,'Ajustes'!$A$5:$A$8,0)&lt;=2,$D756*INDEX('Ajustes'!$C$5:$C$6,MATCH($C756,'Ajustes'!$A$5:$A$8,0)),IF(MATCH($C756,'Ajustes'!$A$5:$A$8,0)=3,-($D756+$E756*INDEX('Equipo'!$B$5:$B$29,MATCH($B756,'Equipo'!$A$5:$A$29,0))),0))),"")</f>
        <v/>
      </c>
      <c r="H756" s="25">
        <f>IFERROR(IF(OR($B756="",$C756=""),"",IF(MATCH($C756,'Ajustes'!$A$5:$A$8,0)=4,$D756/INDEX('Equipo'!$B$5:$B$29,MATCH($B756,'Equipo'!$A$5:$A$29,0))+$E756,0)),"")</f>
        <v/>
      </c>
      <c r="I756" s="26">
        <f>IF($B756='Perfil'!$B$3,COUNTIF($B$4:$B756,'Perfil'!$B$3),"")</f>
        <v/>
      </c>
    </row>
    <row r="757">
      <c r="A757" s="22" t="n"/>
      <c r="B757" s="23" t="n"/>
      <c r="C757" s="23" t="n"/>
      <c r="D757" s="24" t="n"/>
      <c r="E757" s="24" t="n"/>
      <c r="F757" s="23" t="n"/>
      <c r="G757" s="19">
        <f>IFERROR(IF(OR($B757="",$C757=""),"",IF(MATCH($C757,'Ajustes'!$A$5:$A$8,0)&lt;=2,$D757*INDEX('Ajustes'!$C$5:$C$6,MATCH($C757,'Ajustes'!$A$5:$A$8,0)),IF(MATCH($C757,'Ajustes'!$A$5:$A$8,0)=3,-($D757+$E757*INDEX('Equipo'!$B$5:$B$29,MATCH($B757,'Equipo'!$A$5:$A$29,0))),0))),"")</f>
        <v/>
      </c>
      <c r="H757" s="25">
        <f>IFERROR(IF(OR($B757="",$C757=""),"",IF(MATCH($C757,'Ajustes'!$A$5:$A$8,0)=4,$D757/INDEX('Equipo'!$B$5:$B$29,MATCH($B757,'Equipo'!$A$5:$A$29,0))+$E757,0)),"")</f>
        <v/>
      </c>
      <c r="I757" s="26">
        <f>IF($B757='Perfil'!$B$3,COUNTIF($B$4:$B757,'Perfil'!$B$3),"")</f>
        <v/>
      </c>
    </row>
    <row r="758">
      <c r="A758" s="22" t="n"/>
      <c r="B758" s="23" t="n"/>
      <c r="C758" s="23" t="n"/>
      <c r="D758" s="24" t="n"/>
      <c r="E758" s="24" t="n"/>
      <c r="F758" s="23" t="n"/>
      <c r="G758" s="19">
        <f>IFERROR(IF(OR($B758="",$C758=""),"",IF(MATCH($C758,'Ajustes'!$A$5:$A$8,0)&lt;=2,$D758*INDEX('Ajustes'!$C$5:$C$6,MATCH($C758,'Ajustes'!$A$5:$A$8,0)),IF(MATCH($C758,'Ajustes'!$A$5:$A$8,0)=3,-($D758+$E758*INDEX('Equipo'!$B$5:$B$29,MATCH($B758,'Equipo'!$A$5:$A$29,0))),0))),"")</f>
        <v/>
      </c>
      <c r="H758" s="25">
        <f>IFERROR(IF(OR($B758="",$C758=""),"",IF(MATCH($C758,'Ajustes'!$A$5:$A$8,0)=4,$D758/INDEX('Equipo'!$B$5:$B$29,MATCH($B758,'Equipo'!$A$5:$A$29,0))+$E758,0)),"")</f>
        <v/>
      </c>
      <c r="I758" s="26">
        <f>IF($B758='Perfil'!$B$3,COUNTIF($B$4:$B758,'Perfil'!$B$3),"")</f>
        <v/>
      </c>
    </row>
    <row r="759">
      <c r="A759" s="22" t="n"/>
      <c r="B759" s="23" t="n"/>
      <c r="C759" s="23" t="n"/>
      <c r="D759" s="24" t="n"/>
      <c r="E759" s="24" t="n"/>
      <c r="F759" s="23" t="n"/>
      <c r="G759" s="19">
        <f>IFERROR(IF(OR($B759="",$C759=""),"",IF(MATCH($C759,'Ajustes'!$A$5:$A$8,0)&lt;=2,$D759*INDEX('Ajustes'!$C$5:$C$6,MATCH($C759,'Ajustes'!$A$5:$A$8,0)),IF(MATCH($C759,'Ajustes'!$A$5:$A$8,0)=3,-($D759+$E759*INDEX('Equipo'!$B$5:$B$29,MATCH($B759,'Equipo'!$A$5:$A$29,0))),0))),"")</f>
        <v/>
      </c>
      <c r="H759" s="25">
        <f>IFERROR(IF(OR($B759="",$C759=""),"",IF(MATCH($C759,'Ajustes'!$A$5:$A$8,0)=4,$D759/INDEX('Equipo'!$B$5:$B$29,MATCH($B759,'Equipo'!$A$5:$A$29,0))+$E759,0)),"")</f>
        <v/>
      </c>
      <c r="I759" s="26">
        <f>IF($B759='Perfil'!$B$3,COUNTIF($B$4:$B759,'Perfil'!$B$3),"")</f>
        <v/>
      </c>
    </row>
    <row r="760">
      <c r="A760" s="22" t="n"/>
      <c r="B760" s="23" t="n"/>
      <c r="C760" s="23" t="n"/>
      <c r="D760" s="24" t="n"/>
      <c r="E760" s="24" t="n"/>
      <c r="F760" s="23" t="n"/>
      <c r="G760" s="19">
        <f>IFERROR(IF(OR($B760="",$C760=""),"",IF(MATCH($C760,'Ajustes'!$A$5:$A$8,0)&lt;=2,$D760*INDEX('Ajustes'!$C$5:$C$6,MATCH($C760,'Ajustes'!$A$5:$A$8,0)),IF(MATCH($C760,'Ajustes'!$A$5:$A$8,0)=3,-($D760+$E760*INDEX('Equipo'!$B$5:$B$29,MATCH($B760,'Equipo'!$A$5:$A$29,0))),0))),"")</f>
        <v/>
      </c>
      <c r="H760" s="25">
        <f>IFERROR(IF(OR($B760="",$C760=""),"",IF(MATCH($C760,'Ajustes'!$A$5:$A$8,0)=4,$D760/INDEX('Equipo'!$B$5:$B$29,MATCH($B760,'Equipo'!$A$5:$A$29,0))+$E760,0)),"")</f>
        <v/>
      </c>
      <c r="I760" s="26">
        <f>IF($B760='Perfil'!$B$3,COUNTIF($B$4:$B760,'Perfil'!$B$3),"")</f>
        <v/>
      </c>
    </row>
    <row r="761">
      <c r="A761" s="22" t="n"/>
      <c r="B761" s="23" t="n"/>
      <c r="C761" s="23" t="n"/>
      <c r="D761" s="24" t="n"/>
      <c r="E761" s="24" t="n"/>
      <c r="F761" s="23" t="n"/>
      <c r="G761" s="19">
        <f>IFERROR(IF(OR($B761="",$C761=""),"",IF(MATCH($C761,'Ajustes'!$A$5:$A$8,0)&lt;=2,$D761*INDEX('Ajustes'!$C$5:$C$6,MATCH($C761,'Ajustes'!$A$5:$A$8,0)),IF(MATCH($C761,'Ajustes'!$A$5:$A$8,0)=3,-($D761+$E761*INDEX('Equipo'!$B$5:$B$29,MATCH($B761,'Equipo'!$A$5:$A$29,0))),0))),"")</f>
        <v/>
      </c>
      <c r="H761" s="25">
        <f>IFERROR(IF(OR($B761="",$C761=""),"",IF(MATCH($C761,'Ajustes'!$A$5:$A$8,0)=4,$D761/INDEX('Equipo'!$B$5:$B$29,MATCH($B761,'Equipo'!$A$5:$A$29,0))+$E761,0)),"")</f>
        <v/>
      </c>
      <c r="I761" s="26">
        <f>IF($B761='Perfil'!$B$3,COUNTIF($B$4:$B761,'Perfil'!$B$3),"")</f>
        <v/>
      </c>
    </row>
    <row r="762">
      <c r="A762" s="22" t="n"/>
      <c r="B762" s="23" t="n"/>
      <c r="C762" s="23" t="n"/>
      <c r="D762" s="24" t="n"/>
      <c r="E762" s="24" t="n"/>
      <c r="F762" s="23" t="n"/>
      <c r="G762" s="19">
        <f>IFERROR(IF(OR($B762="",$C762=""),"",IF(MATCH($C762,'Ajustes'!$A$5:$A$8,0)&lt;=2,$D762*INDEX('Ajustes'!$C$5:$C$6,MATCH($C762,'Ajustes'!$A$5:$A$8,0)),IF(MATCH($C762,'Ajustes'!$A$5:$A$8,0)=3,-($D762+$E762*INDEX('Equipo'!$B$5:$B$29,MATCH($B762,'Equipo'!$A$5:$A$29,0))),0))),"")</f>
        <v/>
      </c>
      <c r="H762" s="25">
        <f>IFERROR(IF(OR($B762="",$C762=""),"",IF(MATCH($C762,'Ajustes'!$A$5:$A$8,0)=4,$D762/INDEX('Equipo'!$B$5:$B$29,MATCH($B762,'Equipo'!$A$5:$A$29,0))+$E762,0)),"")</f>
        <v/>
      </c>
      <c r="I762" s="26">
        <f>IF($B762='Perfil'!$B$3,COUNTIF($B$4:$B762,'Perfil'!$B$3),"")</f>
        <v/>
      </c>
    </row>
    <row r="763">
      <c r="A763" s="22" t="n"/>
      <c r="B763" s="23" t="n"/>
      <c r="C763" s="23" t="n"/>
      <c r="D763" s="24" t="n"/>
      <c r="E763" s="24" t="n"/>
      <c r="F763" s="23" t="n"/>
      <c r="G763" s="19">
        <f>IFERROR(IF(OR($B763="",$C763=""),"",IF(MATCH($C763,'Ajustes'!$A$5:$A$8,0)&lt;=2,$D763*INDEX('Ajustes'!$C$5:$C$6,MATCH($C763,'Ajustes'!$A$5:$A$8,0)),IF(MATCH($C763,'Ajustes'!$A$5:$A$8,0)=3,-($D763+$E763*INDEX('Equipo'!$B$5:$B$29,MATCH($B763,'Equipo'!$A$5:$A$29,0))),0))),"")</f>
        <v/>
      </c>
      <c r="H763" s="25">
        <f>IFERROR(IF(OR($B763="",$C763=""),"",IF(MATCH($C763,'Ajustes'!$A$5:$A$8,0)=4,$D763/INDEX('Equipo'!$B$5:$B$29,MATCH($B763,'Equipo'!$A$5:$A$29,0))+$E763,0)),"")</f>
        <v/>
      </c>
      <c r="I763" s="26">
        <f>IF($B763='Perfil'!$B$3,COUNTIF($B$4:$B763,'Perfil'!$B$3),"")</f>
        <v/>
      </c>
    </row>
    <row r="764">
      <c r="A764" s="22" t="n"/>
      <c r="B764" s="23" t="n"/>
      <c r="C764" s="23" t="n"/>
      <c r="D764" s="24" t="n"/>
      <c r="E764" s="24" t="n"/>
      <c r="F764" s="23" t="n"/>
      <c r="G764" s="19">
        <f>IFERROR(IF(OR($B764="",$C764=""),"",IF(MATCH($C764,'Ajustes'!$A$5:$A$8,0)&lt;=2,$D764*INDEX('Ajustes'!$C$5:$C$6,MATCH($C764,'Ajustes'!$A$5:$A$8,0)),IF(MATCH($C764,'Ajustes'!$A$5:$A$8,0)=3,-($D764+$E764*INDEX('Equipo'!$B$5:$B$29,MATCH($B764,'Equipo'!$A$5:$A$29,0))),0))),"")</f>
        <v/>
      </c>
      <c r="H764" s="25">
        <f>IFERROR(IF(OR($B764="",$C764=""),"",IF(MATCH($C764,'Ajustes'!$A$5:$A$8,0)=4,$D764/INDEX('Equipo'!$B$5:$B$29,MATCH($B764,'Equipo'!$A$5:$A$29,0))+$E764,0)),"")</f>
        <v/>
      </c>
      <c r="I764" s="26">
        <f>IF($B764='Perfil'!$B$3,COUNTIF($B$4:$B764,'Perfil'!$B$3),"")</f>
        <v/>
      </c>
    </row>
    <row r="765">
      <c r="A765" s="22" t="n"/>
      <c r="B765" s="23" t="n"/>
      <c r="C765" s="23" t="n"/>
      <c r="D765" s="24" t="n"/>
      <c r="E765" s="24" t="n"/>
      <c r="F765" s="23" t="n"/>
      <c r="G765" s="19">
        <f>IFERROR(IF(OR($B765="",$C765=""),"",IF(MATCH($C765,'Ajustes'!$A$5:$A$8,0)&lt;=2,$D765*INDEX('Ajustes'!$C$5:$C$6,MATCH($C765,'Ajustes'!$A$5:$A$8,0)),IF(MATCH($C765,'Ajustes'!$A$5:$A$8,0)=3,-($D765+$E765*INDEX('Equipo'!$B$5:$B$29,MATCH($B765,'Equipo'!$A$5:$A$29,0))),0))),"")</f>
        <v/>
      </c>
      <c r="H765" s="25">
        <f>IFERROR(IF(OR($B765="",$C765=""),"",IF(MATCH($C765,'Ajustes'!$A$5:$A$8,0)=4,$D765/INDEX('Equipo'!$B$5:$B$29,MATCH($B765,'Equipo'!$A$5:$A$29,0))+$E765,0)),"")</f>
        <v/>
      </c>
      <c r="I765" s="26">
        <f>IF($B765='Perfil'!$B$3,COUNTIF($B$4:$B765,'Perfil'!$B$3),"")</f>
        <v/>
      </c>
    </row>
    <row r="766">
      <c r="A766" s="22" t="n"/>
      <c r="B766" s="23" t="n"/>
      <c r="C766" s="23" t="n"/>
      <c r="D766" s="24" t="n"/>
      <c r="E766" s="24" t="n"/>
      <c r="F766" s="23" t="n"/>
      <c r="G766" s="19">
        <f>IFERROR(IF(OR($B766="",$C766=""),"",IF(MATCH($C766,'Ajustes'!$A$5:$A$8,0)&lt;=2,$D766*INDEX('Ajustes'!$C$5:$C$6,MATCH($C766,'Ajustes'!$A$5:$A$8,0)),IF(MATCH($C766,'Ajustes'!$A$5:$A$8,0)=3,-($D766+$E766*INDEX('Equipo'!$B$5:$B$29,MATCH($B766,'Equipo'!$A$5:$A$29,0))),0))),"")</f>
        <v/>
      </c>
      <c r="H766" s="25">
        <f>IFERROR(IF(OR($B766="",$C766=""),"",IF(MATCH($C766,'Ajustes'!$A$5:$A$8,0)=4,$D766/INDEX('Equipo'!$B$5:$B$29,MATCH($B766,'Equipo'!$A$5:$A$29,0))+$E766,0)),"")</f>
        <v/>
      </c>
      <c r="I766" s="26">
        <f>IF($B766='Perfil'!$B$3,COUNTIF($B$4:$B766,'Perfil'!$B$3),"")</f>
        <v/>
      </c>
    </row>
    <row r="767">
      <c r="A767" s="22" t="n"/>
      <c r="B767" s="23" t="n"/>
      <c r="C767" s="23" t="n"/>
      <c r="D767" s="24" t="n"/>
      <c r="E767" s="24" t="n"/>
      <c r="F767" s="23" t="n"/>
      <c r="G767" s="19">
        <f>IFERROR(IF(OR($B767="",$C767=""),"",IF(MATCH($C767,'Ajustes'!$A$5:$A$8,0)&lt;=2,$D767*INDEX('Ajustes'!$C$5:$C$6,MATCH($C767,'Ajustes'!$A$5:$A$8,0)),IF(MATCH($C767,'Ajustes'!$A$5:$A$8,0)=3,-($D767+$E767*INDEX('Equipo'!$B$5:$B$29,MATCH($B767,'Equipo'!$A$5:$A$29,0))),0))),"")</f>
        <v/>
      </c>
      <c r="H767" s="25">
        <f>IFERROR(IF(OR($B767="",$C767=""),"",IF(MATCH($C767,'Ajustes'!$A$5:$A$8,0)=4,$D767/INDEX('Equipo'!$B$5:$B$29,MATCH($B767,'Equipo'!$A$5:$A$29,0))+$E767,0)),"")</f>
        <v/>
      </c>
      <c r="I767" s="26">
        <f>IF($B767='Perfil'!$B$3,COUNTIF($B$4:$B767,'Perfil'!$B$3),"")</f>
        <v/>
      </c>
    </row>
    <row r="768">
      <c r="A768" s="22" t="n"/>
      <c r="B768" s="23" t="n"/>
      <c r="C768" s="23" t="n"/>
      <c r="D768" s="24" t="n"/>
      <c r="E768" s="24" t="n"/>
      <c r="F768" s="23" t="n"/>
      <c r="G768" s="19">
        <f>IFERROR(IF(OR($B768="",$C768=""),"",IF(MATCH($C768,'Ajustes'!$A$5:$A$8,0)&lt;=2,$D768*INDEX('Ajustes'!$C$5:$C$6,MATCH($C768,'Ajustes'!$A$5:$A$8,0)),IF(MATCH($C768,'Ajustes'!$A$5:$A$8,0)=3,-($D768+$E768*INDEX('Equipo'!$B$5:$B$29,MATCH($B768,'Equipo'!$A$5:$A$29,0))),0))),"")</f>
        <v/>
      </c>
      <c r="H768" s="25">
        <f>IFERROR(IF(OR($B768="",$C768=""),"",IF(MATCH($C768,'Ajustes'!$A$5:$A$8,0)=4,$D768/INDEX('Equipo'!$B$5:$B$29,MATCH($B768,'Equipo'!$A$5:$A$29,0))+$E768,0)),"")</f>
        <v/>
      </c>
      <c r="I768" s="26">
        <f>IF($B768='Perfil'!$B$3,COUNTIF($B$4:$B768,'Perfil'!$B$3),"")</f>
        <v/>
      </c>
    </row>
    <row r="769">
      <c r="A769" s="22" t="n"/>
      <c r="B769" s="23" t="n"/>
      <c r="C769" s="23" t="n"/>
      <c r="D769" s="24" t="n"/>
      <c r="E769" s="24" t="n"/>
      <c r="F769" s="23" t="n"/>
      <c r="G769" s="19">
        <f>IFERROR(IF(OR($B769="",$C769=""),"",IF(MATCH($C769,'Ajustes'!$A$5:$A$8,0)&lt;=2,$D769*INDEX('Ajustes'!$C$5:$C$6,MATCH($C769,'Ajustes'!$A$5:$A$8,0)),IF(MATCH($C769,'Ajustes'!$A$5:$A$8,0)=3,-($D769+$E769*INDEX('Equipo'!$B$5:$B$29,MATCH($B769,'Equipo'!$A$5:$A$29,0))),0))),"")</f>
        <v/>
      </c>
      <c r="H769" s="25">
        <f>IFERROR(IF(OR($B769="",$C769=""),"",IF(MATCH($C769,'Ajustes'!$A$5:$A$8,0)=4,$D769/INDEX('Equipo'!$B$5:$B$29,MATCH($B769,'Equipo'!$A$5:$A$29,0))+$E769,0)),"")</f>
        <v/>
      </c>
      <c r="I769" s="26">
        <f>IF($B769='Perfil'!$B$3,COUNTIF($B$4:$B769,'Perfil'!$B$3),"")</f>
        <v/>
      </c>
    </row>
    <row r="770">
      <c r="A770" s="22" t="n"/>
      <c r="B770" s="23" t="n"/>
      <c r="C770" s="23" t="n"/>
      <c r="D770" s="24" t="n"/>
      <c r="E770" s="24" t="n"/>
      <c r="F770" s="23" t="n"/>
      <c r="G770" s="19">
        <f>IFERROR(IF(OR($B770="",$C770=""),"",IF(MATCH($C770,'Ajustes'!$A$5:$A$8,0)&lt;=2,$D770*INDEX('Ajustes'!$C$5:$C$6,MATCH($C770,'Ajustes'!$A$5:$A$8,0)),IF(MATCH($C770,'Ajustes'!$A$5:$A$8,0)=3,-($D770+$E770*INDEX('Equipo'!$B$5:$B$29,MATCH($B770,'Equipo'!$A$5:$A$29,0))),0))),"")</f>
        <v/>
      </c>
      <c r="H770" s="25">
        <f>IFERROR(IF(OR($B770="",$C770=""),"",IF(MATCH($C770,'Ajustes'!$A$5:$A$8,0)=4,$D770/INDEX('Equipo'!$B$5:$B$29,MATCH($B770,'Equipo'!$A$5:$A$29,0))+$E770,0)),"")</f>
        <v/>
      </c>
      <c r="I770" s="26">
        <f>IF($B770='Perfil'!$B$3,COUNTIF($B$4:$B770,'Perfil'!$B$3),"")</f>
        <v/>
      </c>
    </row>
    <row r="771">
      <c r="A771" s="22" t="n"/>
      <c r="B771" s="23" t="n"/>
      <c r="C771" s="23" t="n"/>
      <c r="D771" s="24" t="n"/>
      <c r="E771" s="24" t="n"/>
      <c r="F771" s="23" t="n"/>
      <c r="G771" s="19">
        <f>IFERROR(IF(OR($B771="",$C771=""),"",IF(MATCH($C771,'Ajustes'!$A$5:$A$8,0)&lt;=2,$D771*INDEX('Ajustes'!$C$5:$C$6,MATCH($C771,'Ajustes'!$A$5:$A$8,0)),IF(MATCH($C771,'Ajustes'!$A$5:$A$8,0)=3,-($D771+$E771*INDEX('Equipo'!$B$5:$B$29,MATCH($B771,'Equipo'!$A$5:$A$29,0))),0))),"")</f>
        <v/>
      </c>
      <c r="H771" s="25">
        <f>IFERROR(IF(OR($B771="",$C771=""),"",IF(MATCH($C771,'Ajustes'!$A$5:$A$8,0)=4,$D771/INDEX('Equipo'!$B$5:$B$29,MATCH($B771,'Equipo'!$A$5:$A$29,0))+$E771,0)),"")</f>
        <v/>
      </c>
      <c r="I771" s="26">
        <f>IF($B771='Perfil'!$B$3,COUNTIF($B$4:$B771,'Perfil'!$B$3),"")</f>
        <v/>
      </c>
    </row>
    <row r="772">
      <c r="A772" s="22" t="n"/>
      <c r="B772" s="23" t="n"/>
      <c r="C772" s="23" t="n"/>
      <c r="D772" s="24" t="n"/>
      <c r="E772" s="24" t="n"/>
      <c r="F772" s="23" t="n"/>
      <c r="G772" s="19">
        <f>IFERROR(IF(OR($B772="",$C772=""),"",IF(MATCH($C772,'Ajustes'!$A$5:$A$8,0)&lt;=2,$D772*INDEX('Ajustes'!$C$5:$C$6,MATCH($C772,'Ajustes'!$A$5:$A$8,0)),IF(MATCH($C772,'Ajustes'!$A$5:$A$8,0)=3,-($D772+$E772*INDEX('Equipo'!$B$5:$B$29,MATCH($B772,'Equipo'!$A$5:$A$29,0))),0))),"")</f>
        <v/>
      </c>
      <c r="H772" s="25">
        <f>IFERROR(IF(OR($B772="",$C772=""),"",IF(MATCH($C772,'Ajustes'!$A$5:$A$8,0)=4,$D772/INDEX('Equipo'!$B$5:$B$29,MATCH($B772,'Equipo'!$A$5:$A$29,0))+$E772,0)),"")</f>
        <v/>
      </c>
      <c r="I772" s="26">
        <f>IF($B772='Perfil'!$B$3,COUNTIF($B$4:$B772,'Perfil'!$B$3),"")</f>
        <v/>
      </c>
    </row>
    <row r="773">
      <c r="A773" s="22" t="n"/>
      <c r="B773" s="23" t="n"/>
      <c r="C773" s="23" t="n"/>
      <c r="D773" s="24" t="n"/>
      <c r="E773" s="24" t="n"/>
      <c r="F773" s="23" t="n"/>
      <c r="G773" s="19">
        <f>IFERROR(IF(OR($B773="",$C773=""),"",IF(MATCH($C773,'Ajustes'!$A$5:$A$8,0)&lt;=2,$D773*INDEX('Ajustes'!$C$5:$C$6,MATCH($C773,'Ajustes'!$A$5:$A$8,0)),IF(MATCH($C773,'Ajustes'!$A$5:$A$8,0)=3,-($D773+$E773*INDEX('Equipo'!$B$5:$B$29,MATCH($B773,'Equipo'!$A$5:$A$29,0))),0))),"")</f>
        <v/>
      </c>
      <c r="H773" s="25">
        <f>IFERROR(IF(OR($B773="",$C773=""),"",IF(MATCH($C773,'Ajustes'!$A$5:$A$8,0)=4,$D773/INDEX('Equipo'!$B$5:$B$29,MATCH($B773,'Equipo'!$A$5:$A$29,0))+$E773,0)),"")</f>
        <v/>
      </c>
      <c r="I773" s="26">
        <f>IF($B773='Perfil'!$B$3,COUNTIF($B$4:$B773,'Perfil'!$B$3),"")</f>
        <v/>
      </c>
    </row>
    <row r="774">
      <c r="A774" s="22" t="n"/>
      <c r="B774" s="23" t="n"/>
      <c r="C774" s="23" t="n"/>
      <c r="D774" s="24" t="n"/>
      <c r="E774" s="24" t="n"/>
      <c r="F774" s="23" t="n"/>
      <c r="G774" s="19">
        <f>IFERROR(IF(OR($B774="",$C774=""),"",IF(MATCH($C774,'Ajustes'!$A$5:$A$8,0)&lt;=2,$D774*INDEX('Ajustes'!$C$5:$C$6,MATCH($C774,'Ajustes'!$A$5:$A$8,0)),IF(MATCH($C774,'Ajustes'!$A$5:$A$8,0)=3,-($D774+$E774*INDEX('Equipo'!$B$5:$B$29,MATCH($B774,'Equipo'!$A$5:$A$29,0))),0))),"")</f>
        <v/>
      </c>
      <c r="H774" s="25">
        <f>IFERROR(IF(OR($B774="",$C774=""),"",IF(MATCH($C774,'Ajustes'!$A$5:$A$8,0)=4,$D774/INDEX('Equipo'!$B$5:$B$29,MATCH($B774,'Equipo'!$A$5:$A$29,0))+$E774,0)),"")</f>
        <v/>
      </c>
      <c r="I774" s="26">
        <f>IF($B774='Perfil'!$B$3,COUNTIF($B$4:$B774,'Perfil'!$B$3),"")</f>
        <v/>
      </c>
    </row>
    <row r="775">
      <c r="A775" s="22" t="n"/>
      <c r="B775" s="23" t="n"/>
      <c r="C775" s="23" t="n"/>
      <c r="D775" s="24" t="n"/>
      <c r="E775" s="24" t="n"/>
      <c r="F775" s="23" t="n"/>
      <c r="G775" s="19">
        <f>IFERROR(IF(OR($B775="",$C775=""),"",IF(MATCH($C775,'Ajustes'!$A$5:$A$8,0)&lt;=2,$D775*INDEX('Ajustes'!$C$5:$C$6,MATCH($C775,'Ajustes'!$A$5:$A$8,0)),IF(MATCH($C775,'Ajustes'!$A$5:$A$8,0)=3,-($D775+$E775*INDEX('Equipo'!$B$5:$B$29,MATCH($B775,'Equipo'!$A$5:$A$29,0))),0))),"")</f>
        <v/>
      </c>
      <c r="H775" s="25">
        <f>IFERROR(IF(OR($B775="",$C775=""),"",IF(MATCH($C775,'Ajustes'!$A$5:$A$8,0)=4,$D775/INDEX('Equipo'!$B$5:$B$29,MATCH($B775,'Equipo'!$A$5:$A$29,0))+$E775,0)),"")</f>
        <v/>
      </c>
      <c r="I775" s="26">
        <f>IF($B775='Perfil'!$B$3,COUNTIF($B$4:$B775,'Perfil'!$B$3),"")</f>
        <v/>
      </c>
    </row>
    <row r="776">
      <c r="A776" s="22" t="n"/>
      <c r="B776" s="23" t="n"/>
      <c r="C776" s="23" t="n"/>
      <c r="D776" s="24" t="n"/>
      <c r="E776" s="24" t="n"/>
      <c r="F776" s="23" t="n"/>
      <c r="G776" s="19">
        <f>IFERROR(IF(OR($B776="",$C776=""),"",IF(MATCH($C776,'Ajustes'!$A$5:$A$8,0)&lt;=2,$D776*INDEX('Ajustes'!$C$5:$C$6,MATCH($C776,'Ajustes'!$A$5:$A$8,0)),IF(MATCH($C776,'Ajustes'!$A$5:$A$8,0)=3,-($D776+$E776*INDEX('Equipo'!$B$5:$B$29,MATCH($B776,'Equipo'!$A$5:$A$29,0))),0))),"")</f>
        <v/>
      </c>
      <c r="H776" s="25">
        <f>IFERROR(IF(OR($B776="",$C776=""),"",IF(MATCH($C776,'Ajustes'!$A$5:$A$8,0)=4,$D776/INDEX('Equipo'!$B$5:$B$29,MATCH($B776,'Equipo'!$A$5:$A$29,0))+$E776,0)),"")</f>
        <v/>
      </c>
      <c r="I776" s="26">
        <f>IF($B776='Perfil'!$B$3,COUNTIF($B$4:$B776,'Perfil'!$B$3),"")</f>
        <v/>
      </c>
    </row>
    <row r="777">
      <c r="A777" s="22" t="n"/>
      <c r="B777" s="23" t="n"/>
      <c r="C777" s="23" t="n"/>
      <c r="D777" s="24" t="n"/>
      <c r="E777" s="24" t="n"/>
      <c r="F777" s="23" t="n"/>
      <c r="G777" s="19">
        <f>IFERROR(IF(OR($B777="",$C777=""),"",IF(MATCH($C777,'Ajustes'!$A$5:$A$8,0)&lt;=2,$D777*INDEX('Ajustes'!$C$5:$C$6,MATCH($C777,'Ajustes'!$A$5:$A$8,0)),IF(MATCH($C777,'Ajustes'!$A$5:$A$8,0)=3,-($D777+$E777*INDEX('Equipo'!$B$5:$B$29,MATCH($B777,'Equipo'!$A$5:$A$29,0))),0))),"")</f>
        <v/>
      </c>
      <c r="H777" s="25">
        <f>IFERROR(IF(OR($B777="",$C777=""),"",IF(MATCH($C777,'Ajustes'!$A$5:$A$8,0)=4,$D777/INDEX('Equipo'!$B$5:$B$29,MATCH($B777,'Equipo'!$A$5:$A$29,0))+$E777,0)),"")</f>
        <v/>
      </c>
      <c r="I777" s="26">
        <f>IF($B777='Perfil'!$B$3,COUNTIF($B$4:$B777,'Perfil'!$B$3),"")</f>
        <v/>
      </c>
    </row>
    <row r="778">
      <c r="A778" s="22" t="n"/>
      <c r="B778" s="23" t="n"/>
      <c r="C778" s="23" t="n"/>
      <c r="D778" s="24" t="n"/>
      <c r="E778" s="24" t="n"/>
      <c r="F778" s="23" t="n"/>
      <c r="G778" s="19">
        <f>IFERROR(IF(OR($B778="",$C778=""),"",IF(MATCH($C778,'Ajustes'!$A$5:$A$8,0)&lt;=2,$D778*INDEX('Ajustes'!$C$5:$C$6,MATCH($C778,'Ajustes'!$A$5:$A$8,0)),IF(MATCH($C778,'Ajustes'!$A$5:$A$8,0)=3,-($D778+$E778*INDEX('Equipo'!$B$5:$B$29,MATCH($B778,'Equipo'!$A$5:$A$29,0))),0))),"")</f>
        <v/>
      </c>
      <c r="H778" s="25">
        <f>IFERROR(IF(OR($B778="",$C778=""),"",IF(MATCH($C778,'Ajustes'!$A$5:$A$8,0)=4,$D778/INDEX('Equipo'!$B$5:$B$29,MATCH($B778,'Equipo'!$A$5:$A$29,0))+$E778,0)),"")</f>
        <v/>
      </c>
      <c r="I778" s="26">
        <f>IF($B778='Perfil'!$B$3,COUNTIF($B$4:$B778,'Perfil'!$B$3),"")</f>
        <v/>
      </c>
    </row>
    <row r="779">
      <c r="A779" s="22" t="n"/>
      <c r="B779" s="23" t="n"/>
      <c r="C779" s="23" t="n"/>
      <c r="D779" s="24" t="n"/>
      <c r="E779" s="24" t="n"/>
      <c r="F779" s="23" t="n"/>
      <c r="G779" s="19">
        <f>IFERROR(IF(OR($B779="",$C779=""),"",IF(MATCH($C779,'Ajustes'!$A$5:$A$8,0)&lt;=2,$D779*INDEX('Ajustes'!$C$5:$C$6,MATCH($C779,'Ajustes'!$A$5:$A$8,0)),IF(MATCH($C779,'Ajustes'!$A$5:$A$8,0)=3,-($D779+$E779*INDEX('Equipo'!$B$5:$B$29,MATCH($B779,'Equipo'!$A$5:$A$29,0))),0))),"")</f>
        <v/>
      </c>
      <c r="H779" s="25">
        <f>IFERROR(IF(OR($B779="",$C779=""),"",IF(MATCH($C779,'Ajustes'!$A$5:$A$8,0)=4,$D779/INDEX('Equipo'!$B$5:$B$29,MATCH($B779,'Equipo'!$A$5:$A$29,0))+$E779,0)),"")</f>
        <v/>
      </c>
      <c r="I779" s="26">
        <f>IF($B779='Perfil'!$B$3,COUNTIF($B$4:$B779,'Perfil'!$B$3),"")</f>
        <v/>
      </c>
    </row>
    <row r="780">
      <c r="A780" s="22" t="n"/>
      <c r="B780" s="23" t="n"/>
      <c r="C780" s="23" t="n"/>
      <c r="D780" s="24" t="n"/>
      <c r="E780" s="24" t="n"/>
      <c r="F780" s="23" t="n"/>
      <c r="G780" s="19">
        <f>IFERROR(IF(OR($B780="",$C780=""),"",IF(MATCH($C780,'Ajustes'!$A$5:$A$8,0)&lt;=2,$D780*INDEX('Ajustes'!$C$5:$C$6,MATCH($C780,'Ajustes'!$A$5:$A$8,0)),IF(MATCH($C780,'Ajustes'!$A$5:$A$8,0)=3,-($D780+$E780*INDEX('Equipo'!$B$5:$B$29,MATCH($B780,'Equipo'!$A$5:$A$29,0))),0))),"")</f>
        <v/>
      </c>
      <c r="H780" s="25">
        <f>IFERROR(IF(OR($B780="",$C780=""),"",IF(MATCH($C780,'Ajustes'!$A$5:$A$8,0)=4,$D780/INDEX('Equipo'!$B$5:$B$29,MATCH($B780,'Equipo'!$A$5:$A$29,0))+$E780,0)),"")</f>
        <v/>
      </c>
      <c r="I780" s="26">
        <f>IF($B780='Perfil'!$B$3,COUNTIF($B$4:$B780,'Perfil'!$B$3),"")</f>
        <v/>
      </c>
    </row>
    <row r="781">
      <c r="A781" s="22" t="n"/>
      <c r="B781" s="23" t="n"/>
      <c r="C781" s="23" t="n"/>
      <c r="D781" s="24" t="n"/>
      <c r="E781" s="24" t="n"/>
      <c r="F781" s="23" t="n"/>
      <c r="G781" s="19">
        <f>IFERROR(IF(OR($B781="",$C781=""),"",IF(MATCH($C781,'Ajustes'!$A$5:$A$8,0)&lt;=2,$D781*INDEX('Ajustes'!$C$5:$C$6,MATCH($C781,'Ajustes'!$A$5:$A$8,0)),IF(MATCH($C781,'Ajustes'!$A$5:$A$8,0)=3,-($D781+$E781*INDEX('Equipo'!$B$5:$B$29,MATCH($B781,'Equipo'!$A$5:$A$29,0))),0))),"")</f>
        <v/>
      </c>
      <c r="H781" s="25">
        <f>IFERROR(IF(OR($B781="",$C781=""),"",IF(MATCH($C781,'Ajustes'!$A$5:$A$8,0)=4,$D781/INDEX('Equipo'!$B$5:$B$29,MATCH($B781,'Equipo'!$A$5:$A$29,0))+$E781,0)),"")</f>
        <v/>
      </c>
      <c r="I781" s="26">
        <f>IF($B781='Perfil'!$B$3,COUNTIF($B$4:$B781,'Perfil'!$B$3),"")</f>
        <v/>
      </c>
    </row>
    <row r="782">
      <c r="A782" s="22" t="n"/>
      <c r="B782" s="23" t="n"/>
      <c r="C782" s="23" t="n"/>
      <c r="D782" s="24" t="n"/>
      <c r="E782" s="24" t="n"/>
      <c r="F782" s="23" t="n"/>
      <c r="G782" s="19">
        <f>IFERROR(IF(OR($B782="",$C782=""),"",IF(MATCH($C782,'Ajustes'!$A$5:$A$8,0)&lt;=2,$D782*INDEX('Ajustes'!$C$5:$C$6,MATCH($C782,'Ajustes'!$A$5:$A$8,0)),IF(MATCH($C782,'Ajustes'!$A$5:$A$8,0)=3,-($D782+$E782*INDEX('Equipo'!$B$5:$B$29,MATCH($B782,'Equipo'!$A$5:$A$29,0))),0))),"")</f>
        <v/>
      </c>
      <c r="H782" s="25">
        <f>IFERROR(IF(OR($B782="",$C782=""),"",IF(MATCH($C782,'Ajustes'!$A$5:$A$8,0)=4,$D782/INDEX('Equipo'!$B$5:$B$29,MATCH($B782,'Equipo'!$A$5:$A$29,0))+$E782,0)),"")</f>
        <v/>
      </c>
      <c r="I782" s="26">
        <f>IF($B782='Perfil'!$B$3,COUNTIF($B$4:$B782,'Perfil'!$B$3),"")</f>
        <v/>
      </c>
    </row>
    <row r="783">
      <c r="A783" s="22" t="n"/>
      <c r="B783" s="23" t="n"/>
      <c r="C783" s="23" t="n"/>
      <c r="D783" s="24" t="n"/>
      <c r="E783" s="24" t="n"/>
      <c r="F783" s="23" t="n"/>
      <c r="G783" s="19">
        <f>IFERROR(IF(OR($B783="",$C783=""),"",IF(MATCH($C783,'Ajustes'!$A$5:$A$8,0)&lt;=2,$D783*INDEX('Ajustes'!$C$5:$C$6,MATCH($C783,'Ajustes'!$A$5:$A$8,0)),IF(MATCH($C783,'Ajustes'!$A$5:$A$8,0)=3,-($D783+$E783*INDEX('Equipo'!$B$5:$B$29,MATCH($B783,'Equipo'!$A$5:$A$29,0))),0))),"")</f>
        <v/>
      </c>
      <c r="H783" s="25">
        <f>IFERROR(IF(OR($B783="",$C783=""),"",IF(MATCH($C783,'Ajustes'!$A$5:$A$8,0)=4,$D783/INDEX('Equipo'!$B$5:$B$29,MATCH($B783,'Equipo'!$A$5:$A$29,0))+$E783,0)),"")</f>
        <v/>
      </c>
      <c r="I783" s="26">
        <f>IF($B783='Perfil'!$B$3,COUNTIF($B$4:$B783,'Perfil'!$B$3),"")</f>
        <v/>
      </c>
    </row>
    <row r="784">
      <c r="A784" s="22" t="n"/>
      <c r="B784" s="23" t="n"/>
      <c r="C784" s="23" t="n"/>
      <c r="D784" s="24" t="n"/>
      <c r="E784" s="24" t="n"/>
      <c r="F784" s="23" t="n"/>
      <c r="G784" s="19">
        <f>IFERROR(IF(OR($B784="",$C784=""),"",IF(MATCH($C784,'Ajustes'!$A$5:$A$8,0)&lt;=2,$D784*INDEX('Ajustes'!$C$5:$C$6,MATCH($C784,'Ajustes'!$A$5:$A$8,0)),IF(MATCH($C784,'Ajustes'!$A$5:$A$8,0)=3,-($D784+$E784*INDEX('Equipo'!$B$5:$B$29,MATCH($B784,'Equipo'!$A$5:$A$29,0))),0))),"")</f>
        <v/>
      </c>
      <c r="H784" s="25">
        <f>IFERROR(IF(OR($B784="",$C784=""),"",IF(MATCH($C784,'Ajustes'!$A$5:$A$8,0)=4,$D784/INDEX('Equipo'!$B$5:$B$29,MATCH($B784,'Equipo'!$A$5:$A$29,0))+$E784,0)),"")</f>
        <v/>
      </c>
      <c r="I784" s="26">
        <f>IF($B784='Perfil'!$B$3,COUNTIF($B$4:$B784,'Perfil'!$B$3),"")</f>
        <v/>
      </c>
    </row>
    <row r="785">
      <c r="A785" s="22" t="n"/>
      <c r="B785" s="23" t="n"/>
      <c r="C785" s="23" t="n"/>
      <c r="D785" s="24" t="n"/>
      <c r="E785" s="24" t="n"/>
      <c r="F785" s="23" t="n"/>
      <c r="G785" s="19">
        <f>IFERROR(IF(OR($B785="",$C785=""),"",IF(MATCH($C785,'Ajustes'!$A$5:$A$8,0)&lt;=2,$D785*INDEX('Ajustes'!$C$5:$C$6,MATCH($C785,'Ajustes'!$A$5:$A$8,0)),IF(MATCH($C785,'Ajustes'!$A$5:$A$8,0)=3,-($D785+$E785*INDEX('Equipo'!$B$5:$B$29,MATCH($B785,'Equipo'!$A$5:$A$29,0))),0))),"")</f>
        <v/>
      </c>
      <c r="H785" s="25">
        <f>IFERROR(IF(OR($B785="",$C785=""),"",IF(MATCH($C785,'Ajustes'!$A$5:$A$8,0)=4,$D785/INDEX('Equipo'!$B$5:$B$29,MATCH($B785,'Equipo'!$A$5:$A$29,0))+$E785,0)),"")</f>
        <v/>
      </c>
      <c r="I785" s="26">
        <f>IF($B785='Perfil'!$B$3,COUNTIF($B$4:$B785,'Perfil'!$B$3),"")</f>
        <v/>
      </c>
    </row>
    <row r="786">
      <c r="A786" s="22" t="n"/>
      <c r="B786" s="23" t="n"/>
      <c r="C786" s="23" t="n"/>
      <c r="D786" s="24" t="n"/>
      <c r="E786" s="24" t="n"/>
      <c r="F786" s="23" t="n"/>
      <c r="G786" s="19">
        <f>IFERROR(IF(OR($B786="",$C786=""),"",IF(MATCH($C786,'Ajustes'!$A$5:$A$8,0)&lt;=2,$D786*INDEX('Ajustes'!$C$5:$C$6,MATCH($C786,'Ajustes'!$A$5:$A$8,0)),IF(MATCH($C786,'Ajustes'!$A$5:$A$8,0)=3,-($D786+$E786*INDEX('Equipo'!$B$5:$B$29,MATCH($B786,'Equipo'!$A$5:$A$29,0))),0))),"")</f>
        <v/>
      </c>
      <c r="H786" s="25">
        <f>IFERROR(IF(OR($B786="",$C786=""),"",IF(MATCH($C786,'Ajustes'!$A$5:$A$8,0)=4,$D786/INDEX('Equipo'!$B$5:$B$29,MATCH($B786,'Equipo'!$A$5:$A$29,0))+$E786,0)),"")</f>
        <v/>
      </c>
      <c r="I786" s="26">
        <f>IF($B786='Perfil'!$B$3,COUNTIF($B$4:$B786,'Perfil'!$B$3),"")</f>
        <v/>
      </c>
    </row>
    <row r="787">
      <c r="A787" s="22" t="n"/>
      <c r="B787" s="23" t="n"/>
      <c r="C787" s="23" t="n"/>
      <c r="D787" s="24" t="n"/>
      <c r="E787" s="24" t="n"/>
      <c r="F787" s="23" t="n"/>
      <c r="G787" s="19">
        <f>IFERROR(IF(OR($B787="",$C787=""),"",IF(MATCH($C787,'Ajustes'!$A$5:$A$8,0)&lt;=2,$D787*INDEX('Ajustes'!$C$5:$C$6,MATCH($C787,'Ajustes'!$A$5:$A$8,0)),IF(MATCH($C787,'Ajustes'!$A$5:$A$8,0)=3,-($D787+$E787*INDEX('Equipo'!$B$5:$B$29,MATCH($B787,'Equipo'!$A$5:$A$29,0))),0))),"")</f>
        <v/>
      </c>
      <c r="H787" s="25">
        <f>IFERROR(IF(OR($B787="",$C787=""),"",IF(MATCH($C787,'Ajustes'!$A$5:$A$8,0)=4,$D787/INDEX('Equipo'!$B$5:$B$29,MATCH($B787,'Equipo'!$A$5:$A$29,0))+$E787,0)),"")</f>
        <v/>
      </c>
      <c r="I787" s="26">
        <f>IF($B787='Perfil'!$B$3,COUNTIF($B$4:$B787,'Perfil'!$B$3),"")</f>
        <v/>
      </c>
    </row>
    <row r="788">
      <c r="A788" s="22" t="n"/>
      <c r="B788" s="23" t="n"/>
      <c r="C788" s="23" t="n"/>
      <c r="D788" s="24" t="n"/>
      <c r="E788" s="24" t="n"/>
      <c r="F788" s="23" t="n"/>
      <c r="G788" s="19">
        <f>IFERROR(IF(OR($B788="",$C788=""),"",IF(MATCH($C788,'Ajustes'!$A$5:$A$8,0)&lt;=2,$D788*INDEX('Ajustes'!$C$5:$C$6,MATCH($C788,'Ajustes'!$A$5:$A$8,0)),IF(MATCH($C788,'Ajustes'!$A$5:$A$8,0)=3,-($D788+$E788*INDEX('Equipo'!$B$5:$B$29,MATCH($B788,'Equipo'!$A$5:$A$29,0))),0))),"")</f>
        <v/>
      </c>
      <c r="H788" s="25">
        <f>IFERROR(IF(OR($B788="",$C788=""),"",IF(MATCH($C788,'Ajustes'!$A$5:$A$8,0)=4,$D788/INDEX('Equipo'!$B$5:$B$29,MATCH($B788,'Equipo'!$A$5:$A$29,0))+$E788,0)),"")</f>
        <v/>
      </c>
      <c r="I788" s="26">
        <f>IF($B788='Perfil'!$B$3,COUNTIF($B$4:$B788,'Perfil'!$B$3),"")</f>
        <v/>
      </c>
    </row>
    <row r="789">
      <c r="A789" s="22" t="n"/>
      <c r="B789" s="23" t="n"/>
      <c r="C789" s="23" t="n"/>
      <c r="D789" s="24" t="n"/>
      <c r="E789" s="24" t="n"/>
      <c r="F789" s="23" t="n"/>
      <c r="G789" s="19">
        <f>IFERROR(IF(OR($B789="",$C789=""),"",IF(MATCH($C789,'Ajustes'!$A$5:$A$8,0)&lt;=2,$D789*INDEX('Ajustes'!$C$5:$C$6,MATCH($C789,'Ajustes'!$A$5:$A$8,0)),IF(MATCH($C789,'Ajustes'!$A$5:$A$8,0)=3,-($D789+$E789*INDEX('Equipo'!$B$5:$B$29,MATCH($B789,'Equipo'!$A$5:$A$29,0))),0))),"")</f>
        <v/>
      </c>
      <c r="H789" s="25">
        <f>IFERROR(IF(OR($B789="",$C789=""),"",IF(MATCH($C789,'Ajustes'!$A$5:$A$8,0)=4,$D789/INDEX('Equipo'!$B$5:$B$29,MATCH($B789,'Equipo'!$A$5:$A$29,0))+$E789,0)),"")</f>
        <v/>
      </c>
      <c r="I789" s="26">
        <f>IF($B789='Perfil'!$B$3,COUNTIF($B$4:$B789,'Perfil'!$B$3),"")</f>
        <v/>
      </c>
    </row>
    <row r="790">
      <c r="A790" s="22" t="n"/>
      <c r="B790" s="23" t="n"/>
      <c r="C790" s="23" t="n"/>
      <c r="D790" s="24" t="n"/>
      <c r="E790" s="24" t="n"/>
      <c r="F790" s="23" t="n"/>
      <c r="G790" s="19">
        <f>IFERROR(IF(OR($B790="",$C790=""),"",IF(MATCH($C790,'Ajustes'!$A$5:$A$8,0)&lt;=2,$D790*INDEX('Ajustes'!$C$5:$C$6,MATCH($C790,'Ajustes'!$A$5:$A$8,0)),IF(MATCH($C790,'Ajustes'!$A$5:$A$8,0)=3,-($D790+$E790*INDEX('Equipo'!$B$5:$B$29,MATCH($B790,'Equipo'!$A$5:$A$29,0))),0))),"")</f>
        <v/>
      </c>
      <c r="H790" s="25">
        <f>IFERROR(IF(OR($B790="",$C790=""),"",IF(MATCH($C790,'Ajustes'!$A$5:$A$8,0)=4,$D790/INDEX('Equipo'!$B$5:$B$29,MATCH($B790,'Equipo'!$A$5:$A$29,0))+$E790,0)),"")</f>
        <v/>
      </c>
      <c r="I790" s="26">
        <f>IF($B790='Perfil'!$B$3,COUNTIF($B$4:$B790,'Perfil'!$B$3),"")</f>
        <v/>
      </c>
    </row>
    <row r="791">
      <c r="A791" s="22" t="n"/>
      <c r="B791" s="23" t="n"/>
      <c r="C791" s="23" t="n"/>
      <c r="D791" s="24" t="n"/>
      <c r="E791" s="24" t="n"/>
      <c r="F791" s="23" t="n"/>
      <c r="G791" s="19">
        <f>IFERROR(IF(OR($B791="",$C791=""),"",IF(MATCH($C791,'Ajustes'!$A$5:$A$8,0)&lt;=2,$D791*INDEX('Ajustes'!$C$5:$C$6,MATCH($C791,'Ajustes'!$A$5:$A$8,0)),IF(MATCH($C791,'Ajustes'!$A$5:$A$8,0)=3,-($D791+$E791*INDEX('Equipo'!$B$5:$B$29,MATCH($B791,'Equipo'!$A$5:$A$29,0))),0))),"")</f>
        <v/>
      </c>
      <c r="H791" s="25">
        <f>IFERROR(IF(OR($B791="",$C791=""),"",IF(MATCH($C791,'Ajustes'!$A$5:$A$8,0)=4,$D791/INDEX('Equipo'!$B$5:$B$29,MATCH($B791,'Equipo'!$A$5:$A$29,0))+$E791,0)),"")</f>
        <v/>
      </c>
      <c r="I791" s="26">
        <f>IF($B791='Perfil'!$B$3,COUNTIF($B$4:$B791,'Perfil'!$B$3),"")</f>
        <v/>
      </c>
    </row>
    <row r="792">
      <c r="A792" s="22" t="n"/>
      <c r="B792" s="23" t="n"/>
      <c r="C792" s="23" t="n"/>
      <c r="D792" s="24" t="n"/>
      <c r="E792" s="24" t="n"/>
      <c r="F792" s="23" t="n"/>
      <c r="G792" s="19">
        <f>IFERROR(IF(OR($B792="",$C792=""),"",IF(MATCH($C792,'Ajustes'!$A$5:$A$8,0)&lt;=2,$D792*INDEX('Ajustes'!$C$5:$C$6,MATCH($C792,'Ajustes'!$A$5:$A$8,0)),IF(MATCH($C792,'Ajustes'!$A$5:$A$8,0)=3,-($D792+$E792*INDEX('Equipo'!$B$5:$B$29,MATCH($B792,'Equipo'!$A$5:$A$29,0))),0))),"")</f>
        <v/>
      </c>
      <c r="H792" s="25">
        <f>IFERROR(IF(OR($B792="",$C792=""),"",IF(MATCH($C792,'Ajustes'!$A$5:$A$8,0)=4,$D792/INDEX('Equipo'!$B$5:$B$29,MATCH($B792,'Equipo'!$A$5:$A$29,0))+$E792,0)),"")</f>
        <v/>
      </c>
      <c r="I792" s="26">
        <f>IF($B792='Perfil'!$B$3,COUNTIF($B$4:$B792,'Perfil'!$B$3),"")</f>
        <v/>
      </c>
    </row>
    <row r="793">
      <c r="A793" s="22" t="n"/>
      <c r="B793" s="23" t="n"/>
      <c r="C793" s="23" t="n"/>
      <c r="D793" s="24" t="n"/>
      <c r="E793" s="24" t="n"/>
      <c r="F793" s="23" t="n"/>
      <c r="G793" s="19">
        <f>IFERROR(IF(OR($B793="",$C793=""),"",IF(MATCH($C793,'Ajustes'!$A$5:$A$8,0)&lt;=2,$D793*INDEX('Ajustes'!$C$5:$C$6,MATCH($C793,'Ajustes'!$A$5:$A$8,0)),IF(MATCH($C793,'Ajustes'!$A$5:$A$8,0)=3,-($D793+$E793*INDEX('Equipo'!$B$5:$B$29,MATCH($B793,'Equipo'!$A$5:$A$29,0))),0))),"")</f>
        <v/>
      </c>
      <c r="H793" s="25">
        <f>IFERROR(IF(OR($B793="",$C793=""),"",IF(MATCH($C793,'Ajustes'!$A$5:$A$8,0)=4,$D793/INDEX('Equipo'!$B$5:$B$29,MATCH($B793,'Equipo'!$A$5:$A$29,0))+$E793,0)),"")</f>
        <v/>
      </c>
      <c r="I793" s="26">
        <f>IF($B793='Perfil'!$B$3,COUNTIF($B$4:$B793,'Perfil'!$B$3),"")</f>
        <v/>
      </c>
    </row>
    <row r="794">
      <c r="A794" s="22" t="n"/>
      <c r="B794" s="23" t="n"/>
      <c r="C794" s="23" t="n"/>
      <c r="D794" s="24" t="n"/>
      <c r="E794" s="24" t="n"/>
      <c r="F794" s="23" t="n"/>
      <c r="G794" s="19">
        <f>IFERROR(IF(OR($B794="",$C794=""),"",IF(MATCH($C794,'Ajustes'!$A$5:$A$8,0)&lt;=2,$D794*INDEX('Ajustes'!$C$5:$C$6,MATCH($C794,'Ajustes'!$A$5:$A$8,0)),IF(MATCH($C794,'Ajustes'!$A$5:$A$8,0)=3,-($D794+$E794*INDEX('Equipo'!$B$5:$B$29,MATCH($B794,'Equipo'!$A$5:$A$29,0))),0))),"")</f>
        <v/>
      </c>
      <c r="H794" s="25">
        <f>IFERROR(IF(OR($B794="",$C794=""),"",IF(MATCH($C794,'Ajustes'!$A$5:$A$8,0)=4,$D794/INDEX('Equipo'!$B$5:$B$29,MATCH($B794,'Equipo'!$A$5:$A$29,0))+$E794,0)),"")</f>
        <v/>
      </c>
      <c r="I794" s="26">
        <f>IF($B794='Perfil'!$B$3,COUNTIF($B$4:$B794,'Perfil'!$B$3),"")</f>
        <v/>
      </c>
    </row>
    <row r="795">
      <c r="A795" s="22" t="n"/>
      <c r="B795" s="23" t="n"/>
      <c r="C795" s="23" t="n"/>
      <c r="D795" s="24" t="n"/>
      <c r="E795" s="24" t="n"/>
      <c r="F795" s="23" t="n"/>
      <c r="G795" s="19">
        <f>IFERROR(IF(OR($B795="",$C795=""),"",IF(MATCH($C795,'Ajustes'!$A$5:$A$8,0)&lt;=2,$D795*INDEX('Ajustes'!$C$5:$C$6,MATCH($C795,'Ajustes'!$A$5:$A$8,0)),IF(MATCH($C795,'Ajustes'!$A$5:$A$8,0)=3,-($D795+$E795*INDEX('Equipo'!$B$5:$B$29,MATCH($B795,'Equipo'!$A$5:$A$29,0))),0))),"")</f>
        <v/>
      </c>
      <c r="H795" s="25">
        <f>IFERROR(IF(OR($B795="",$C795=""),"",IF(MATCH($C795,'Ajustes'!$A$5:$A$8,0)=4,$D795/INDEX('Equipo'!$B$5:$B$29,MATCH($B795,'Equipo'!$A$5:$A$29,0))+$E795,0)),"")</f>
        <v/>
      </c>
      <c r="I795" s="26">
        <f>IF($B795='Perfil'!$B$3,COUNTIF($B$4:$B795,'Perfil'!$B$3),"")</f>
        <v/>
      </c>
    </row>
    <row r="796">
      <c r="A796" s="22" t="n"/>
      <c r="B796" s="23" t="n"/>
      <c r="C796" s="23" t="n"/>
      <c r="D796" s="24" t="n"/>
      <c r="E796" s="24" t="n"/>
      <c r="F796" s="23" t="n"/>
      <c r="G796" s="19">
        <f>IFERROR(IF(OR($B796="",$C796=""),"",IF(MATCH($C796,'Ajustes'!$A$5:$A$8,0)&lt;=2,$D796*INDEX('Ajustes'!$C$5:$C$6,MATCH($C796,'Ajustes'!$A$5:$A$8,0)),IF(MATCH($C796,'Ajustes'!$A$5:$A$8,0)=3,-($D796+$E796*INDEX('Equipo'!$B$5:$B$29,MATCH($B796,'Equipo'!$A$5:$A$29,0))),0))),"")</f>
        <v/>
      </c>
      <c r="H796" s="25">
        <f>IFERROR(IF(OR($B796="",$C796=""),"",IF(MATCH($C796,'Ajustes'!$A$5:$A$8,0)=4,$D796/INDEX('Equipo'!$B$5:$B$29,MATCH($B796,'Equipo'!$A$5:$A$29,0))+$E796,0)),"")</f>
        <v/>
      </c>
      <c r="I796" s="26">
        <f>IF($B796='Perfil'!$B$3,COUNTIF($B$4:$B796,'Perfil'!$B$3),"")</f>
        <v/>
      </c>
    </row>
    <row r="797">
      <c r="A797" s="22" t="n"/>
      <c r="B797" s="23" t="n"/>
      <c r="C797" s="23" t="n"/>
      <c r="D797" s="24" t="n"/>
      <c r="E797" s="24" t="n"/>
      <c r="F797" s="23" t="n"/>
      <c r="G797" s="19">
        <f>IFERROR(IF(OR($B797="",$C797=""),"",IF(MATCH($C797,'Ajustes'!$A$5:$A$8,0)&lt;=2,$D797*INDEX('Ajustes'!$C$5:$C$6,MATCH($C797,'Ajustes'!$A$5:$A$8,0)),IF(MATCH($C797,'Ajustes'!$A$5:$A$8,0)=3,-($D797+$E797*INDEX('Equipo'!$B$5:$B$29,MATCH($B797,'Equipo'!$A$5:$A$29,0))),0))),"")</f>
        <v/>
      </c>
      <c r="H797" s="25">
        <f>IFERROR(IF(OR($B797="",$C797=""),"",IF(MATCH($C797,'Ajustes'!$A$5:$A$8,0)=4,$D797/INDEX('Equipo'!$B$5:$B$29,MATCH($B797,'Equipo'!$A$5:$A$29,0))+$E797,0)),"")</f>
        <v/>
      </c>
      <c r="I797" s="26">
        <f>IF($B797='Perfil'!$B$3,COUNTIF($B$4:$B797,'Perfil'!$B$3),"")</f>
        <v/>
      </c>
    </row>
    <row r="798">
      <c r="A798" s="22" t="n"/>
      <c r="B798" s="23" t="n"/>
      <c r="C798" s="23" t="n"/>
      <c r="D798" s="24" t="n"/>
      <c r="E798" s="24" t="n"/>
      <c r="F798" s="23" t="n"/>
      <c r="G798" s="19">
        <f>IFERROR(IF(OR($B798="",$C798=""),"",IF(MATCH($C798,'Ajustes'!$A$5:$A$8,0)&lt;=2,$D798*INDEX('Ajustes'!$C$5:$C$6,MATCH($C798,'Ajustes'!$A$5:$A$8,0)),IF(MATCH($C798,'Ajustes'!$A$5:$A$8,0)=3,-($D798+$E798*INDEX('Equipo'!$B$5:$B$29,MATCH($B798,'Equipo'!$A$5:$A$29,0))),0))),"")</f>
        <v/>
      </c>
      <c r="H798" s="25">
        <f>IFERROR(IF(OR($B798="",$C798=""),"",IF(MATCH($C798,'Ajustes'!$A$5:$A$8,0)=4,$D798/INDEX('Equipo'!$B$5:$B$29,MATCH($B798,'Equipo'!$A$5:$A$29,0))+$E798,0)),"")</f>
        <v/>
      </c>
      <c r="I798" s="26">
        <f>IF($B798='Perfil'!$B$3,COUNTIF($B$4:$B798,'Perfil'!$B$3),"")</f>
        <v/>
      </c>
    </row>
    <row r="799">
      <c r="A799" s="22" t="n"/>
      <c r="B799" s="23" t="n"/>
      <c r="C799" s="23" t="n"/>
      <c r="D799" s="24" t="n"/>
      <c r="E799" s="24" t="n"/>
      <c r="F799" s="23" t="n"/>
      <c r="G799" s="19">
        <f>IFERROR(IF(OR($B799="",$C799=""),"",IF(MATCH($C799,'Ajustes'!$A$5:$A$8,0)&lt;=2,$D799*INDEX('Ajustes'!$C$5:$C$6,MATCH($C799,'Ajustes'!$A$5:$A$8,0)),IF(MATCH($C799,'Ajustes'!$A$5:$A$8,0)=3,-($D799+$E799*INDEX('Equipo'!$B$5:$B$29,MATCH($B799,'Equipo'!$A$5:$A$29,0))),0))),"")</f>
        <v/>
      </c>
      <c r="H799" s="25">
        <f>IFERROR(IF(OR($B799="",$C799=""),"",IF(MATCH($C799,'Ajustes'!$A$5:$A$8,0)=4,$D799/INDEX('Equipo'!$B$5:$B$29,MATCH($B799,'Equipo'!$A$5:$A$29,0))+$E799,0)),"")</f>
        <v/>
      </c>
      <c r="I799" s="26">
        <f>IF($B799='Perfil'!$B$3,COUNTIF($B$4:$B799,'Perfil'!$B$3),"")</f>
        <v/>
      </c>
    </row>
    <row r="800">
      <c r="A800" s="22" t="n"/>
      <c r="B800" s="23" t="n"/>
      <c r="C800" s="23" t="n"/>
      <c r="D800" s="24" t="n"/>
      <c r="E800" s="24" t="n"/>
      <c r="F800" s="23" t="n"/>
      <c r="G800" s="19">
        <f>IFERROR(IF(OR($B800="",$C800=""),"",IF(MATCH($C800,'Ajustes'!$A$5:$A$8,0)&lt;=2,$D800*INDEX('Ajustes'!$C$5:$C$6,MATCH($C800,'Ajustes'!$A$5:$A$8,0)),IF(MATCH($C800,'Ajustes'!$A$5:$A$8,0)=3,-($D800+$E800*INDEX('Equipo'!$B$5:$B$29,MATCH($B800,'Equipo'!$A$5:$A$29,0))),0))),"")</f>
        <v/>
      </c>
      <c r="H800" s="25">
        <f>IFERROR(IF(OR($B800="",$C800=""),"",IF(MATCH($C800,'Ajustes'!$A$5:$A$8,0)=4,$D800/INDEX('Equipo'!$B$5:$B$29,MATCH($B800,'Equipo'!$A$5:$A$29,0))+$E800,0)),"")</f>
        <v/>
      </c>
      <c r="I800" s="26">
        <f>IF($B800='Perfil'!$B$3,COUNTIF($B$4:$B800,'Perfil'!$B$3),"")</f>
        <v/>
      </c>
    </row>
    <row r="801">
      <c r="A801" s="22" t="n"/>
      <c r="B801" s="23" t="n"/>
      <c r="C801" s="23" t="n"/>
      <c r="D801" s="24" t="n"/>
      <c r="E801" s="24" t="n"/>
      <c r="F801" s="23" t="n"/>
      <c r="G801" s="19">
        <f>IFERROR(IF(OR($B801="",$C801=""),"",IF(MATCH($C801,'Ajustes'!$A$5:$A$8,0)&lt;=2,$D801*INDEX('Ajustes'!$C$5:$C$6,MATCH($C801,'Ajustes'!$A$5:$A$8,0)),IF(MATCH($C801,'Ajustes'!$A$5:$A$8,0)=3,-($D801+$E801*INDEX('Equipo'!$B$5:$B$29,MATCH($B801,'Equipo'!$A$5:$A$29,0))),0))),"")</f>
        <v/>
      </c>
      <c r="H801" s="25">
        <f>IFERROR(IF(OR($B801="",$C801=""),"",IF(MATCH($C801,'Ajustes'!$A$5:$A$8,0)=4,$D801/INDEX('Equipo'!$B$5:$B$29,MATCH($B801,'Equipo'!$A$5:$A$29,0))+$E801,0)),"")</f>
        <v/>
      </c>
      <c r="I801" s="26">
        <f>IF($B801='Perfil'!$B$3,COUNTIF($B$4:$B801,'Perfil'!$B$3),"")</f>
        <v/>
      </c>
    </row>
    <row r="802">
      <c r="A802" s="22" t="n"/>
      <c r="B802" s="23" t="n"/>
      <c r="C802" s="23" t="n"/>
      <c r="D802" s="24" t="n"/>
      <c r="E802" s="24" t="n"/>
      <c r="F802" s="23" t="n"/>
      <c r="G802" s="19">
        <f>IFERROR(IF(OR($B802="",$C802=""),"",IF(MATCH($C802,'Ajustes'!$A$5:$A$8,0)&lt;=2,$D802*INDEX('Ajustes'!$C$5:$C$6,MATCH($C802,'Ajustes'!$A$5:$A$8,0)),IF(MATCH($C802,'Ajustes'!$A$5:$A$8,0)=3,-($D802+$E802*INDEX('Equipo'!$B$5:$B$29,MATCH($B802,'Equipo'!$A$5:$A$29,0))),0))),"")</f>
        <v/>
      </c>
      <c r="H802" s="25">
        <f>IFERROR(IF(OR($B802="",$C802=""),"",IF(MATCH($C802,'Ajustes'!$A$5:$A$8,0)=4,$D802/INDEX('Equipo'!$B$5:$B$29,MATCH($B802,'Equipo'!$A$5:$A$29,0))+$E802,0)),"")</f>
        <v/>
      </c>
      <c r="I802" s="26">
        <f>IF($B802='Perfil'!$B$3,COUNTIF($B$4:$B802,'Perfil'!$B$3),"")</f>
        <v/>
      </c>
    </row>
    <row r="803">
      <c r="A803" s="22" t="n"/>
      <c r="B803" s="23" t="n"/>
      <c r="C803" s="23" t="n"/>
      <c r="D803" s="24" t="n"/>
      <c r="E803" s="24" t="n"/>
      <c r="F803" s="23" t="n"/>
      <c r="G803" s="19">
        <f>IFERROR(IF(OR($B803="",$C803=""),"",IF(MATCH($C803,'Ajustes'!$A$5:$A$8,0)&lt;=2,$D803*INDEX('Ajustes'!$C$5:$C$6,MATCH($C803,'Ajustes'!$A$5:$A$8,0)),IF(MATCH($C803,'Ajustes'!$A$5:$A$8,0)=3,-($D803+$E803*INDEX('Equipo'!$B$5:$B$29,MATCH($B803,'Equipo'!$A$5:$A$29,0))),0))),"")</f>
        <v/>
      </c>
      <c r="H803" s="25">
        <f>IFERROR(IF(OR($B803="",$C803=""),"",IF(MATCH($C803,'Ajustes'!$A$5:$A$8,0)=4,$D803/INDEX('Equipo'!$B$5:$B$29,MATCH($B803,'Equipo'!$A$5:$A$29,0))+$E803,0)),"")</f>
        <v/>
      </c>
      <c r="I803" s="26">
        <f>IF($B803='Perfil'!$B$3,COUNTIF($B$4:$B803,'Perfil'!$B$3),"")</f>
        <v/>
      </c>
    </row>
    <row r="804">
      <c r="A804" s="22" t="n"/>
      <c r="B804" s="23" t="n"/>
      <c r="C804" s="23" t="n"/>
      <c r="D804" s="24" t="n"/>
      <c r="E804" s="24" t="n"/>
      <c r="F804" s="23" t="n"/>
      <c r="G804" s="19">
        <f>IFERROR(IF(OR($B804="",$C804=""),"",IF(MATCH($C804,'Ajustes'!$A$5:$A$8,0)&lt;=2,$D804*INDEX('Ajustes'!$C$5:$C$6,MATCH($C804,'Ajustes'!$A$5:$A$8,0)),IF(MATCH($C804,'Ajustes'!$A$5:$A$8,0)=3,-($D804+$E804*INDEX('Equipo'!$B$5:$B$29,MATCH($B804,'Equipo'!$A$5:$A$29,0))),0))),"")</f>
        <v/>
      </c>
      <c r="H804" s="25">
        <f>IFERROR(IF(OR($B804="",$C804=""),"",IF(MATCH($C804,'Ajustes'!$A$5:$A$8,0)=4,$D804/INDEX('Equipo'!$B$5:$B$29,MATCH($B804,'Equipo'!$A$5:$A$29,0))+$E804,0)),"")</f>
        <v/>
      </c>
      <c r="I804" s="26">
        <f>IF($B804='Perfil'!$B$3,COUNTIF($B$4:$B804,'Perfil'!$B$3),"")</f>
        <v/>
      </c>
    </row>
    <row r="805">
      <c r="A805" s="22" t="n"/>
      <c r="B805" s="23" t="n"/>
      <c r="C805" s="23" t="n"/>
      <c r="D805" s="24" t="n"/>
      <c r="E805" s="24" t="n"/>
      <c r="F805" s="23" t="n"/>
      <c r="G805" s="19">
        <f>IFERROR(IF(OR($B805="",$C805=""),"",IF(MATCH($C805,'Ajustes'!$A$5:$A$8,0)&lt;=2,$D805*INDEX('Ajustes'!$C$5:$C$6,MATCH($C805,'Ajustes'!$A$5:$A$8,0)),IF(MATCH($C805,'Ajustes'!$A$5:$A$8,0)=3,-($D805+$E805*INDEX('Equipo'!$B$5:$B$29,MATCH($B805,'Equipo'!$A$5:$A$29,0))),0))),"")</f>
        <v/>
      </c>
      <c r="H805" s="25">
        <f>IFERROR(IF(OR($B805="",$C805=""),"",IF(MATCH($C805,'Ajustes'!$A$5:$A$8,0)=4,$D805/INDEX('Equipo'!$B$5:$B$29,MATCH($B805,'Equipo'!$A$5:$A$29,0))+$E805,0)),"")</f>
        <v/>
      </c>
      <c r="I805" s="26">
        <f>IF($B805='Perfil'!$B$3,COUNTIF($B$4:$B805,'Perfil'!$B$3),"")</f>
        <v/>
      </c>
    </row>
    <row r="806">
      <c r="A806" s="22" t="n"/>
      <c r="B806" s="23" t="n"/>
      <c r="C806" s="23" t="n"/>
      <c r="D806" s="24" t="n"/>
      <c r="E806" s="24" t="n"/>
      <c r="F806" s="23" t="n"/>
      <c r="G806" s="19">
        <f>IFERROR(IF(OR($B806="",$C806=""),"",IF(MATCH($C806,'Ajustes'!$A$5:$A$8,0)&lt;=2,$D806*INDEX('Ajustes'!$C$5:$C$6,MATCH($C806,'Ajustes'!$A$5:$A$8,0)),IF(MATCH($C806,'Ajustes'!$A$5:$A$8,0)=3,-($D806+$E806*INDEX('Equipo'!$B$5:$B$29,MATCH($B806,'Equipo'!$A$5:$A$29,0))),0))),"")</f>
        <v/>
      </c>
      <c r="H806" s="25">
        <f>IFERROR(IF(OR($B806="",$C806=""),"",IF(MATCH($C806,'Ajustes'!$A$5:$A$8,0)=4,$D806/INDEX('Equipo'!$B$5:$B$29,MATCH($B806,'Equipo'!$A$5:$A$29,0))+$E806,0)),"")</f>
        <v/>
      </c>
      <c r="I806" s="26">
        <f>IF($B806='Perfil'!$B$3,COUNTIF($B$4:$B806,'Perfil'!$B$3),"")</f>
        <v/>
      </c>
    </row>
    <row r="807">
      <c r="A807" s="22" t="n"/>
      <c r="B807" s="23" t="n"/>
      <c r="C807" s="23" t="n"/>
      <c r="D807" s="24" t="n"/>
      <c r="E807" s="24" t="n"/>
      <c r="F807" s="23" t="n"/>
      <c r="G807" s="19">
        <f>IFERROR(IF(OR($B807="",$C807=""),"",IF(MATCH($C807,'Ajustes'!$A$5:$A$8,0)&lt;=2,$D807*INDEX('Ajustes'!$C$5:$C$6,MATCH($C807,'Ajustes'!$A$5:$A$8,0)),IF(MATCH($C807,'Ajustes'!$A$5:$A$8,0)=3,-($D807+$E807*INDEX('Equipo'!$B$5:$B$29,MATCH($B807,'Equipo'!$A$5:$A$29,0))),0))),"")</f>
        <v/>
      </c>
      <c r="H807" s="25">
        <f>IFERROR(IF(OR($B807="",$C807=""),"",IF(MATCH($C807,'Ajustes'!$A$5:$A$8,0)=4,$D807/INDEX('Equipo'!$B$5:$B$29,MATCH($B807,'Equipo'!$A$5:$A$29,0))+$E807,0)),"")</f>
        <v/>
      </c>
      <c r="I807" s="26">
        <f>IF($B807='Perfil'!$B$3,COUNTIF($B$4:$B807,'Perfil'!$B$3),"")</f>
        <v/>
      </c>
    </row>
    <row r="808">
      <c r="A808" s="22" t="n"/>
      <c r="B808" s="23" t="n"/>
      <c r="C808" s="23" t="n"/>
      <c r="D808" s="24" t="n"/>
      <c r="E808" s="24" t="n"/>
      <c r="F808" s="23" t="n"/>
      <c r="G808" s="19">
        <f>IFERROR(IF(OR($B808="",$C808=""),"",IF(MATCH($C808,'Ajustes'!$A$5:$A$8,0)&lt;=2,$D808*INDEX('Ajustes'!$C$5:$C$6,MATCH($C808,'Ajustes'!$A$5:$A$8,0)),IF(MATCH($C808,'Ajustes'!$A$5:$A$8,0)=3,-($D808+$E808*INDEX('Equipo'!$B$5:$B$29,MATCH($B808,'Equipo'!$A$5:$A$29,0))),0))),"")</f>
        <v/>
      </c>
      <c r="H808" s="25">
        <f>IFERROR(IF(OR($B808="",$C808=""),"",IF(MATCH($C808,'Ajustes'!$A$5:$A$8,0)=4,$D808/INDEX('Equipo'!$B$5:$B$29,MATCH($B808,'Equipo'!$A$5:$A$29,0))+$E808,0)),"")</f>
        <v/>
      </c>
      <c r="I808" s="26">
        <f>IF($B808='Perfil'!$B$3,COUNTIF($B$4:$B808,'Perfil'!$B$3),"")</f>
        <v/>
      </c>
    </row>
    <row r="809">
      <c r="A809" s="22" t="n"/>
      <c r="B809" s="23" t="n"/>
      <c r="C809" s="23" t="n"/>
      <c r="D809" s="24" t="n"/>
      <c r="E809" s="24" t="n"/>
      <c r="F809" s="23" t="n"/>
      <c r="G809" s="19">
        <f>IFERROR(IF(OR($B809="",$C809=""),"",IF(MATCH($C809,'Ajustes'!$A$5:$A$8,0)&lt;=2,$D809*INDEX('Ajustes'!$C$5:$C$6,MATCH($C809,'Ajustes'!$A$5:$A$8,0)),IF(MATCH($C809,'Ajustes'!$A$5:$A$8,0)=3,-($D809+$E809*INDEX('Equipo'!$B$5:$B$29,MATCH($B809,'Equipo'!$A$5:$A$29,0))),0))),"")</f>
        <v/>
      </c>
      <c r="H809" s="25">
        <f>IFERROR(IF(OR($B809="",$C809=""),"",IF(MATCH($C809,'Ajustes'!$A$5:$A$8,0)=4,$D809/INDEX('Equipo'!$B$5:$B$29,MATCH($B809,'Equipo'!$A$5:$A$29,0))+$E809,0)),"")</f>
        <v/>
      </c>
      <c r="I809" s="26">
        <f>IF($B809='Perfil'!$B$3,COUNTIF($B$4:$B809,'Perfil'!$B$3),"")</f>
        <v/>
      </c>
    </row>
    <row r="810">
      <c r="A810" s="22" t="n"/>
      <c r="B810" s="23" t="n"/>
      <c r="C810" s="23" t="n"/>
      <c r="D810" s="24" t="n"/>
      <c r="E810" s="24" t="n"/>
      <c r="F810" s="23" t="n"/>
      <c r="G810" s="19">
        <f>IFERROR(IF(OR($B810="",$C810=""),"",IF(MATCH($C810,'Ajustes'!$A$5:$A$8,0)&lt;=2,$D810*INDEX('Ajustes'!$C$5:$C$6,MATCH($C810,'Ajustes'!$A$5:$A$8,0)),IF(MATCH($C810,'Ajustes'!$A$5:$A$8,0)=3,-($D810+$E810*INDEX('Equipo'!$B$5:$B$29,MATCH($B810,'Equipo'!$A$5:$A$29,0))),0))),"")</f>
        <v/>
      </c>
      <c r="H810" s="25">
        <f>IFERROR(IF(OR($B810="",$C810=""),"",IF(MATCH($C810,'Ajustes'!$A$5:$A$8,0)=4,$D810/INDEX('Equipo'!$B$5:$B$29,MATCH($B810,'Equipo'!$A$5:$A$29,0))+$E810,0)),"")</f>
        <v/>
      </c>
      <c r="I810" s="26">
        <f>IF($B810='Perfil'!$B$3,COUNTIF($B$4:$B810,'Perfil'!$B$3),"")</f>
        <v/>
      </c>
    </row>
    <row r="811">
      <c r="A811" s="22" t="n"/>
      <c r="B811" s="23" t="n"/>
      <c r="C811" s="23" t="n"/>
      <c r="D811" s="24" t="n"/>
      <c r="E811" s="24" t="n"/>
      <c r="F811" s="23" t="n"/>
      <c r="G811" s="19">
        <f>IFERROR(IF(OR($B811="",$C811=""),"",IF(MATCH($C811,'Ajustes'!$A$5:$A$8,0)&lt;=2,$D811*INDEX('Ajustes'!$C$5:$C$6,MATCH($C811,'Ajustes'!$A$5:$A$8,0)),IF(MATCH($C811,'Ajustes'!$A$5:$A$8,0)=3,-($D811+$E811*INDEX('Equipo'!$B$5:$B$29,MATCH($B811,'Equipo'!$A$5:$A$29,0))),0))),"")</f>
        <v/>
      </c>
      <c r="H811" s="25">
        <f>IFERROR(IF(OR($B811="",$C811=""),"",IF(MATCH($C811,'Ajustes'!$A$5:$A$8,0)=4,$D811/INDEX('Equipo'!$B$5:$B$29,MATCH($B811,'Equipo'!$A$5:$A$29,0))+$E811,0)),"")</f>
        <v/>
      </c>
      <c r="I811" s="26">
        <f>IF($B811='Perfil'!$B$3,COUNTIF($B$4:$B811,'Perfil'!$B$3),"")</f>
        <v/>
      </c>
    </row>
    <row r="812">
      <c r="A812" s="22" t="n"/>
      <c r="B812" s="23" t="n"/>
      <c r="C812" s="23" t="n"/>
      <c r="D812" s="24" t="n"/>
      <c r="E812" s="24" t="n"/>
      <c r="F812" s="23" t="n"/>
      <c r="G812" s="19">
        <f>IFERROR(IF(OR($B812="",$C812=""),"",IF(MATCH($C812,'Ajustes'!$A$5:$A$8,0)&lt;=2,$D812*INDEX('Ajustes'!$C$5:$C$6,MATCH($C812,'Ajustes'!$A$5:$A$8,0)),IF(MATCH($C812,'Ajustes'!$A$5:$A$8,0)=3,-($D812+$E812*INDEX('Equipo'!$B$5:$B$29,MATCH($B812,'Equipo'!$A$5:$A$29,0))),0))),"")</f>
        <v/>
      </c>
      <c r="H812" s="25">
        <f>IFERROR(IF(OR($B812="",$C812=""),"",IF(MATCH($C812,'Ajustes'!$A$5:$A$8,0)=4,$D812/INDEX('Equipo'!$B$5:$B$29,MATCH($B812,'Equipo'!$A$5:$A$29,0))+$E812,0)),"")</f>
        <v/>
      </c>
      <c r="I812" s="26">
        <f>IF($B812='Perfil'!$B$3,COUNTIF($B$4:$B812,'Perfil'!$B$3),"")</f>
        <v/>
      </c>
    </row>
    <row r="813">
      <c r="A813" s="22" t="n"/>
      <c r="B813" s="23" t="n"/>
      <c r="C813" s="23" t="n"/>
      <c r="D813" s="24" t="n"/>
      <c r="E813" s="24" t="n"/>
      <c r="F813" s="23" t="n"/>
      <c r="G813" s="19">
        <f>IFERROR(IF(OR($B813="",$C813=""),"",IF(MATCH($C813,'Ajustes'!$A$5:$A$8,0)&lt;=2,$D813*INDEX('Ajustes'!$C$5:$C$6,MATCH($C813,'Ajustes'!$A$5:$A$8,0)),IF(MATCH($C813,'Ajustes'!$A$5:$A$8,0)=3,-($D813+$E813*INDEX('Equipo'!$B$5:$B$29,MATCH($B813,'Equipo'!$A$5:$A$29,0))),0))),"")</f>
        <v/>
      </c>
      <c r="H813" s="25">
        <f>IFERROR(IF(OR($B813="",$C813=""),"",IF(MATCH($C813,'Ajustes'!$A$5:$A$8,0)=4,$D813/INDEX('Equipo'!$B$5:$B$29,MATCH($B813,'Equipo'!$A$5:$A$29,0))+$E813,0)),"")</f>
        <v/>
      </c>
      <c r="I813" s="26">
        <f>IF($B813='Perfil'!$B$3,COUNTIF($B$4:$B813,'Perfil'!$B$3),"")</f>
        <v/>
      </c>
    </row>
    <row r="814">
      <c r="A814" s="22" t="n"/>
      <c r="B814" s="23" t="n"/>
      <c r="C814" s="23" t="n"/>
      <c r="D814" s="24" t="n"/>
      <c r="E814" s="24" t="n"/>
      <c r="F814" s="23" t="n"/>
      <c r="G814" s="19">
        <f>IFERROR(IF(OR($B814="",$C814=""),"",IF(MATCH($C814,'Ajustes'!$A$5:$A$8,0)&lt;=2,$D814*INDEX('Ajustes'!$C$5:$C$6,MATCH($C814,'Ajustes'!$A$5:$A$8,0)),IF(MATCH($C814,'Ajustes'!$A$5:$A$8,0)=3,-($D814+$E814*INDEX('Equipo'!$B$5:$B$29,MATCH($B814,'Equipo'!$A$5:$A$29,0))),0))),"")</f>
        <v/>
      </c>
      <c r="H814" s="25">
        <f>IFERROR(IF(OR($B814="",$C814=""),"",IF(MATCH($C814,'Ajustes'!$A$5:$A$8,0)=4,$D814/INDEX('Equipo'!$B$5:$B$29,MATCH($B814,'Equipo'!$A$5:$A$29,0))+$E814,0)),"")</f>
        <v/>
      </c>
      <c r="I814" s="26">
        <f>IF($B814='Perfil'!$B$3,COUNTIF($B$4:$B814,'Perfil'!$B$3),"")</f>
        <v/>
      </c>
    </row>
    <row r="815">
      <c r="A815" s="22" t="n"/>
      <c r="B815" s="23" t="n"/>
      <c r="C815" s="23" t="n"/>
      <c r="D815" s="24" t="n"/>
      <c r="E815" s="24" t="n"/>
      <c r="F815" s="23" t="n"/>
      <c r="G815" s="19">
        <f>IFERROR(IF(OR($B815="",$C815=""),"",IF(MATCH($C815,'Ajustes'!$A$5:$A$8,0)&lt;=2,$D815*INDEX('Ajustes'!$C$5:$C$6,MATCH($C815,'Ajustes'!$A$5:$A$8,0)),IF(MATCH($C815,'Ajustes'!$A$5:$A$8,0)=3,-($D815+$E815*INDEX('Equipo'!$B$5:$B$29,MATCH($B815,'Equipo'!$A$5:$A$29,0))),0))),"")</f>
        <v/>
      </c>
      <c r="H815" s="25">
        <f>IFERROR(IF(OR($B815="",$C815=""),"",IF(MATCH($C815,'Ajustes'!$A$5:$A$8,0)=4,$D815/INDEX('Equipo'!$B$5:$B$29,MATCH($B815,'Equipo'!$A$5:$A$29,0))+$E815,0)),"")</f>
        <v/>
      </c>
      <c r="I815" s="26">
        <f>IF($B815='Perfil'!$B$3,COUNTIF($B$4:$B815,'Perfil'!$B$3),"")</f>
        <v/>
      </c>
    </row>
    <row r="816">
      <c r="A816" s="22" t="n"/>
      <c r="B816" s="23" t="n"/>
      <c r="C816" s="23" t="n"/>
      <c r="D816" s="24" t="n"/>
      <c r="E816" s="24" t="n"/>
      <c r="F816" s="23" t="n"/>
      <c r="G816" s="19">
        <f>IFERROR(IF(OR($B816="",$C816=""),"",IF(MATCH($C816,'Ajustes'!$A$5:$A$8,0)&lt;=2,$D816*INDEX('Ajustes'!$C$5:$C$6,MATCH($C816,'Ajustes'!$A$5:$A$8,0)),IF(MATCH($C816,'Ajustes'!$A$5:$A$8,0)=3,-($D816+$E816*INDEX('Equipo'!$B$5:$B$29,MATCH($B816,'Equipo'!$A$5:$A$29,0))),0))),"")</f>
        <v/>
      </c>
      <c r="H816" s="25">
        <f>IFERROR(IF(OR($B816="",$C816=""),"",IF(MATCH($C816,'Ajustes'!$A$5:$A$8,0)=4,$D816/INDEX('Equipo'!$B$5:$B$29,MATCH($B816,'Equipo'!$A$5:$A$29,0))+$E816,0)),"")</f>
        <v/>
      </c>
      <c r="I816" s="26">
        <f>IF($B816='Perfil'!$B$3,COUNTIF($B$4:$B816,'Perfil'!$B$3),"")</f>
        <v/>
      </c>
    </row>
    <row r="817">
      <c r="A817" s="22" t="n"/>
      <c r="B817" s="23" t="n"/>
      <c r="C817" s="23" t="n"/>
      <c r="D817" s="24" t="n"/>
      <c r="E817" s="24" t="n"/>
      <c r="F817" s="23" t="n"/>
      <c r="G817" s="19">
        <f>IFERROR(IF(OR($B817="",$C817=""),"",IF(MATCH($C817,'Ajustes'!$A$5:$A$8,0)&lt;=2,$D817*INDEX('Ajustes'!$C$5:$C$6,MATCH($C817,'Ajustes'!$A$5:$A$8,0)),IF(MATCH($C817,'Ajustes'!$A$5:$A$8,0)=3,-($D817+$E817*INDEX('Equipo'!$B$5:$B$29,MATCH($B817,'Equipo'!$A$5:$A$29,0))),0))),"")</f>
        <v/>
      </c>
      <c r="H817" s="25">
        <f>IFERROR(IF(OR($B817="",$C817=""),"",IF(MATCH($C817,'Ajustes'!$A$5:$A$8,0)=4,$D817/INDEX('Equipo'!$B$5:$B$29,MATCH($B817,'Equipo'!$A$5:$A$29,0))+$E817,0)),"")</f>
        <v/>
      </c>
      <c r="I817" s="26">
        <f>IF($B817='Perfil'!$B$3,COUNTIF($B$4:$B817,'Perfil'!$B$3),"")</f>
        <v/>
      </c>
    </row>
    <row r="818">
      <c r="A818" s="22" t="n"/>
      <c r="B818" s="23" t="n"/>
      <c r="C818" s="23" t="n"/>
      <c r="D818" s="24" t="n"/>
      <c r="E818" s="24" t="n"/>
      <c r="F818" s="23" t="n"/>
      <c r="G818" s="19">
        <f>IFERROR(IF(OR($B818="",$C818=""),"",IF(MATCH($C818,'Ajustes'!$A$5:$A$8,0)&lt;=2,$D818*INDEX('Ajustes'!$C$5:$C$6,MATCH($C818,'Ajustes'!$A$5:$A$8,0)),IF(MATCH($C818,'Ajustes'!$A$5:$A$8,0)=3,-($D818+$E818*INDEX('Equipo'!$B$5:$B$29,MATCH($B818,'Equipo'!$A$5:$A$29,0))),0))),"")</f>
        <v/>
      </c>
      <c r="H818" s="25">
        <f>IFERROR(IF(OR($B818="",$C818=""),"",IF(MATCH($C818,'Ajustes'!$A$5:$A$8,0)=4,$D818/INDEX('Equipo'!$B$5:$B$29,MATCH($B818,'Equipo'!$A$5:$A$29,0))+$E818,0)),"")</f>
        <v/>
      </c>
      <c r="I818" s="26">
        <f>IF($B818='Perfil'!$B$3,COUNTIF($B$4:$B818,'Perfil'!$B$3),"")</f>
        <v/>
      </c>
    </row>
    <row r="819">
      <c r="A819" s="22" t="n"/>
      <c r="B819" s="23" t="n"/>
      <c r="C819" s="23" t="n"/>
      <c r="D819" s="24" t="n"/>
      <c r="E819" s="24" t="n"/>
      <c r="F819" s="23" t="n"/>
      <c r="G819" s="19">
        <f>IFERROR(IF(OR($B819="",$C819=""),"",IF(MATCH($C819,'Ajustes'!$A$5:$A$8,0)&lt;=2,$D819*INDEX('Ajustes'!$C$5:$C$6,MATCH($C819,'Ajustes'!$A$5:$A$8,0)),IF(MATCH($C819,'Ajustes'!$A$5:$A$8,0)=3,-($D819+$E819*INDEX('Equipo'!$B$5:$B$29,MATCH($B819,'Equipo'!$A$5:$A$29,0))),0))),"")</f>
        <v/>
      </c>
      <c r="H819" s="25">
        <f>IFERROR(IF(OR($B819="",$C819=""),"",IF(MATCH($C819,'Ajustes'!$A$5:$A$8,0)=4,$D819/INDEX('Equipo'!$B$5:$B$29,MATCH($B819,'Equipo'!$A$5:$A$29,0))+$E819,0)),"")</f>
        <v/>
      </c>
      <c r="I819" s="26">
        <f>IF($B819='Perfil'!$B$3,COUNTIF($B$4:$B819,'Perfil'!$B$3),"")</f>
        <v/>
      </c>
    </row>
    <row r="820">
      <c r="A820" s="22" t="n"/>
      <c r="B820" s="23" t="n"/>
      <c r="C820" s="23" t="n"/>
      <c r="D820" s="24" t="n"/>
      <c r="E820" s="24" t="n"/>
      <c r="F820" s="23" t="n"/>
      <c r="G820" s="19">
        <f>IFERROR(IF(OR($B820="",$C820=""),"",IF(MATCH($C820,'Ajustes'!$A$5:$A$8,0)&lt;=2,$D820*INDEX('Ajustes'!$C$5:$C$6,MATCH($C820,'Ajustes'!$A$5:$A$8,0)),IF(MATCH($C820,'Ajustes'!$A$5:$A$8,0)=3,-($D820+$E820*INDEX('Equipo'!$B$5:$B$29,MATCH($B820,'Equipo'!$A$5:$A$29,0))),0))),"")</f>
        <v/>
      </c>
      <c r="H820" s="25">
        <f>IFERROR(IF(OR($B820="",$C820=""),"",IF(MATCH($C820,'Ajustes'!$A$5:$A$8,0)=4,$D820/INDEX('Equipo'!$B$5:$B$29,MATCH($B820,'Equipo'!$A$5:$A$29,0))+$E820,0)),"")</f>
        <v/>
      </c>
      <c r="I820" s="26">
        <f>IF($B820='Perfil'!$B$3,COUNTIF($B$4:$B820,'Perfil'!$B$3),"")</f>
        <v/>
      </c>
    </row>
    <row r="821">
      <c r="A821" s="22" t="n"/>
      <c r="B821" s="23" t="n"/>
      <c r="C821" s="23" t="n"/>
      <c r="D821" s="24" t="n"/>
      <c r="E821" s="24" t="n"/>
      <c r="F821" s="23" t="n"/>
      <c r="G821" s="19">
        <f>IFERROR(IF(OR($B821="",$C821=""),"",IF(MATCH($C821,'Ajustes'!$A$5:$A$8,0)&lt;=2,$D821*INDEX('Ajustes'!$C$5:$C$6,MATCH($C821,'Ajustes'!$A$5:$A$8,0)),IF(MATCH($C821,'Ajustes'!$A$5:$A$8,0)=3,-($D821+$E821*INDEX('Equipo'!$B$5:$B$29,MATCH($B821,'Equipo'!$A$5:$A$29,0))),0))),"")</f>
        <v/>
      </c>
      <c r="H821" s="25">
        <f>IFERROR(IF(OR($B821="",$C821=""),"",IF(MATCH($C821,'Ajustes'!$A$5:$A$8,0)=4,$D821/INDEX('Equipo'!$B$5:$B$29,MATCH($B821,'Equipo'!$A$5:$A$29,0))+$E821,0)),"")</f>
        <v/>
      </c>
      <c r="I821" s="26">
        <f>IF($B821='Perfil'!$B$3,COUNTIF($B$4:$B821,'Perfil'!$B$3),"")</f>
        <v/>
      </c>
    </row>
    <row r="822">
      <c r="A822" s="22" t="n"/>
      <c r="B822" s="23" t="n"/>
      <c r="C822" s="23" t="n"/>
      <c r="D822" s="24" t="n"/>
      <c r="E822" s="24" t="n"/>
      <c r="F822" s="23" t="n"/>
      <c r="G822" s="19">
        <f>IFERROR(IF(OR($B822="",$C822=""),"",IF(MATCH($C822,'Ajustes'!$A$5:$A$8,0)&lt;=2,$D822*INDEX('Ajustes'!$C$5:$C$6,MATCH($C822,'Ajustes'!$A$5:$A$8,0)),IF(MATCH($C822,'Ajustes'!$A$5:$A$8,0)=3,-($D822+$E822*INDEX('Equipo'!$B$5:$B$29,MATCH($B822,'Equipo'!$A$5:$A$29,0))),0))),"")</f>
        <v/>
      </c>
      <c r="H822" s="25">
        <f>IFERROR(IF(OR($B822="",$C822=""),"",IF(MATCH($C822,'Ajustes'!$A$5:$A$8,0)=4,$D822/INDEX('Equipo'!$B$5:$B$29,MATCH($B822,'Equipo'!$A$5:$A$29,0))+$E822,0)),"")</f>
        <v/>
      </c>
      <c r="I822" s="26">
        <f>IF($B822='Perfil'!$B$3,COUNTIF($B$4:$B822,'Perfil'!$B$3),"")</f>
        <v/>
      </c>
    </row>
    <row r="823">
      <c r="A823" s="22" t="n"/>
      <c r="B823" s="23" t="n"/>
      <c r="C823" s="23" t="n"/>
      <c r="D823" s="24" t="n"/>
      <c r="E823" s="24" t="n"/>
      <c r="F823" s="23" t="n"/>
      <c r="G823" s="19">
        <f>IFERROR(IF(OR($B823="",$C823=""),"",IF(MATCH($C823,'Ajustes'!$A$5:$A$8,0)&lt;=2,$D823*INDEX('Ajustes'!$C$5:$C$6,MATCH($C823,'Ajustes'!$A$5:$A$8,0)),IF(MATCH($C823,'Ajustes'!$A$5:$A$8,0)=3,-($D823+$E823*INDEX('Equipo'!$B$5:$B$29,MATCH($B823,'Equipo'!$A$5:$A$29,0))),0))),"")</f>
        <v/>
      </c>
      <c r="H823" s="25">
        <f>IFERROR(IF(OR($B823="",$C823=""),"",IF(MATCH($C823,'Ajustes'!$A$5:$A$8,0)=4,$D823/INDEX('Equipo'!$B$5:$B$29,MATCH($B823,'Equipo'!$A$5:$A$29,0))+$E823,0)),"")</f>
        <v/>
      </c>
      <c r="I823" s="26">
        <f>IF($B823='Perfil'!$B$3,COUNTIF($B$4:$B823,'Perfil'!$B$3),"")</f>
        <v/>
      </c>
    </row>
    <row r="824">
      <c r="A824" s="22" t="n"/>
      <c r="B824" s="23" t="n"/>
      <c r="C824" s="23" t="n"/>
      <c r="D824" s="24" t="n"/>
      <c r="E824" s="24" t="n"/>
      <c r="F824" s="23" t="n"/>
      <c r="G824" s="19">
        <f>IFERROR(IF(OR($B824="",$C824=""),"",IF(MATCH($C824,'Ajustes'!$A$5:$A$8,0)&lt;=2,$D824*INDEX('Ajustes'!$C$5:$C$6,MATCH($C824,'Ajustes'!$A$5:$A$8,0)),IF(MATCH($C824,'Ajustes'!$A$5:$A$8,0)=3,-($D824+$E824*INDEX('Equipo'!$B$5:$B$29,MATCH($B824,'Equipo'!$A$5:$A$29,0))),0))),"")</f>
        <v/>
      </c>
      <c r="H824" s="25">
        <f>IFERROR(IF(OR($B824="",$C824=""),"",IF(MATCH($C824,'Ajustes'!$A$5:$A$8,0)=4,$D824/INDEX('Equipo'!$B$5:$B$29,MATCH($B824,'Equipo'!$A$5:$A$29,0))+$E824,0)),"")</f>
        <v/>
      </c>
      <c r="I824" s="26">
        <f>IF($B824='Perfil'!$B$3,COUNTIF($B$4:$B824,'Perfil'!$B$3),"")</f>
        <v/>
      </c>
    </row>
    <row r="825">
      <c r="A825" s="22" t="n"/>
      <c r="B825" s="23" t="n"/>
      <c r="C825" s="23" t="n"/>
      <c r="D825" s="24" t="n"/>
      <c r="E825" s="24" t="n"/>
      <c r="F825" s="23" t="n"/>
      <c r="G825" s="19">
        <f>IFERROR(IF(OR($B825="",$C825=""),"",IF(MATCH($C825,'Ajustes'!$A$5:$A$8,0)&lt;=2,$D825*INDEX('Ajustes'!$C$5:$C$6,MATCH($C825,'Ajustes'!$A$5:$A$8,0)),IF(MATCH($C825,'Ajustes'!$A$5:$A$8,0)=3,-($D825+$E825*INDEX('Equipo'!$B$5:$B$29,MATCH($B825,'Equipo'!$A$5:$A$29,0))),0))),"")</f>
        <v/>
      </c>
      <c r="H825" s="25">
        <f>IFERROR(IF(OR($B825="",$C825=""),"",IF(MATCH($C825,'Ajustes'!$A$5:$A$8,0)=4,$D825/INDEX('Equipo'!$B$5:$B$29,MATCH($B825,'Equipo'!$A$5:$A$29,0))+$E825,0)),"")</f>
        <v/>
      </c>
      <c r="I825" s="26">
        <f>IF($B825='Perfil'!$B$3,COUNTIF($B$4:$B825,'Perfil'!$B$3),"")</f>
        <v/>
      </c>
    </row>
    <row r="826">
      <c r="A826" s="22" t="n"/>
      <c r="B826" s="23" t="n"/>
      <c r="C826" s="23" t="n"/>
      <c r="D826" s="24" t="n"/>
      <c r="E826" s="24" t="n"/>
      <c r="F826" s="23" t="n"/>
      <c r="G826" s="19">
        <f>IFERROR(IF(OR($B826="",$C826=""),"",IF(MATCH($C826,'Ajustes'!$A$5:$A$8,0)&lt;=2,$D826*INDEX('Ajustes'!$C$5:$C$6,MATCH($C826,'Ajustes'!$A$5:$A$8,0)),IF(MATCH($C826,'Ajustes'!$A$5:$A$8,0)=3,-($D826+$E826*INDEX('Equipo'!$B$5:$B$29,MATCH($B826,'Equipo'!$A$5:$A$29,0))),0))),"")</f>
        <v/>
      </c>
      <c r="H826" s="25">
        <f>IFERROR(IF(OR($B826="",$C826=""),"",IF(MATCH($C826,'Ajustes'!$A$5:$A$8,0)=4,$D826/INDEX('Equipo'!$B$5:$B$29,MATCH($B826,'Equipo'!$A$5:$A$29,0))+$E826,0)),"")</f>
        <v/>
      </c>
      <c r="I826" s="26">
        <f>IF($B826='Perfil'!$B$3,COUNTIF($B$4:$B826,'Perfil'!$B$3),"")</f>
        <v/>
      </c>
    </row>
    <row r="827">
      <c r="A827" s="22" t="n"/>
      <c r="B827" s="23" t="n"/>
      <c r="C827" s="23" t="n"/>
      <c r="D827" s="24" t="n"/>
      <c r="E827" s="24" t="n"/>
      <c r="F827" s="23" t="n"/>
      <c r="G827" s="19">
        <f>IFERROR(IF(OR($B827="",$C827=""),"",IF(MATCH($C827,'Ajustes'!$A$5:$A$8,0)&lt;=2,$D827*INDEX('Ajustes'!$C$5:$C$6,MATCH($C827,'Ajustes'!$A$5:$A$8,0)),IF(MATCH($C827,'Ajustes'!$A$5:$A$8,0)=3,-($D827+$E827*INDEX('Equipo'!$B$5:$B$29,MATCH($B827,'Equipo'!$A$5:$A$29,0))),0))),"")</f>
        <v/>
      </c>
      <c r="H827" s="25">
        <f>IFERROR(IF(OR($B827="",$C827=""),"",IF(MATCH($C827,'Ajustes'!$A$5:$A$8,0)=4,$D827/INDEX('Equipo'!$B$5:$B$29,MATCH($B827,'Equipo'!$A$5:$A$29,0))+$E827,0)),"")</f>
        <v/>
      </c>
      <c r="I827" s="26">
        <f>IF($B827='Perfil'!$B$3,COUNTIF($B$4:$B827,'Perfil'!$B$3),"")</f>
        <v/>
      </c>
    </row>
    <row r="828">
      <c r="A828" s="22" t="n"/>
      <c r="B828" s="23" t="n"/>
      <c r="C828" s="23" t="n"/>
      <c r="D828" s="24" t="n"/>
      <c r="E828" s="24" t="n"/>
      <c r="F828" s="23" t="n"/>
      <c r="G828" s="19">
        <f>IFERROR(IF(OR($B828="",$C828=""),"",IF(MATCH($C828,'Ajustes'!$A$5:$A$8,0)&lt;=2,$D828*INDEX('Ajustes'!$C$5:$C$6,MATCH($C828,'Ajustes'!$A$5:$A$8,0)),IF(MATCH($C828,'Ajustes'!$A$5:$A$8,0)=3,-($D828+$E828*INDEX('Equipo'!$B$5:$B$29,MATCH($B828,'Equipo'!$A$5:$A$29,0))),0))),"")</f>
        <v/>
      </c>
      <c r="H828" s="25">
        <f>IFERROR(IF(OR($B828="",$C828=""),"",IF(MATCH($C828,'Ajustes'!$A$5:$A$8,0)=4,$D828/INDEX('Equipo'!$B$5:$B$29,MATCH($B828,'Equipo'!$A$5:$A$29,0))+$E828,0)),"")</f>
        <v/>
      </c>
      <c r="I828" s="26">
        <f>IF($B828='Perfil'!$B$3,COUNTIF($B$4:$B828,'Perfil'!$B$3),"")</f>
        <v/>
      </c>
    </row>
    <row r="829">
      <c r="A829" s="22" t="n"/>
      <c r="B829" s="23" t="n"/>
      <c r="C829" s="23" t="n"/>
      <c r="D829" s="24" t="n"/>
      <c r="E829" s="24" t="n"/>
      <c r="F829" s="23" t="n"/>
      <c r="G829" s="19">
        <f>IFERROR(IF(OR($B829="",$C829=""),"",IF(MATCH($C829,'Ajustes'!$A$5:$A$8,0)&lt;=2,$D829*INDEX('Ajustes'!$C$5:$C$6,MATCH($C829,'Ajustes'!$A$5:$A$8,0)),IF(MATCH($C829,'Ajustes'!$A$5:$A$8,0)=3,-($D829+$E829*INDEX('Equipo'!$B$5:$B$29,MATCH($B829,'Equipo'!$A$5:$A$29,0))),0))),"")</f>
        <v/>
      </c>
      <c r="H829" s="25">
        <f>IFERROR(IF(OR($B829="",$C829=""),"",IF(MATCH($C829,'Ajustes'!$A$5:$A$8,0)=4,$D829/INDEX('Equipo'!$B$5:$B$29,MATCH($B829,'Equipo'!$A$5:$A$29,0))+$E829,0)),"")</f>
        <v/>
      </c>
      <c r="I829" s="26">
        <f>IF($B829='Perfil'!$B$3,COUNTIF($B$4:$B829,'Perfil'!$B$3),"")</f>
        <v/>
      </c>
    </row>
    <row r="830">
      <c r="A830" s="22" t="n"/>
      <c r="B830" s="23" t="n"/>
      <c r="C830" s="23" t="n"/>
      <c r="D830" s="24" t="n"/>
      <c r="E830" s="24" t="n"/>
      <c r="F830" s="23" t="n"/>
      <c r="G830" s="19">
        <f>IFERROR(IF(OR($B830="",$C830=""),"",IF(MATCH($C830,'Ajustes'!$A$5:$A$8,0)&lt;=2,$D830*INDEX('Ajustes'!$C$5:$C$6,MATCH($C830,'Ajustes'!$A$5:$A$8,0)),IF(MATCH($C830,'Ajustes'!$A$5:$A$8,0)=3,-($D830+$E830*INDEX('Equipo'!$B$5:$B$29,MATCH($B830,'Equipo'!$A$5:$A$29,0))),0))),"")</f>
        <v/>
      </c>
      <c r="H830" s="25">
        <f>IFERROR(IF(OR($B830="",$C830=""),"",IF(MATCH($C830,'Ajustes'!$A$5:$A$8,0)=4,$D830/INDEX('Equipo'!$B$5:$B$29,MATCH($B830,'Equipo'!$A$5:$A$29,0))+$E830,0)),"")</f>
        <v/>
      </c>
      <c r="I830" s="26">
        <f>IF($B830='Perfil'!$B$3,COUNTIF($B$4:$B830,'Perfil'!$B$3),"")</f>
        <v/>
      </c>
    </row>
    <row r="831">
      <c r="A831" s="22" t="n"/>
      <c r="B831" s="23" t="n"/>
      <c r="C831" s="23" t="n"/>
      <c r="D831" s="24" t="n"/>
      <c r="E831" s="24" t="n"/>
      <c r="F831" s="23" t="n"/>
      <c r="G831" s="19">
        <f>IFERROR(IF(OR($B831="",$C831=""),"",IF(MATCH($C831,'Ajustes'!$A$5:$A$8,0)&lt;=2,$D831*INDEX('Ajustes'!$C$5:$C$6,MATCH($C831,'Ajustes'!$A$5:$A$8,0)),IF(MATCH($C831,'Ajustes'!$A$5:$A$8,0)=3,-($D831+$E831*INDEX('Equipo'!$B$5:$B$29,MATCH($B831,'Equipo'!$A$5:$A$29,0))),0))),"")</f>
        <v/>
      </c>
      <c r="H831" s="25">
        <f>IFERROR(IF(OR($B831="",$C831=""),"",IF(MATCH($C831,'Ajustes'!$A$5:$A$8,0)=4,$D831/INDEX('Equipo'!$B$5:$B$29,MATCH($B831,'Equipo'!$A$5:$A$29,0))+$E831,0)),"")</f>
        <v/>
      </c>
      <c r="I831" s="26">
        <f>IF($B831='Perfil'!$B$3,COUNTIF($B$4:$B831,'Perfil'!$B$3),"")</f>
        <v/>
      </c>
    </row>
    <row r="832">
      <c r="A832" s="22" t="n"/>
      <c r="B832" s="23" t="n"/>
      <c r="C832" s="23" t="n"/>
      <c r="D832" s="24" t="n"/>
      <c r="E832" s="24" t="n"/>
      <c r="F832" s="23" t="n"/>
      <c r="G832" s="19">
        <f>IFERROR(IF(OR($B832="",$C832=""),"",IF(MATCH($C832,'Ajustes'!$A$5:$A$8,0)&lt;=2,$D832*INDEX('Ajustes'!$C$5:$C$6,MATCH($C832,'Ajustes'!$A$5:$A$8,0)),IF(MATCH($C832,'Ajustes'!$A$5:$A$8,0)=3,-($D832+$E832*INDEX('Equipo'!$B$5:$B$29,MATCH($B832,'Equipo'!$A$5:$A$29,0))),0))),"")</f>
        <v/>
      </c>
      <c r="H832" s="25">
        <f>IFERROR(IF(OR($B832="",$C832=""),"",IF(MATCH($C832,'Ajustes'!$A$5:$A$8,0)=4,$D832/INDEX('Equipo'!$B$5:$B$29,MATCH($B832,'Equipo'!$A$5:$A$29,0))+$E832,0)),"")</f>
        <v/>
      </c>
      <c r="I832" s="26">
        <f>IF($B832='Perfil'!$B$3,COUNTIF($B$4:$B832,'Perfil'!$B$3),"")</f>
        <v/>
      </c>
    </row>
    <row r="833">
      <c r="A833" s="22" t="n"/>
      <c r="B833" s="23" t="n"/>
      <c r="C833" s="23" t="n"/>
      <c r="D833" s="24" t="n"/>
      <c r="E833" s="24" t="n"/>
      <c r="F833" s="23" t="n"/>
      <c r="G833" s="19">
        <f>IFERROR(IF(OR($B833="",$C833=""),"",IF(MATCH($C833,'Ajustes'!$A$5:$A$8,0)&lt;=2,$D833*INDEX('Ajustes'!$C$5:$C$6,MATCH($C833,'Ajustes'!$A$5:$A$8,0)),IF(MATCH($C833,'Ajustes'!$A$5:$A$8,0)=3,-($D833+$E833*INDEX('Equipo'!$B$5:$B$29,MATCH($B833,'Equipo'!$A$5:$A$29,0))),0))),"")</f>
        <v/>
      </c>
      <c r="H833" s="25">
        <f>IFERROR(IF(OR($B833="",$C833=""),"",IF(MATCH($C833,'Ajustes'!$A$5:$A$8,0)=4,$D833/INDEX('Equipo'!$B$5:$B$29,MATCH($B833,'Equipo'!$A$5:$A$29,0))+$E833,0)),"")</f>
        <v/>
      </c>
      <c r="I833" s="26">
        <f>IF($B833='Perfil'!$B$3,COUNTIF($B$4:$B833,'Perfil'!$B$3),"")</f>
        <v/>
      </c>
    </row>
    <row r="834">
      <c r="A834" s="22" t="n"/>
      <c r="B834" s="23" t="n"/>
      <c r="C834" s="23" t="n"/>
      <c r="D834" s="24" t="n"/>
      <c r="E834" s="24" t="n"/>
      <c r="F834" s="23" t="n"/>
      <c r="G834" s="19">
        <f>IFERROR(IF(OR($B834="",$C834=""),"",IF(MATCH($C834,'Ajustes'!$A$5:$A$8,0)&lt;=2,$D834*INDEX('Ajustes'!$C$5:$C$6,MATCH($C834,'Ajustes'!$A$5:$A$8,0)),IF(MATCH($C834,'Ajustes'!$A$5:$A$8,0)=3,-($D834+$E834*INDEX('Equipo'!$B$5:$B$29,MATCH($B834,'Equipo'!$A$5:$A$29,0))),0))),"")</f>
        <v/>
      </c>
      <c r="H834" s="25">
        <f>IFERROR(IF(OR($B834="",$C834=""),"",IF(MATCH($C834,'Ajustes'!$A$5:$A$8,0)=4,$D834/INDEX('Equipo'!$B$5:$B$29,MATCH($B834,'Equipo'!$A$5:$A$29,0))+$E834,0)),"")</f>
        <v/>
      </c>
      <c r="I834" s="26">
        <f>IF($B834='Perfil'!$B$3,COUNTIF($B$4:$B834,'Perfil'!$B$3),"")</f>
        <v/>
      </c>
    </row>
    <row r="835">
      <c r="A835" s="22" t="n"/>
      <c r="B835" s="23" t="n"/>
      <c r="C835" s="23" t="n"/>
      <c r="D835" s="24" t="n"/>
      <c r="E835" s="24" t="n"/>
      <c r="F835" s="23" t="n"/>
      <c r="G835" s="19">
        <f>IFERROR(IF(OR($B835="",$C835=""),"",IF(MATCH($C835,'Ajustes'!$A$5:$A$8,0)&lt;=2,$D835*INDEX('Ajustes'!$C$5:$C$6,MATCH($C835,'Ajustes'!$A$5:$A$8,0)),IF(MATCH($C835,'Ajustes'!$A$5:$A$8,0)=3,-($D835+$E835*INDEX('Equipo'!$B$5:$B$29,MATCH($B835,'Equipo'!$A$5:$A$29,0))),0))),"")</f>
        <v/>
      </c>
      <c r="H835" s="25">
        <f>IFERROR(IF(OR($B835="",$C835=""),"",IF(MATCH($C835,'Ajustes'!$A$5:$A$8,0)=4,$D835/INDEX('Equipo'!$B$5:$B$29,MATCH($B835,'Equipo'!$A$5:$A$29,0))+$E835,0)),"")</f>
        <v/>
      </c>
      <c r="I835" s="26">
        <f>IF($B835='Perfil'!$B$3,COUNTIF($B$4:$B835,'Perfil'!$B$3),"")</f>
        <v/>
      </c>
    </row>
    <row r="836">
      <c r="A836" s="22" t="n"/>
      <c r="B836" s="23" t="n"/>
      <c r="C836" s="23" t="n"/>
      <c r="D836" s="24" t="n"/>
      <c r="E836" s="24" t="n"/>
      <c r="F836" s="23" t="n"/>
      <c r="G836" s="19">
        <f>IFERROR(IF(OR($B836="",$C836=""),"",IF(MATCH($C836,'Ajustes'!$A$5:$A$8,0)&lt;=2,$D836*INDEX('Ajustes'!$C$5:$C$6,MATCH($C836,'Ajustes'!$A$5:$A$8,0)),IF(MATCH($C836,'Ajustes'!$A$5:$A$8,0)=3,-($D836+$E836*INDEX('Equipo'!$B$5:$B$29,MATCH($B836,'Equipo'!$A$5:$A$29,0))),0))),"")</f>
        <v/>
      </c>
      <c r="H836" s="25">
        <f>IFERROR(IF(OR($B836="",$C836=""),"",IF(MATCH($C836,'Ajustes'!$A$5:$A$8,0)=4,$D836/INDEX('Equipo'!$B$5:$B$29,MATCH($B836,'Equipo'!$A$5:$A$29,0))+$E836,0)),"")</f>
        <v/>
      </c>
      <c r="I836" s="26">
        <f>IF($B836='Perfil'!$B$3,COUNTIF($B$4:$B836,'Perfil'!$B$3),"")</f>
        <v/>
      </c>
    </row>
    <row r="837">
      <c r="A837" s="22" t="n"/>
      <c r="B837" s="23" t="n"/>
      <c r="C837" s="23" t="n"/>
      <c r="D837" s="24" t="n"/>
      <c r="E837" s="24" t="n"/>
      <c r="F837" s="23" t="n"/>
      <c r="G837" s="19">
        <f>IFERROR(IF(OR($B837="",$C837=""),"",IF(MATCH($C837,'Ajustes'!$A$5:$A$8,0)&lt;=2,$D837*INDEX('Ajustes'!$C$5:$C$6,MATCH($C837,'Ajustes'!$A$5:$A$8,0)),IF(MATCH($C837,'Ajustes'!$A$5:$A$8,0)=3,-($D837+$E837*INDEX('Equipo'!$B$5:$B$29,MATCH($B837,'Equipo'!$A$5:$A$29,0))),0))),"")</f>
        <v/>
      </c>
      <c r="H837" s="25">
        <f>IFERROR(IF(OR($B837="",$C837=""),"",IF(MATCH($C837,'Ajustes'!$A$5:$A$8,0)=4,$D837/INDEX('Equipo'!$B$5:$B$29,MATCH($B837,'Equipo'!$A$5:$A$29,0))+$E837,0)),"")</f>
        <v/>
      </c>
      <c r="I837" s="26">
        <f>IF($B837='Perfil'!$B$3,COUNTIF($B$4:$B837,'Perfil'!$B$3),"")</f>
        <v/>
      </c>
    </row>
    <row r="838">
      <c r="A838" s="22" t="n"/>
      <c r="B838" s="23" t="n"/>
      <c r="C838" s="23" t="n"/>
      <c r="D838" s="24" t="n"/>
      <c r="E838" s="24" t="n"/>
      <c r="F838" s="23" t="n"/>
      <c r="G838" s="19">
        <f>IFERROR(IF(OR($B838="",$C838=""),"",IF(MATCH($C838,'Ajustes'!$A$5:$A$8,0)&lt;=2,$D838*INDEX('Ajustes'!$C$5:$C$6,MATCH($C838,'Ajustes'!$A$5:$A$8,0)),IF(MATCH($C838,'Ajustes'!$A$5:$A$8,0)=3,-($D838+$E838*INDEX('Equipo'!$B$5:$B$29,MATCH($B838,'Equipo'!$A$5:$A$29,0))),0))),"")</f>
        <v/>
      </c>
      <c r="H838" s="25">
        <f>IFERROR(IF(OR($B838="",$C838=""),"",IF(MATCH($C838,'Ajustes'!$A$5:$A$8,0)=4,$D838/INDEX('Equipo'!$B$5:$B$29,MATCH($B838,'Equipo'!$A$5:$A$29,0))+$E838,0)),"")</f>
        <v/>
      </c>
      <c r="I838" s="26">
        <f>IF($B838='Perfil'!$B$3,COUNTIF($B$4:$B838,'Perfil'!$B$3),"")</f>
        <v/>
      </c>
    </row>
    <row r="839">
      <c r="A839" s="22" t="n"/>
      <c r="B839" s="23" t="n"/>
      <c r="C839" s="23" t="n"/>
      <c r="D839" s="24" t="n"/>
      <c r="E839" s="24" t="n"/>
      <c r="F839" s="23" t="n"/>
      <c r="G839" s="19">
        <f>IFERROR(IF(OR($B839="",$C839=""),"",IF(MATCH($C839,'Ajustes'!$A$5:$A$8,0)&lt;=2,$D839*INDEX('Ajustes'!$C$5:$C$6,MATCH($C839,'Ajustes'!$A$5:$A$8,0)),IF(MATCH($C839,'Ajustes'!$A$5:$A$8,0)=3,-($D839+$E839*INDEX('Equipo'!$B$5:$B$29,MATCH($B839,'Equipo'!$A$5:$A$29,0))),0))),"")</f>
        <v/>
      </c>
      <c r="H839" s="25">
        <f>IFERROR(IF(OR($B839="",$C839=""),"",IF(MATCH($C839,'Ajustes'!$A$5:$A$8,0)=4,$D839/INDEX('Equipo'!$B$5:$B$29,MATCH($B839,'Equipo'!$A$5:$A$29,0))+$E839,0)),"")</f>
        <v/>
      </c>
      <c r="I839" s="26">
        <f>IF($B839='Perfil'!$B$3,COUNTIF($B$4:$B839,'Perfil'!$B$3),"")</f>
        <v/>
      </c>
    </row>
    <row r="840">
      <c r="A840" s="22" t="n"/>
      <c r="B840" s="23" t="n"/>
      <c r="C840" s="23" t="n"/>
      <c r="D840" s="24" t="n"/>
      <c r="E840" s="24" t="n"/>
      <c r="F840" s="23" t="n"/>
      <c r="G840" s="19">
        <f>IFERROR(IF(OR($B840="",$C840=""),"",IF(MATCH($C840,'Ajustes'!$A$5:$A$8,0)&lt;=2,$D840*INDEX('Ajustes'!$C$5:$C$6,MATCH($C840,'Ajustes'!$A$5:$A$8,0)),IF(MATCH($C840,'Ajustes'!$A$5:$A$8,0)=3,-($D840+$E840*INDEX('Equipo'!$B$5:$B$29,MATCH($B840,'Equipo'!$A$5:$A$29,0))),0))),"")</f>
        <v/>
      </c>
      <c r="H840" s="25">
        <f>IFERROR(IF(OR($B840="",$C840=""),"",IF(MATCH($C840,'Ajustes'!$A$5:$A$8,0)=4,$D840/INDEX('Equipo'!$B$5:$B$29,MATCH($B840,'Equipo'!$A$5:$A$29,0))+$E840,0)),"")</f>
        <v/>
      </c>
      <c r="I840" s="26">
        <f>IF($B840='Perfil'!$B$3,COUNTIF($B$4:$B840,'Perfil'!$B$3),"")</f>
        <v/>
      </c>
    </row>
    <row r="841">
      <c r="A841" s="22" t="n"/>
      <c r="B841" s="23" t="n"/>
      <c r="C841" s="23" t="n"/>
      <c r="D841" s="24" t="n"/>
      <c r="E841" s="24" t="n"/>
      <c r="F841" s="23" t="n"/>
      <c r="G841" s="19">
        <f>IFERROR(IF(OR($B841="",$C841=""),"",IF(MATCH($C841,'Ajustes'!$A$5:$A$8,0)&lt;=2,$D841*INDEX('Ajustes'!$C$5:$C$6,MATCH($C841,'Ajustes'!$A$5:$A$8,0)),IF(MATCH($C841,'Ajustes'!$A$5:$A$8,0)=3,-($D841+$E841*INDEX('Equipo'!$B$5:$B$29,MATCH($B841,'Equipo'!$A$5:$A$29,0))),0))),"")</f>
        <v/>
      </c>
      <c r="H841" s="25">
        <f>IFERROR(IF(OR($B841="",$C841=""),"",IF(MATCH($C841,'Ajustes'!$A$5:$A$8,0)=4,$D841/INDEX('Equipo'!$B$5:$B$29,MATCH($B841,'Equipo'!$A$5:$A$29,0))+$E841,0)),"")</f>
        <v/>
      </c>
      <c r="I841" s="26">
        <f>IF($B841='Perfil'!$B$3,COUNTIF($B$4:$B841,'Perfil'!$B$3),"")</f>
        <v/>
      </c>
    </row>
    <row r="842">
      <c r="A842" s="22" t="n"/>
      <c r="B842" s="23" t="n"/>
      <c r="C842" s="23" t="n"/>
      <c r="D842" s="24" t="n"/>
      <c r="E842" s="24" t="n"/>
      <c r="F842" s="23" t="n"/>
      <c r="G842" s="19">
        <f>IFERROR(IF(OR($B842="",$C842=""),"",IF(MATCH($C842,'Ajustes'!$A$5:$A$8,0)&lt;=2,$D842*INDEX('Ajustes'!$C$5:$C$6,MATCH($C842,'Ajustes'!$A$5:$A$8,0)),IF(MATCH($C842,'Ajustes'!$A$5:$A$8,0)=3,-($D842+$E842*INDEX('Equipo'!$B$5:$B$29,MATCH($B842,'Equipo'!$A$5:$A$29,0))),0))),"")</f>
        <v/>
      </c>
      <c r="H842" s="25">
        <f>IFERROR(IF(OR($B842="",$C842=""),"",IF(MATCH($C842,'Ajustes'!$A$5:$A$8,0)=4,$D842/INDEX('Equipo'!$B$5:$B$29,MATCH($B842,'Equipo'!$A$5:$A$29,0))+$E842,0)),"")</f>
        <v/>
      </c>
      <c r="I842" s="26">
        <f>IF($B842='Perfil'!$B$3,COUNTIF($B$4:$B842,'Perfil'!$B$3),"")</f>
        <v/>
      </c>
    </row>
    <row r="843">
      <c r="A843" s="22" t="n"/>
      <c r="B843" s="23" t="n"/>
      <c r="C843" s="23" t="n"/>
      <c r="D843" s="24" t="n"/>
      <c r="E843" s="24" t="n"/>
      <c r="F843" s="23" t="n"/>
      <c r="G843" s="19">
        <f>IFERROR(IF(OR($B843="",$C843=""),"",IF(MATCH($C843,'Ajustes'!$A$5:$A$8,0)&lt;=2,$D843*INDEX('Ajustes'!$C$5:$C$6,MATCH($C843,'Ajustes'!$A$5:$A$8,0)),IF(MATCH($C843,'Ajustes'!$A$5:$A$8,0)=3,-($D843+$E843*INDEX('Equipo'!$B$5:$B$29,MATCH($B843,'Equipo'!$A$5:$A$29,0))),0))),"")</f>
        <v/>
      </c>
      <c r="H843" s="25">
        <f>IFERROR(IF(OR($B843="",$C843=""),"",IF(MATCH($C843,'Ajustes'!$A$5:$A$8,0)=4,$D843/INDEX('Equipo'!$B$5:$B$29,MATCH($B843,'Equipo'!$A$5:$A$29,0))+$E843,0)),"")</f>
        <v/>
      </c>
      <c r="I843" s="26">
        <f>IF($B843='Perfil'!$B$3,COUNTIF($B$4:$B843,'Perfil'!$B$3),"")</f>
        <v/>
      </c>
    </row>
    <row r="844">
      <c r="A844" s="22" t="n"/>
      <c r="B844" s="23" t="n"/>
      <c r="C844" s="23" t="n"/>
      <c r="D844" s="24" t="n"/>
      <c r="E844" s="24" t="n"/>
      <c r="F844" s="23" t="n"/>
      <c r="G844" s="19">
        <f>IFERROR(IF(OR($B844="",$C844=""),"",IF(MATCH($C844,'Ajustes'!$A$5:$A$8,0)&lt;=2,$D844*INDEX('Ajustes'!$C$5:$C$6,MATCH($C844,'Ajustes'!$A$5:$A$8,0)),IF(MATCH($C844,'Ajustes'!$A$5:$A$8,0)=3,-($D844+$E844*INDEX('Equipo'!$B$5:$B$29,MATCH($B844,'Equipo'!$A$5:$A$29,0))),0))),"")</f>
        <v/>
      </c>
      <c r="H844" s="25">
        <f>IFERROR(IF(OR($B844="",$C844=""),"",IF(MATCH($C844,'Ajustes'!$A$5:$A$8,0)=4,$D844/INDEX('Equipo'!$B$5:$B$29,MATCH($B844,'Equipo'!$A$5:$A$29,0))+$E844,0)),"")</f>
        <v/>
      </c>
      <c r="I844" s="26">
        <f>IF($B844='Perfil'!$B$3,COUNTIF($B$4:$B844,'Perfil'!$B$3),"")</f>
        <v/>
      </c>
    </row>
    <row r="845">
      <c r="A845" s="22" t="n"/>
      <c r="B845" s="23" t="n"/>
      <c r="C845" s="23" t="n"/>
      <c r="D845" s="24" t="n"/>
      <c r="E845" s="24" t="n"/>
      <c r="F845" s="23" t="n"/>
      <c r="G845" s="19">
        <f>IFERROR(IF(OR($B845="",$C845=""),"",IF(MATCH($C845,'Ajustes'!$A$5:$A$8,0)&lt;=2,$D845*INDEX('Ajustes'!$C$5:$C$6,MATCH($C845,'Ajustes'!$A$5:$A$8,0)),IF(MATCH($C845,'Ajustes'!$A$5:$A$8,0)=3,-($D845+$E845*INDEX('Equipo'!$B$5:$B$29,MATCH($B845,'Equipo'!$A$5:$A$29,0))),0))),"")</f>
        <v/>
      </c>
      <c r="H845" s="25">
        <f>IFERROR(IF(OR($B845="",$C845=""),"",IF(MATCH($C845,'Ajustes'!$A$5:$A$8,0)=4,$D845/INDEX('Equipo'!$B$5:$B$29,MATCH($B845,'Equipo'!$A$5:$A$29,0))+$E845,0)),"")</f>
        <v/>
      </c>
      <c r="I845" s="26">
        <f>IF($B845='Perfil'!$B$3,COUNTIF($B$4:$B845,'Perfil'!$B$3),"")</f>
        <v/>
      </c>
    </row>
    <row r="846">
      <c r="A846" s="22" t="n"/>
      <c r="B846" s="23" t="n"/>
      <c r="C846" s="23" t="n"/>
      <c r="D846" s="24" t="n"/>
      <c r="E846" s="24" t="n"/>
      <c r="F846" s="23" t="n"/>
      <c r="G846" s="19">
        <f>IFERROR(IF(OR($B846="",$C846=""),"",IF(MATCH($C846,'Ajustes'!$A$5:$A$8,0)&lt;=2,$D846*INDEX('Ajustes'!$C$5:$C$6,MATCH($C846,'Ajustes'!$A$5:$A$8,0)),IF(MATCH($C846,'Ajustes'!$A$5:$A$8,0)=3,-($D846+$E846*INDEX('Equipo'!$B$5:$B$29,MATCH($B846,'Equipo'!$A$5:$A$29,0))),0))),"")</f>
        <v/>
      </c>
      <c r="H846" s="25">
        <f>IFERROR(IF(OR($B846="",$C846=""),"",IF(MATCH($C846,'Ajustes'!$A$5:$A$8,0)=4,$D846/INDEX('Equipo'!$B$5:$B$29,MATCH($B846,'Equipo'!$A$5:$A$29,0))+$E846,0)),"")</f>
        <v/>
      </c>
      <c r="I846" s="26">
        <f>IF($B846='Perfil'!$B$3,COUNTIF($B$4:$B846,'Perfil'!$B$3),"")</f>
        <v/>
      </c>
    </row>
    <row r="847">
      <c r="A847" s="22" t="n"/>
      <c r="B847" s="23" t="n"/>
      <c r="C847" s="23" t="n"/>
      <c r="D847" s="24" t="n"/>
      <c r="E847" s="24" t="n"/>
      <c r="F847" s="23" t="n"/>
      <c r="G847" s="19">
        <f>IFERROR(IF(OR($B847="",$C847=""),"",IF(MATCH($C847,'Ajustes'!$A$5:$A$8,0)&lt;=2,$D847*INDEX('Ajustes'!$C$5:$C$6,MATCH($C847,'Ajustes'!$A$5:$A$8,0)),IF(MATCH($C847,'Ajustes'!$A$5:$A$8,0)=3,-($D847+$E847*INDEX('Equipo'!$B$5:$B$29,MATCH($B847,'Equipo'!$A$5:$A$29,0))),0))),"")</f>
        <v/>
      </c>
      <c r="H847" s="25">
        <f>IFERROR(IF(OR($B847="",$C847=""),"",IF(MATCH($C847,'Ajustes'!$A$5:$A$8,0)=4,$D847/INDEX('Equipo'!$B$5:$B$29,MATCH($B847,'Equipo'!$A$5:$A$29,0))+$E847,0)),"")</f>
        <v/>
      </c>
      <c r="I847" s="26">
        <f>IF($B847='Perfil'!$B$3,COUNTIF($B$4:$B847,'Perfil'!$B$3),"")</f>
        <v/>
      </c>
    </row>
    <row r="848">
      <c r="A848" s="22" t="n"/>
      <c r="B848" s="23" t="n"/>
      <c r="C848" s="23" t="n"/>
      <c r="D848" s="24" t="n"/>
      <c r="E848" s="24" t="n"/>
      <c r="F848" s="23" t="n"/>
      <c r="G848" s="19">
        <f>IFERROR(IF(OR($B848="",$C848=""),"",IF(MATCH($C848,'Ajustes'!$A$5:$A$8,0)&lt;=2,$D848*INDEX('Ajustes'!$C$5:$C$6,MATCH($C848,'Ajustes'!$A$5:$A$8,0)),IF(MATCH($C848,'Ajustes'!$A$5:$A$8,0)=3,-($D848+$E848*INDEX('Equipo'!$B$5:$B$29,MATCH($B848,'Equipo'!$A$5:$A$29,0))),0))),"")</f>
        <v/>
      </c>
      <c r="H848" s="25">
        <f>IFERROR(IF(OR($B848="",$C848=""),"",IF(MATCH($C848,'Ajustes'!$A$5:$A$8,0)=4,$D848/INDEX('Equipo'!$B$5:$B$29,MATCH($B848,'Equipo'!$A$5:$A$29,0))+$E848,0)),"")</f>
        <v/>
      </c>
      <c r="I848" s="26">
        <f>IF($B848='Perfil'!$B$3,COUNTIF($B$4:$B848,'Perfil'!$B$3),"")</f>
        <v/>
      </c>
    </row>
    <row r="849">
      <c r="A849" s="22" t="n"/>
      <c r="B849" s="23" t="n"/>
      <c r="C849" s="23" t="n"/>
      <c r="D849" s="24" t="n"/>
      <c r="E849" s="24" t="n"/>
      <c r="F849" s="23" t="n"/>
      <c r="G849" s="19">
        <f>IFERROR(IF(OR($B849="",$C849=""),"",IF(MATCH($C849,'Ajustes'!$A$5:$A$8,0)&lt;=2,$D849*INDEX('Ajustes'!$C$5:$C$6,MATCH($C849,'Ajustes'!$A$5:$A$8,0)),IF(MATCH($C849,'Ajustes'!$A$5:$A$8,0)=3,-($D849+$E849*INDEX('Equipo'!$B$5:$B$29,MATCH($B849,'Equipo'!$A$5:$A$29,0))),0))),"")</f>
        <v/>
      </c>
      <c r="H849" s="25">
        <f>IFERROR(IF(OR($B849="",$C849=""),"",IF(MATCH($C849,'Ajustes'!$A$5:$A$8,0)=4,$D849/INDEX('Equipo'!$B$5:$B$29,MATCH($B849,'Equipo'!$A$5:$A$29,0))+$E849,0)),"")</f>
        <v/>
      </c>
      <c r="I849" s="26">
        <f>IF($B849='Perfil'!$B$3,COUNTIF($B$4:$B849,'Perfil'!$B$3),"")</f>
        <v/>
      </c>
    </row>
    <row r="850">
      <c r="A850" s="22" t="n"/>
      <c r="B850" s="23" t="n"/>
      <c r="C850" s="23" t="n"/>
      <c r="D850" s="24" t="n"/>
      <c r="E850" s="24" t="n"/>
      <c r="F850" s="23" t="n"/>
      <c r="G850" s="19">
        <f>IFERROR(IF(OR($B850="",$C850=""),"",IF(MATCH($C850,'Ajustes'!$A$5:$A$8,0)&lt;=2,$D850*INDEX('Ajustes'!$C$5:$C$6,MATCH($C850,'Ajustes'!$A$5:$A$8,0)),IF(MATCH($C850,'Ajustes'!$A$5:$A$8,0)=3,-($D850+$E850*INDEX('Equipo'!$B$5:$B$29,MATCH($B850,'Equipo'!$A$5:$A$29,0))),0))),"")</f>
        <v/>
      </c>
      <c r="H850" s="25">
        <f>IFERROR(IF(OR($B850="",$C850=""),"",IF(MATCH($C850,'Ajustes'!$A$5:$A$8,0)=4,$D850/INDEX('Equipo'!$B$5:$B$29,MATCH($B850,'Equipo'!$A$5:$A$29,0))+$E850,0)),"")</f>
        <v/>
      </c>
      <c r="I850" s="26">
        <f>IF($B850='Perfil'!$B$3,COUNTIF($B$4:$B850,'Perfil'!$B$3),"")</f>
        <v/>
      </c>
    </row>
    <row r="851">
      <c r="A851" s="22" t="n"/>
      <c r="B851" s="23" t="n"/>
      <c r="C851" s="23" t="n"/>
      <c r="D851" s="24" t="n"/>
      <c r="E851" s="24" t="n"/>
      <c r="F851" s="23" t="n"/>
      <c r="G851" s="19">
        <f>IFERROR(IF(OR($B851="",$C851=""),"",IF(MATCH($C851,'Ajustes'!$A$5:$A$8,0)&lt;=2,$D851*INDEX('Ajustes'!$C$5:$C$6,MATCH($C851,'Ajustes'!$A$5:$A$8,0)),IF(MATCH($C851,'Ajustes'!$A$5:$A$8,0)=3,-($D851+$E851*INDEX('Equipo'!$B$5:$B$29,MATCH($B851,'Equipo'!$A$5:$A$29,0))),0))),"")</f>
        <v/>
      </c>
      <c r="H851" s="25">
        <f>IFERROR(IF(OR($B851="",$C851=""),"",IF(MATCH($C851,'Ajustes'!$A$5:$A$8,0)=4,$D851/INDEX('Equipo'!$B$5:$B$29,MATCH($B851,'Equipo'!$A$5:$A$29,0))+$E851,0)),"")</f>
        <v/>
      </c>
      <c r="I851" s="26">
        <f>IF($B851='Perfil'!$B$3,COUNTIF($B$4:$B851,'Perfil'!$B$3),"")</f>
        <v/>
      </c>
    </row>
    <row r="852">
      <c r="A852" s="22" t="n"/>
      <c r="B852" s="23" t="n"/>
      <c r="C852" s="23" t="n"/>
      <c r="D852" s="24" t="n"/>
      <c r="E852" s="24" t="n"/>
      <c r="F852" s="23" t="n"/>
      <c r="G852" s="19">
        <f>IFERROR(IF(OR($B852="",$C852=""),"",IF(MATCH($C852,'Ajustes'!$A$5:$A$8,0)&lt;=2,$D852*INDEX('Ajustes'!$C$5:$C$6,MATCH($C852,'Ajustes'!$A$5:$A$8,0)),IF(MATCH($C852,'Ajustes'!$A$5:$A$8,0)=3,-($D852+$E852*INDEX('Equipo'!$B$5:$B$29,MATCH($B852,'Equipo'!$A$5:$A$29,0))),0))),"")</f>
        <v/>
      </c>
      <c r="H852" s="25">
        <f>IFERROR(IF(OR($B852="",$C852=""),"",IF(MATCH($C852,'Ajustes'!$A$5:$A$8,0)=4,$D852/INDEX('Equipo'!$B$5:$B$29,MATCH($B852,'Equipo'!$A$5:$A$29,0))+$E852,0)),"")</f>
        <v/>
      </c>
      <c r="I852" s="26">
        <f>IF($B852='Perfil'!$B$3,COUNTIF($B$4:$B852,'Perfil'!$B$3),"")</f>
        <v/>
      </c>
    </row>
    <row r="853">
      <c r="A853" s="22" t="n"/>
      <c r="B853" s="23" t="n"/>
      <c r="C853" s="23" t="n"/>
      <c r="D853" s="24" t="n"/>
      <c r="E853" s="24" t="n"/>
      <c r="F853" s="23" t="n"/>
      <c r="G853" s="19">
        <f>IFERROR(IF(OR($B853="",$C853=""),"",IF(MATCH($C853,'Ajustes'!$A$5:$A$8,0)&lt;=2,$D853*INDEX('Ajustes'!$C$5:$C$6,MATCH($C853,'Ajustes'!$A$5:$A$8,0)),IF(MATCH($C853,'Ajustes'!$A$5:$A$8,0)=3,-($D853+$E853*INDEX('Equipo'!$B$5:$B$29,MATCH($B853,'Equipo'!$A$5:$A$29,0))),0))),"")</f>
        <v/>
      </c>
      <c r="H853" s="25">
        <f>IFERROR(IF(OR($B853="",$C853=""),"",IF(MATCH($C853,'Ajustes'!$A$5:$A$8,0)=4,$D853/INDEX('Equipo'!$B$5:$B$29,MATCH($B853,'Equipo'!$A$5:$A$29,0))+$E853,0)),"")</f>
        <v/>
      </c>
      <c r="I853" s="26">
        <f>IF($B853='Perfil'!$B$3,COUNTIF($B$4:$B853,'Perfil'!$B$3),"")</f>
        <v/>
      </c>
    </row>
    <row r="854">
      <c r="A854" s="22" t="n"/>
      <c r="B854" s="23" t="n"/>
      <c r="C854" s="23" t="n"/>
      <c r="D854" s="24" t="n"/>
      <c r="E854" s="24" t="n"/>
      <c r="F854" s="23" t="n"/>
      <c r="G854" s="19">
        <f>IFERROR(IF(OR($B854="",$C854=""),"",IF(MATCH($C854,'Ajustes'!$A$5:$A$8,0)&lt;=2,$D854*INDEX('Ajustes'!$C$5:$C$6,MATCH($C854,'Ajustes'!$A$5:$A$8,0)),IF(MATCH($C854,'Ajustes'!$A$5:$A$8,0)=3,-($D854+$E854*INDEX('Equipo'!$B$5:$B$29,MATCH($B854,'Equipo'!$A$5:$A$29,0))),0))),"")</f>
        <v/>
      </c>
      <c r="H854" s="25">
        <f>IFERROR(IF(OR($B854="",$C854=""),"",IF(MATCH($C854,'Ajustes'!$A$5:$A$8,0)=4,$D854/INDEX('Equipo'!$B$5:$B$29,MATCH($B854,'Equipo'!$A$5:$A$29,0))+$E854,0)),"")</f>
        <v/>
      </c>
      <c r="I854" s="26">
        <f>IF($B854='Perfil'!$B$3,COUNTIF($B$4:$B854,'Perfil'!$B$3),"")</f>
        <v/>
      </c>
    </row>
    <row r="855">
      <c r="A855" s="22" t="n"/>
      <c r="B855" s="23" t="n"/>
      <c r="C855" s="23" t="n"/>
      <c r="D855" s="24" t="n"/>
      <c r="E855" s="24" t="n"/>
      <c r="F855" s="23" t="n"/>
      <c r="G855" s="19">
        <f>IFERROR(IF(OR($B855="",$C855=""),"",IF(MATCH($C855,'Ajustes'!$A$5:$A$8,0)&lt;=2,$D855*INDEX('Ajustes'!$C$5:$C$6,MATCH($C855,'Ajustes'!$A$5:$A$8,0)),IF(MATCH($C855,'Ajustes'!$A$5:$A$8,0)=3,-($D855+$E855*INDEX('Equipo'!$B$5:$B$29,MATCH($B855,'Equipo'!$A$5:$A$29,0))),0))),"")</f>
        <v/>
      </c>
      <c r="H855" s="25">
        <f>IFERROR(IF(OR($B855="",$C855=""),"",IF(MATCH($C855,'Ajustes'!$A$5:$A$8,0)=4,$D855/INDEX('Equipo'!$B$5:$B$29,MATCH($B855,'Equipo'!$A$5:$A$29,0))+$E855,0)),"")</f>
        <v/>
      </c>
      <c r="I855" s="26">
        <f>IF($B855='Perfil'!$B$3,COUNTIF($B$4:$B855,'Perfil'!$B$3),"")</f>
        <v/>
      </c>
    </row>
    <row r="856">
      <c r="A856" s="22" t="n"/>
      <c r="B856" s="23" t="n"/>
      <c r="C856" s="23" t="n"/>
      <c r="D856" s="24" t="n"/>
      <c r="E856" s="24" t="n"/>
      <c r="F856" s="23" t="n"/>
      <c r="G856" s="19">
        <f>IFERROR(IF(OR($B856="",$C856=""),"",IF(MATCH($C856,'Ajustes'!$A$5:$A$8,0)&lt;=2,$D856*INDEX('Ajustes'!$C$5:$C$6,MATCH($C856,'Ajustes'!$A$5:$A$8,0)),IF(MATCH($C856,'Ajustes'!$A$5:$A$8,0)=3,-($D856+$E856*INDEX('Equipo'!$B$5:$B$29,MATCH($B856,'Equipo'!$A$5:$A$29,0))),0))),"")</f>
        <v/>
      </c>
      <c r="H856" s="25">
        <f>IFERROR(IF(OR($B856="",$C856=""),"",IF(MATCH($C856,'Ajustes'!$A$5:$A$8,0)=4,$D856/INDEX('Equipo'!$B$5:$B$29,MATCH($B856,'Equipo'!$A$5:$A$29,0))+$E856,0)),"")</f>
        <v/>
      </c>
      <c r="I856" s="26">
        <f>IF($B856='Perfil'!$B$3,COUNTIF($B$4:$B856,'Perfil'!$B$3),"")</f>
        <v/>
      </c>
    </row>
    <row r="857">
      <c r="A857" s="22" t="n"/>
      <c r="B857" s="23" t="n"/>
      <c r="C857" s="23" t="n"/>
      <c r="D857" s="24" t="n"/>
      <c r="E857" s="24" t="n"/>
      <c r="F857" s="23" t="n"/>
      <c r="G857" s="19">
        <f>IFERROR(IF(OR($B857="",$C857=""),"",IF(MATCH($C857,'Ajustes'!$A$5:$A$8,0)&lt;=2,$D857*INDEX('Ajustes'!$C$5:$C$6,MATCH($C857,'Ajustes'!$A$5:$A$8,0)),IF(MATCH($C857,'Ajustes'!$A$5:$A$8,0)=3,-($D857+$E857*INDEX('Equipo'!$B$5:$B$29,MATCH($B857,'Equipo'!$A$5:$A$29,0))),0))),"")</f>
        <v/>
      </c>
      <c r="H857" s="25">
        <f>IFERROR(IF(OR($B857="",$C857=""),"",IF(MATCH($C857,'Ajustes'!$A$5:$A$8,0)=4,$D857/INDEX('Equipo'!$B$5:$B$29,MATCH($B857,'Equipo'!$A$5:$A$29,0))+$E857,0)),"")</f>
        <v/>
      </c>
      <c r="I857" s="26">
        <f>IF($B857='Perfil'!$B$3,COUNTIF($B$4:$B857,'Perfil'!$B$3),"")</f>
        <v/>
      </c>
    </row>
    <row r="858">
      <c r="A858" s="22" t="n"/>
      <c r="B858" s="23" t="n"/>
      <c r="C858" s="23" t="n"/>
      <c r="D858" s="24" t="n"/>
      <c r="E858" s="24" t="n"/>
      <c r="F858" s="23" t="n"/>
      <c r="G858" s="19">
        <f>IFERROR(IF(OR($B858="",$C858=""),"",IF(MATCH($C858,'Ajustes'!$A$5:$A$8,0)&lt;=2,$D858*INDEX('Ajustes'!$C$5:$C$6,MATCH($C858,'Ajustes'!$A$5:$A$8,0)),IF(MATCH($C858,'Ajustes'!$A$5:$A$8,0)=3,-($D858+$E858*INDEX('Equipo'!$B$5:$B$29,MATCH($B858,'Equipo'!$A$5:$A$29,0))),0))),"")</f>
        <v/>
      </c>
      <c r="H858" s="25">
        <f>IFERROR(IF(OR($B858="",$C858=""),"",IF(MATCH($C858,'Ajustes'!$A$5:$A$8,0)=4,$D858/INDEX('Equipo'!$B$5:$B$29,MATCH($B858,'Equipo'!$A$5:$A$29,0))+$E858,0)),"")</f>
        <v/>
      </c>
      <c r="I858" s="26">
        <f>IF($B858='Perfil'!$B$3,COUNTIF($B$4:$B858,'Perfil'!$B$3),"")</f>
        <v/>
      </c>
    </row>
    <row r="859">
      <c r="A859" s="22" t="n"/>
      <c r="B859" s="23" t="n"/>
      <c r="C859" s="23" t="n"/>
      <c r="D859" s="24" t="n"/>
      <c r="E859" s="24" t="n"/>
      <c r="F859" s="23" t="n"/>
      <c r="G859" s="19">
        <f>IFERROR(IF(OR($B859="",$C859=""),"",IF(MATCH($C859,'Ajustes'!$A$5:$A$8,0)&lt;=2,$D859*INDEX('Ajustes'!$C$5:$C$6,MATCH($C859,'Ajustes'!$A$5:$A$8,0)),IF(MATCH($C859,'Ajustes'!$A$5:$A$8,0)=3,-($D859+$E859*INDEX('Equipo'!$B$5:$B$29,MATCH($B859,'Equipo'!$A$5:$A$29,0))),0))),"")</f>
        <v/>
      </c>
      <c r="H859" s="25">
        <f>IFERROR(IF(OR($B859="",$C859=""),"",IF(MATCH($C859,'Ajustes'!$A$5:$A$8,0)=4,$D859/INDEX('Equipo'!$B$5:$B$29,MATCH($B859,'Equipo'!$A$5:$A$29,0))+$E859,0)),"")</f>
        <v/>
      </c>
      <c r="I859" s="26">
        <f>IF($B859='Perfil'!$B$3,COUNTIF($B$4:$B859,'Perfil'!$B$3),"")</f>
        <v/>
      </c>
    </row>
    <row r="860">
      <c r="A860" s="22" t="n"/>
      <c r="B860" s="23" t="n"/>
      <c r="C860" s="23" t="n"/>
      <c r="D860" s="24" t="n"/>
      <c r="E860" s="24" t="n"/>
      <c r="F860" s="23" t="n"/>
      <c r="G860" s="19">
        <f>IFERROR(IF(OR($B860="",$C860=""),"",IF(MATCH($C860,'Ajustes'!$A$5:$A$8,0)&lt;=2,$D860*INDEX('Ajustes'!$C$5:$C$6,MATCH($C860,'Ajustes'!$A$5:$A$8,0)),IF(MATCH($C860,'Ajustes'!$A$5:$A$8,0)=3,-($D860+$E860*INDEX('Equipo'!$B$5:$B$29,MATCH($B860,'Equipo'!$A$5:$A$29,0))),0))),"")</f>
        <v/>
      </c>
      <c r="H860" s="25">
        <f>IFERROR(IF(OR($B860="",$C860=""),"",IF(MATCH($C860,'Ajustes'!$A$5:$A$8,0)=4,$D860/INDEX('Equipo'!$B$5:$B$29,MATCH($B860,'Equipo'!$A$5:$A$29,0))+$E860,0)),"")</f>
        <v/>
      </c>
      <c r="I860" s="26">
        <f>IF($B860='Perfil'!$B$3,COUNTIF($B$4:$B860,'Perfil'!$B$3),"")</f>
        <v/>
      </c>
    </row>
    <row r="861">
      <c r="A861" s="22" t="n"/>
      <c r="B861" s="23" t="n"/>
      <c r="C861" s="23" t="n"/>
      <c r="D861" s="24" t="n"/>
      <c r="E861" s="24" t="n"/>
      <c r="F861" s="23" t="n"/>
      <c r="G861" s="19">
        <f>IFERROR(IF(OR($B861="",$C861=""),"",IF(MATCH($C861,'Ajustes'!$A$5:$A$8,0)&lt;=2,$D861*INDEX('Ajustes'!$C$5:$C$6,MATCH($C861,'Ajustes'!$A$5:$A$8,0)),IF(MATCH($C861,'Ajustes'!$A$5:$A$8,0)=3,-($D861+$E861*INDEX('Equipo'!$B$5:$B$29,MATCH($B861,'Equipo'!$A$5:$A$29,0))),0))),"")</f>
        <v/>
      </c>
      <c r="H861" s="25">
        <f>IFERROR(IF(OR($B861="",$C861=""),"",IF(MATCH($C861,'Ajustes'!$A$5:$A$8,0)=4,$D861/INDEX('Equipo'!$B$5:$B$29,MATCH($B861,'Equipo'!$A$5:$A$29,0))+$E861,0)),"")</f>
        <v/>
      </c>
      <c r="I861" s="26">
        <f>IF($B861='Perfil'!$B$3,COUNTIF($B$4:$B861,'Perfil'!$B$3),"")</f>
        <v/>
      </c>
    </row>
    <row r="862">
      <c r="A862" s="22" t="n"/>
      <c r="B862" s="23" t="n"/>
      <c r="C862" s="23" t="n"/>
      <c r="D862" s="24" t="n"/>
      <c r="E862" s="24" t="n"/>
      <c r="F862" s="23" t="n"/>
      <c r="G862" s="19">
        <f>IFERROR(IF(OR($B862="",$C862=""),"",IF(MATCH($C862,'Ajustes'!$A$5:$A$8,0)&lt;=2,$D862*INDEX('Ajustes'!$C$5:$C$6,MATCH($C862,'Ajustes'!$A$5:$A$8,0)),IF(MATCH($C862,'Ajustes'!$A$5:$A$8,0)=3,-($D862+$E862*INDEX('Equipo'!$B$5:$B$29,MATCH($B862,'Equipo'!$A$5:$A$29,0))),0))),"")</f>
        <v/>
      </c>
      <c r="H862" s="25">
        <f>IFERROR(IF(OR($B862="",$C862=""),"",IF(MATCH($C862,'Ajustes'!$A$5:$A$8,0)=4,$D862/INDEX('Equipo'!$B$5:$B$29,MATCH($B862,'Equipo'!$A$5:$A$29,0))+$E862,0)),"")</f>
        <v/>
      </c>
      <c r="I862" s="26">
        <f>IF($B862='Perfil'!$B$3,COUNTIF($B$4:$B862,'Perfil'!$B$3),"")</f>
        <v/>
      </c>
    </row>
    <row r="863">
      <c r="A863" s="22" t="n"/>
      <c r="B863" s="23" t="n"/>
      <c r="C863" s="23" t="n"/>
      <c r="D863" s="24" t="n"/>
      <c r="E863" s="24" t="n"/>
      <c r="F863" s="23" t="n"/>
      <c r="G863" s="19">
        <f>IFERROR(IF(OR($B863="",$C863=""),"",IF(MATCH($C863,'Ajustes'!$A$5:$A$8,0)&lt;=2,$D863*INDEX('Ajustes'!$C$5:$C$6,MATCH($C863,'Ajustes'!$A$5:$A$8,0)),IF(MATCH($C863,'Ajustes'!$A$5:$A$8,0)=3,-($D863+$E863*INDEX('Equipo'!$B$5:$B$29,MATCH($B863,'Equipo'!$A$5:$A$29,0))),0))),"")</f>
        <v/>
      </c>
      <c r="H863" s="25">
        <f>IFERROR(IF(OR($B863="",$C863=""),"",IF(MATCH($C863,'Ajustes'!$A$5:$A$8,0)=4,$D863/INDEX('Equipo'!$B$5:$B$29,MATCH($B863,'Equipo'!$A$5:$A$29,0))+$E863,0)),"")</f>
        <v/>
      </c>
      <c r="I863" s="26">
        <f>IF($B863='Perfil'!$B$3,COUNTIF($B$4:$B863,'Perfil'!$B$3),"")</f>
        <v/>
      </c>
    </row>
    <row r="864">
      <c r="A864" s="22" t="n"/>
      <c r="B864" s="23" t="n"/>
      <c r="C864" s="23" t="n"/>
      <c r="D864" s="24" t="n"/>
      <c r="E864" s="24" t="n"/>
      <c r="F864" s="23" t="n"/>
      <c r="G864" s="19">
        <f>IFERROR(IF(OR($B864="",$C864=""),"",IF(MATCH($C864,'Ajustes'!$A$5:$A$8,0)&lt;=2,$D864*INDEX('Ajustes'!$C$5:$C$6,MATCH($C864,'Ajustes'!$A$5:$A$8,0)),IF(MATCH($C864,'Ajustes'!$A$5:$A$8,0)=3,-($D864+$E864*INDEX('Equipo'!$B$5:$B$29,MATCH($B864,'Equipo'!$A$5:$A$29,0))),0))),"")</f>
        <v/>
      </c>
      <c r="H864" s="25">
        <f>IFERROR(IF(OR($B864="",$C864=""),"",IF(MATCH($C864,'Ajustes'!$A$5:$A$8,0)=4,$D864/INDEX('Equipo'!$B$5:$B$29,MATCH($B864,'Equipo'!$A$5:$A$29,0))+$E864,0)),"")</f>
        <v/>
      </c>
      <c r="I864" s="26">
        <f>IF($B864='Perfil'!$B$3,COUNTIF($B$4:$B864,'Perfil'!$B$3),"")</f>
        <v/>
      </c>
    </row>
    <row r="865">
      <c r="A865" s="22" t="n"/>
      <c r="B865" s="23" t="n"/>
      <c r="C865" s="23" t="n"/>
      <c r="D865" s="24" t="n"/>
      <c r="E865" s="24" t="n"/>
      <c r="F865" s="23" t="n"/>
      <c r="G865" s="19">
        <f>IFERROR(IF(OR($B865="",$C865=""),"",IF(MATCH($C865,'Ajustes'!$A$5:$A$8,0)&lt;=2,$D865*INDEX('Ajustes'!$C$5:$C$6,MATCH($C865,'Ajustes'!$A$5:$A$8,0)),IF(MATCH($C865,'Ajustes'!$A$5:$A$8,0)=3,-($D865+$E865*INDEX('Equipo'!$B$5:$B$29,MATCH($B865,'Equipo'!$A$5:$A$29,0))),0))),"")</f>
        <v/>
      </c>
      <c r="H865" s="25">
        <f>IFERROR(IF(OR($B865="",$C865=""),"",IF(MATCH($C865,'Ajustes'!$A$5:$A$8,0)=4,$D865/INDEX('Equipo'!$B$5:$B$29,MATCH($B865,'Equipo'!$A$5:$A$29,0))+$E865,0)),"")</f>
        <v/>
      </c>
      <c r="I865" s="26">
        <f>IF($B865='Perfil'!$B$3,COUNTIF($B$4:$B865,'Perfil'!$B$3),"")</f>
        <v/>
      </c>
    </row>
    <row r="866">
      <c r="A866" s="22" t="n"/>
      <c r="B866" s="23" t="n"/>
      <c r="C866" s="23" t="n"/>
      <c r="D866" s="24" t="n"/>
      <c r="E866" s="24" t="n"/>
      <c r="F866" s="23" t="n"/>
      <c r="G866" s="19">
        <f>IFERROR(IF(OR($B866="",$C866=""),"",IF(MATCH($C866,'Ajustes'!$A$5:$A$8,0)&lt;=2,$D866*INDEX('Ajustes'!$C$5:$C$6,MATCH($C866,'Ajustes'!$A$5:$A$8,0)),IF(MATCH($C866,'Ajustes'!$A$5:$A$8,0)=3,-($D866+$E866*INDEX('Equipo'!$B$5:$B$29,MATCH($B866,'Equipo'!$A$5:$A$29,0))),0))),"")</f>
        <v/>
      </c>
      <c r="H866" s="25">
        <f>IFERROR(IF(OR($B866="",$C866=""),"",IF(MATCH($C866,'Ajustes'!$A$5:$A$8,0)=4,$D866/INDEX('Equipo'!$B$5:$B$29,MATCH($B866,'Equipo'!$A$5:$A$29,0))+$E866,0)),"")</f>
        <v/>
      </c>
      <c r="I866" s="26">
        <f>IF($B866='Perfil'!$B$3,COUNTIF($B$4:$B866,'Perfil'!$B$3),"")</f>
        <v/>
      </c>
    </row>
    <row r="867">
      <c r="A867" s="22" t="n"/>
      <c r="B867" s="23" t="n"/>
      <c r="C867" s="23" t="n"/>
      <c r="D867" s="24" t="n"/>
      <c r="E867" s="24" t="n"/>
      <c r="F867" s="23" t="n"/>
      <c r="G867" s="19">
        <f>IFERROR(IF(OR($B867="",$C867=""),"",IF(MATCH($C867,'Ajustes'!$A$5:$A$8,0)&lt;=2,$D867*INDEX('Ajustes'!$C$5:$C$6,MATCH($C867,'Ajustes'!$A$5:$A$8,0)),IF(MATCH($C867,'Ajustes'!$A$5:$A$8,0)=3,-($D867+$E867*INDEX('Equipo'!$B$5:$B$29,MATCH($B867,'Equipo'!$A$5:$A$29,0))),0))),"")</f>
        <v/>
      </c>
      <c r="H867" s="25">
        <f>IFERROR(IF(OR($B867="",$C867=""),"",IF(MATCH($C867,'Ajustes'!$A$5:$A$8,0)=4,$D867/INDEX('Equipo'!$B$5:$B$29,MATCH($B867,'Equipo'!$A$5:$A$29,0))+$E867,0)),"")</f>
        <v/>
      </c>
      <c r="I867" s="26">
        <f>IF($B867='Perfil'!$B$3,COUNTIF($B$4:$B867,'Perfil'!$B$3),"")</f>
        <v/>
      </c>
    </row>
    <row r="868">
      <c r="A868" s="22" t="n"/>
      <c r="B868" s="23" t="n"/>
      <c r="C868" s="23" t="n"/>
      <c r="D868" s="24" t="n"/>
      <c r="E868" s="24" t="n"/>
      <c r="F868" s="23" t="n"/>
      <c r="G868" s="19">
        <f>IFERROR(IF(OR($B868="",$C868=""),"",IF(MATCH($C868,'Ajustes'!$A$5:$A$8,0)&lt;=2,$D868*INDEX('Ajustes'!$C$5:$C$6,MATCH($C868,'Ajustes'!$A$5:$A$8,0)),IF(MATCH($C868,'Ajustes'!$A$5:$A$8,0)=3,-($D868+$E868*INDEX('Equipo'!$B$5:$B$29,MATCH($B868,'Equipo'!$A$5:$A$29,0))),0))),"")</f>
        <v/>
      </c>
      <c r="H868" s="25">
        <f>IFERROR(IF(OR($B868="",$C868=""),"",IF(MATCH($C868,'Ajustes'!$A$5:$A$8,0)=4,$D868/INDEX('Equipo'!$B$5:$B$29,MATCH($B868,'Equipo'!$A$5:$A$29,0))+$E868,0)),"")</f>
        <v/>
      </c>
      <c r="I868" s="26">
        <f>IF($B868='Perfil'!$B$3,COUNTIF($B$4:$B868,'Perfil'!$B$3),"")</f>
        <v/>
      </c>
    </row>
    <row r="869">
      <c r="A869" s="22" t="n"/>
      <c r="B869" s="23" t="n"/>
      <c r="C869" s="23" t="n"/>
      <c r="D869" s="24" t="n"/>
      <c r="E869" s="24" t="n"/>
      <c r="F869" s="23" t="n"/>
      <c r="G869" s="19">
        <f>IFERROR(IF(OR($B869="",$C869=""),"",IF(MATCH($C869,'Ajustes'!$A$5:$A$8,0)&lt;=2,$D869*INDEX('Ajustes'!$C$5:$C$6,MATCH($C869,'Ajustes'!$A$5:$A$8,0)),IF(MATCH($C869,'Ajustes'!$A$5:$A$8,0)=3,-($D869+$E869*INDEX('Equipo'!$B$5:$B$29,MATCH($B869,'Equipo'!$A$5:$A$29,0))),0))),"")</f>
        <v/>
      </c>
      <c r="H869" s="25">
        <f>IFERROR(IF(OR($B869="",$C869=""),"",IF(MATCH($C869,'Ajustes'!$A$5:$A$8,0)=4,$D869/INDEX('Equipo'!$B$5:$B$29,MATCH($B869,'Equipo'!$A$5:$A$29,0))+$E869,0)),"")</f>
        <v/>
      </c>
      <c r="I869" s="26">
        <f>IF($B869='Perfil'!$B$3,COUNTIF($B$4:$B869,'Perfil'!$B$3),"")</f>
        <v/>
      </c>
    </row>
    <row r="870">
      <c r="A870" s="22" t="n"/>
      <c r="B870" s="23" t="n"/>
      <c r="C870" s="23" t="n"/>
      <c r="D870" s="24" t="n"/>
      <c r="E870" s="24" t="n"/>
      <c r="F870" s="23" t="n"/>
      <c r="G870" s="19">
        <f>IFERROR(IF(OR($B870="",$C870=""),"",IF(MATCH($C870,'Ajustes'!$A$5:$A$8,0)&lt;=2,$D870*INDEX('Ajustes'!$C$5:$C$6,MATCH($C870,'Ajustes'!$A$5:$A$8,0)),IF(MATCH($C870,'Ajustes'!$A$5:$A$8,0)=3,-($D870+$E870*INDEX('Equipo'!$B$5:$B$29,MATCH($B870,'Equipo'!$A$5:$A$29,0))),0))),"")</f>
        <v/>
      </c>
      <c r="H870" s="25">
        <f>IFERROR(IF(OR($B870="",$C870=""),"",IF(MATCH($C870,'Ajustes'!$A$5:$A$8,0)=4,$D870/INDEX('Equipo'!$B$5:$B$29,MATCH($B870,'Equipo'!$A$5:$A$29,0))+$E870,0)),"")</f>
        <v/>
      </c>
      <c r="I870" s="26">
        <f>IF($B870='Perfil'!$B$3,COUNTIF($B$4:$B870,'Perfil'!$B$3),"")</f>
        <v/>
      </c>
    </row>
    <row r="871">
      <c r="A871" s="22" t="n"/>
      <c r="B871" s="23" t="n"/>
      <c r="C871" s="23" t="n"/>
      <c r="D871" s="24" t="n"/>
      <c r="E871" s="24" t="n"/>
      <c r="F871" s="23" t="n"/>
      <c r="G871" s="19">
        <f>IFERROR(IF(OR($B871="",$C871=""),"",IF(MATCH($C871,'Ajustes'!$A$5:$A$8,0)&lt;=2,$D871*INDEX('Ajustes'!$C$5:$C$6,MATCH($C871,'Ajustes'!$A$5:$A$8,0)),IF(MATCH($C871,'Ajustes'!$A$5:$A$8,0)=3,-($D871+$E871*INDEX('Equipo'!$B$5:$B$29,MATCH($B871,'Equipo'!$A$5:$A$29,0))),0))),"")</f>
        <v/>
      </c>
      <c r="H871" s="25">
        <f>IFERROR(IF(OR($B871="",$C871=""),"",IF(MATCH($C871,'Ajustes'!$A$5:$A$8,0)=4,$D871/INDEX('Equipo'!$B$5:$B$29,MATCH($B871,'Equipo'!$A$5:$A$29,0))+$E871,0)),"")</f>
        <v/>
      </c>
      <c r="I871" s="26">
        <f>IF($B871='Perfil'!$B$3,COUNTIF($B$4:$B871,'Perfil'!$B$3),"")</f>
        <v/>
      </c>
    </row>
    <row r="872">
      <c r="A872" s="22" t="n"/>
      <c r="B872" s="23" t="n"/>
      <c r="C872" s="23" t="n"/>
      <c r="D872" s="24" t="n"/>
      <c r="E872" s="24" t="n"/>
      <c r="F872" s="23" t="n"/>
      <c r="G872" s="19">
        <f>IFERROR(IF(OR($B872="",$C872=""),"",IF(MATCH($C872,'Ajustes'!$A$5:$A$8,0)&lt;=2,$D872*INDEX('Ajustes'!$C$5:$C$6,MATCH($C872,'Ajustes'!$A$5:$A$8,0)),IF(MATCH($C872,'Ajustes'!$A$5:$A$8,0)=3,-($D872+$E872*INDEX('Equipo'!$B$5:$B$29,MATCH($B872,'Equipo'!$A$5:$A$29,0))),0))),"")</f>
        <v/>
      </c>
      <c r="H872" s="25">
        <f>IFERROR(IF(OR($B872="",$C872=""),"",IF(MATCH($C872,'Ajustes'!$A$5:$A$8,0)=4,$D872/INDEX('Equipo'!$B$5:$B$29,MATCH($B872,'Equipo'!$A$5:$A$29,0))+$E872,0)),"")</f>
        <v/>
      </c>
      <c r="I872" s="26">
        <f>IF($B872='Perfil'!$B$3,COUNTIF($B$4:$B872,'Perfil'!$B$3),"")</f>
        <v/>
      </c>
    </row>
    <row r="873">
      <c r="A873" s="22" t="n"/>
      <c r="B873" s="23" t="n"/>
      <c r="C873" s="23" t="n"/>
      <c r="D873" s="24" t="n"/>
      <c r="E873" s="24" t="n"/>
      <c r="F873" s="23" t="n"/>
      <c r="G873" s="19">
        <f>IFERROR(IF(OR($B873="",$C873=""),"",IF(MATCH($C873,'Ajustes'!$A$5:$A$8,0)&lt;=2,$D873*INDEX('Ajustes'!$C$5:$C$6,MATCH($C873,'Ajustes'!$A$5:$A$8,0)),IF(MATCH($C873,'Ajustes'!$A$5:$A$8,0)=3,-($D873+$E873*INDEX('Equipo'!$B$5:$B$29,MATCH($B873,'Equipo'!$A$5:$A$29,0))),0))),"")</f>
        <v/>
      </c>
      <c r="H873" s="25">
        <f>IFERROR(IF(OR($B873="",$C873=""),"",IF(MATCH($C873,'Ajustes'!$A$5:$A$8,0)=4,$D873/INDEX('Equipo'!$B$5:$B$29,MATCH($B873,'Equipo'!$A$5:$A$29,0))+$E873,0)),"")</f>
        <v/>
      </c>
      <c r="I873" s="26">
        <f>IF($B873='Perfil'!$B$3,COUNTIF($B$4:$B873,'Perfil'!$B$3),"")</f>
        <v/>
      </c>
    </row>
    <row r="874">
      <c r="A874" s="22" t="n"/>
      <c r="B874" s="23" t="n"/>
      <c r="C874" s="23" t="n"/>
      <c r="D874" s="24" t="n"/>
      <c r="E874" s="24" t="n"/>
      <c r="F874" s="23" t="n"/>
      <c r="G874" s="19">
        <f>IFERROR(IF(OR($B874="",$C874=""),"",IF(MATCH($C874,'Ajustes'!$A$5:$A$8,0)&lt;=2,$D874*INDEX('Ajustes'!$C$5:$C$6,MATCH($C874,'Ajustes'!$A$5:$A$8,0)),IF(MATCH($C874,'Ajustes'!$A$5:$A$8,0)=3,-($D874+$E874*INDEX('Equipo'!$B$5:$B$29,MATCH($B874,'Equipo'!$A$5:$A$29,0))),0))),"")</f>
        <v/>
      </c>
      <c r="H874" s="25">
        <f>IFERROR(IF(OR($B874="",$C874=""),"",IF(MATCH($C874,'Ajustes'!$A$5:$A$8,0)=4,$D874/INDEX('Equipo'!$B$5:$B$29,MATCH($B874,'Equipo'!$A$5:$A$29,0))+$E874,0)),"")</f>
        <v/>
      </c>
      <c r="I874" s="26">
        <f>IF($B874='Perfil'!$B$3,COUNTIF($B$4:$B874,'Perfil'!$B$3),"")</f>
        <v/>
      </c>
    </row>
    <row r="875">
      <c r="A875" s="22" t="n"/>
      <c r="B875" s="23" t="n"/>
      <c r="C875" s="23" t="n"/>
      <c r="D875" s="24" t="n"/>
      <c r="E875" s="24" t="n"/>
      <c r="F875" s="23" t="n"/>
      <c r="G875" s="19">
        <f>IFERROR(IF(OR($B875="",$C875=""),"",IF(MATCH($C875,'Ajustes'!$A$5:$A$8,0)&lt;=2,$D875*INDEX('Ajustes'!$C$5:$C$6,MATCH($C875,'Ajustes'!$A$5:$A$8,0)),IF(MATCH($C875,'Ajustes'!$A$5:$A$8,0)=3,-($D875+$E875*INDEX('Equipo'!$B$5:$B$29,MATCH($B875,'Equipo'!$A$5:$A$29,0))),0))),"")</f>
        <v/>
      </c>
      <c r="H875" s="25">
        <f>IFERROR(IF(OR($B875="",$C875=""),"",IF(MATCH($C875,'Ajustes'!$A$5:$A$8,0)=4,$D875/INDEX('Equipo'!$B$5:$B$29,MATCH($B875,'Equipo'!$A$5:$A$29,0))+$E875,0)),"")</f>
        <v/>
      </c>
      <c r="I875" s="26">
        <f>IF($B875='Perfil'!$B$3,COUNTIF($B$4:$B875,'Perfil'!$B$3),"")</f>
        <v/>
      </c>
    </row>
    <row r="876">
      <c r="A876" s="22" t="n"/>
      <c r="B876" s="23" t="n"/>
      <c r="C876" s="23" t="n"/>
      <c r="D876" s="24" t="n"/>
      <c r="E876" s="24" t="n"/>
      <c r="F876" s="23" t="n"/>
      <c r="G876" s="19">
        <f>IFERROR(IF(OR($B876="",$C876=""),"",IF(MATCH($C876,'Ajustes'!$A$5:$A$8,0)&lt;=2,$D876*INDEX('Ajustes'!$C$5:$C$6,MATCH($C876,'Ajustes'!$A$5:$A$8,0)),IF(MATCH($C876,'Ajustes'!$A$5:$A$8,0)=3,-($D876+$E876*INDEX('Equipo'!$B$5:$B$29,MATCH($B876,'Equipo'!$A$5:$A$29,0))),0))),"")</f>
        <v/>
      </c>
      <c r="H876" s="25">
        <f>IFERROR(IF(OR($B876="",$C876=""),"",IF(MATCH($C876,'Ajustes'!$A$5:$A$8,0)=4,$D876/INDEX('Equipo'!$B$5:$B$29,MATCH($B876,'Equipo'!$A$5:$A$29,0))+$E876,0)),"")</f>
        <v/>
      </c>
      <c r="I876" s="26">
        <f>IF($B876='Perfil'!$B$3,COUNTIF($B$4:$B876,'Perfil'!$B$3),"")</f>
        <v/>
      </c>
    </row>
    <row r="877">
      <c r="A877" s="22" t="n"/>
      <c r="B877" s="23" t="n"/>
      <c r="C877" s="23" t="n"/>
      <c r="D877" s="24" t="n"/>
      <c r="E877" s="24" t="n"/>
      <c r="F877" s="23" t="n"/>
      <c r="G877" s="19">
        <f>IFERROR(IF(OR($B877="",$C877=""),"",IF(MATCH($C877,'Ajustes'!$A$5:$A$8,0)&lt;=2,$D877*INDEX('Ajustes'!$C$5:$C$6,MATCH($C877,'Ajustes'!$A$5:$A$8,0)),IF(MATCH($C877,'Ajustes'!$A$5:$A$8,0)=3,-($D877+$E877*INDEX('Equipo'!$B$5:$B$29,MATCH($B877,'Equipo'!$A$5:$A$29,0))),0))),"")</f>
        <v/>
      </c>
      <c r="H877" s="25">
        <f>IFERROR(IF(OR($B877="",$C877=""),"",IF(MATCH($C877,'Ajustes'!$A$5:$A$8,0)=4,$D877/INDEX('Equipo'!$B$5:$B$29,MATCH($B877,'Equipo'!$A$5:$A$29,0))+$E877,0)),"")</f>
        <v/>
      </c>
      <c r="I877" s="26">
        <f>IF($B877='Perfil'!$B$3,COUNTIF($B$4:$B877,'Perfil'!$B$3),"")</f>
        <v/>
      </c>
    </row>
    <row r="878">
      <c r="A878" s="22" t="n"/>
      <c r="B878" s="23" t="n"/>
      <c r="C878" s="23" t="n"/>
      <c r="D878" s="24" t="n"/>
      <c r="E878" s="24" t="n"/>
      <c r="F878" s="23" t="n"/>
      <c r="G878" s="19">
        <f>IFERROR(IF(OR($B878="",$C878=""),"",IF(MATCH($C878,'Ajustes'!$A$5:$A$8,0)&lt;=2,$D878*INDEX('Ajustes'!$C$5:$C$6,MATCH($C878,'Ajustes'!$A$5:$A$8,0)),IF(MATCH($C878,'Ajustes'!$A$5:$A$8,0)=3,-($D878+$E878*INDEX('Equipo'!$B$5:$B$29,MATCH($B878,'Equipo'!$A$5:$A$29,0))),0))),"")</f>
        <v/>
      </c>
      <c r="H878" s="25">
        <f>IFERROR(IF(OR($B878="",$C878=""),"",IF(MATCH($C878,'Ajustes'!$A$5:$A$8,0)=4,$D878/INDEX('Equipo'!$B$5:$B$29,MATCH($B878,'Equipo'!$A$5:$A$29,0))+$E878,0)),"")</f>
        <v/>
      </c>
      <c r="I878" s="26">
        <f>IF($B878='Perfil'!$B$3,COUNTIF($B$4:$B878,'Perfil'!$B$3),"")</f>
        <v/>
      </c>
    </row>
    <row r="879">
      <c r="A879" s="22" t="n"/>
      <c r="B879" s="23" t="n"/>
      <c r="C879" s="23" t="n"/>
      <c r="D879" s="24" t="n"/>
      <c r="E879" s="24" t="n"/>
      <c r="F879" s="23" t="n"/>
      <c r="G879" s="19">
        <f>IFERROR(IF(OR($B879="",$C879=""),"",IF(MATCH($C879,'Ajustes'!$A$5:$A$8,0)&lt;=2,$D879*INDEX('Ajustes'!$C$5:$C$6,MATCH($C879,'Ajustes'!$A$5:$A$8,0)),IF(MATCH($C879,'Ajustes'!$A$5:$A$8,0)=3,-($D879+$E879*INDEX('Equipo'!$B$5:$B$29,MATCH($B879,'Equipo'!$A$5:$A$29,0))),0))),"")</f>
        <v/>
      </c>
      <c r="H879" s="25">
        <f>IFERROR(IF(OR($B879="",$C879=""),"",IF(MATCH($C879,'Ajustes'!$A$5:$A$8,0)=4,$D879/INDEX('Equipo'!$B$5:$B$29,MATCH($B879,'Equipo'!$A$5:$A$29,0))+$E879,0)),"")</f>
        <v/>
      </c>
      <c r="I879" s="26">
        <f>IF($B879='Perfil'!$B$3,COUNTIF($B$4:$B879,'Perfil'!$B$3),"")</f>
        <v/>
      </c>
    </row>
    <row r="880">
      <c r="A880" s="22" t="n"/>
      <c r="B880" s="23" t="n"/>
      <c r="C880" s="23" t="n"/>
      <c r="D880" s="24" t="n"/>
      <c r="E880" s="24" t="n"/>
      <c r="F880" s="23" t="n"/>
      <c r="G880" s="19">
        <f>IFERROR(IF(OR($B880="",$C880=""),"",IF(MATCH($C880,'Ajustes'!$A$5:$A$8,0)&lt;=2,$D880*INDEX('Ajustes'!$C$5:$C$6,MATCH($C880,'Ajustes'!$A$5:$A$8,0)),IF(MATCH($C880,'Ajustes'!$A$5:$A$8,0)=3,-($D880+$E880*INDEX('Equipo'!$B$5:$B$29,MATCH($B880,'Equipo'!$A$5:$A$29,0))),0))),"")</f>
        <v/>
      </c>
      <c r="H880" s="25">
        <f>IFERROR(IF(OR($B880="",$C880=""),"",IF(MATCH($C880,'Ajustes'!$A$5:$A$8,0)=4,$D880/INDEX('Equipo'!$B$5:$B$29,MATCH($B880,'Equipo'!$A$5:$A$29,0))+$E880,0)),"")</f>
        <v/>
      </c>
      <c r="I880" s="26">
        <f>IF($B880='Perfil'!$B$3,COUNTIF($B$4:$B880,'Perfil'!$B$3),"")</f>
        <v/>
      </c>
    </row>
    <row r="881">
      <c r="A881" s="22" t="n"/>
      <c r="B881" s="23" t="n"/>
      <c r="C881" s="23" t="n"/>
      <c r="D881" s="24" t="n"/>
      <c r="E881" s="24" t="n"/>
      <c r="F881" s="23" t="n"/>
      <c r="G881" s="19">
        <f>IFERROR(IF(OR($B881="",$C881=""),"",IF(MATCH($C881,'Ajustes'!$A$5:$A$8,0)&lt;=2,$D881*INDEX('Ajustes'!$C$5:$C$6,MATCH($C881,'Ajustes'!$A$5:$A$8,0)),IF(MATCH($C881,'Ajustes'!$A$5:$A$8,0)=3,-($D881+$E881*INDEX('Equipo'!$B$5:$B$29,MATCH($B881,'Equipo'!$A$5:$A$29,0))),0))),"")</f>
        <v/>
      </c>
      <c r="H881" s="25">
        <f>IFERROR(IF(OR($B881="",$C881=""),"",IF(MATCH($C881,'Ajustes'!$A$5:$A$8,0)=4,$D881/INDEX('Equipo'!$B$5:$B$29,MATCH($B881,'Equipo'!$A$5:$A$29,0))+$E881,0)),"")</f>
        <v/>
      </c>
      <c r="I881" s="26">
        <f>IF($B881='Perfil'!$B$3,COUNTIF($B$4:$B881,'Perfil'!$B$3),"")</f>
        <v/>
      </c>
    </row>
    <row r="882">
      <c r="A882" s="22" t="n"/>
      <c r="B882" s="23" t="n"/>
      <c r="C882" s="23" t="n"/>
      <c r="D882" s="24" t="n"/>
      <c r="E882" s="24" t="n"/>
      <c r="F882" s="23" t="n"/>
      <c r="G882" s="19">
        <f>IFERROR(IF(OR($B882="",$C882=""),"",IF(MATCH($C882,'Ajustes'!$A$5:$A$8,0)&lt;=2,$D882*INDEX('Ajustes'!$C$5:$C$6,MATCH($C882,'Ajustes'!$A$5:$A$8,0)),IF(MATCH($C882,'Ajustes'!$A$5:$A$8,0)=3,-($D882+$E882*INDEX('Equipo'!$B$5:$B$29,MATCH($B882,'Equipo'!$A$5:$A$29,0))),0))),"")</f>
        <v/>
      </c>
      <c r="H882" s="25">
        <f>IFERROR(IF(OR($B882="",$C882=""),"",IF(MATCH($C882,'Ajustes'!$A$5:$A$8,0)=4,$D882/INDEX('Equipo'!$B$5:$B$29,MATCH($B882,'Equipo'!$A$5:$A$29,0))+$E882,0)),"")</f>
        <v/>
      </c>
      <c r="I882" s="26">
        <f>IF($B882='Perfil'!$B$3,COUNTIF($B$4:$B882,'Perfil'!$B$3),"")</f>
        <v/>
      </c>
    </row>
    <row r="883">
      <c r="A883" s="22" t="n"/>
      <c r="B883" s="23" t="n"/>
      <c r="C883" s="23" t="n"/>
      <c r="D883" s="24" t="n"/>
      <c r="E883" s="24" t="n"/>
      <c r="F883" s="23" t="n"/>
      <c r="G883" s="19">
        <f>IFERROR(IF(OR($B883="",$C883=""),"",IF(MATCH($C883,'Ajustes'!$A$5:$A$8,0)&lt;=2,$D883*INDEX('Ajustes'!$C$5:$C$6,MATCH($C883,'Ajustes'!$A$5:$A$8,0)),IF(MATCH($C883,'Ajustes'!$A$5:$A$8,0)=3,-($D883+$E883*INDEX('Equipo'!$B$5:$B$29,MATCH($B883,'Equipo'!$A$5:$A$29,0))),0))),"")</f>
        <v/>
      </c>
      <c r="H883" s="25">
        <f>IFERROR(IF(OR($B883="",$C883=""),"",IF(MATCH($C883,'Ajustes'!$A$5:$A$8,0)=4,$D883/INDEX('Equipo'!$B$5:$B$29,MATCH($B883,'Equipo'!$A$5:$A$29,0))+$E883,0)),"")</f>
        <v/>
      </c>
      <c r="I883" s="26">
        <f>IF($B883='Perfil'!$B$3,COUNTIF($B$4:$B883,'Perfil'!$B$3),"")</f>
        <v/>
      </c>
    </row>
    <row r="884">
      <c r="A884" s="22" t="n"/>
      <c r="B884" s="23" t="n"/>
      <c r="C884" s="23" t="n"/>
      <c r="D884" s="24" t="n"/>
      <c r="E884" s="24" t="n"/>
      <c r="F884" s="23" t="n"/>
      <c r="G884" s="19">
        <f>IFERROR(IF(OR($B884="",$C884=""),"",IF(MATCH($C884,'Ajustes'!$A$5:$A$8,0)&lt;=2,$D884*INDEX('Ajustes'!$C$5:$C$6,MATCH($C884,'Ajustes'!$A$5:$A$8,0)),IF(MATCH($C884,'Ajustes'!$A$5:$A$8,0)=3,-($D884+$E884*INDEX('Equipo'!$B$5:$B$29,MATCH($B884,'Equipo'!$A$5:$A$29,0))),0))),"")</f>
        <v/>
      </c>
      <c r="H884" s="25">
        <f>IFERROR(IF(OR($B884="",$C884=""),"",IF(MATCH($C884,'Ajustes'!$A$5:$A$8,0)=4,$D884/INDEX('Equipo'!$B$5:$B$29,MATCH($B884,'Equipo'!$A$5:$A$29,0))+$E884,0)),"")</f>
        <v/>
      </c>
      <c r="I884" s="26">
        <f>IF($B884='Perfil'!$B$3,COUNTIF($B$4:$B884,'Perfil'!$B$3),"")</f>
        <v/>
      </c>
    </row>
    <row r="885">
      <c r="A885" s="22" t="n"/>
      <c r="B885" s="23" t="n"/>
      <c r="C885" s="23" t="n"/>
      <c r="D885" s="24" t="n"/>
      <c r="E885" s="24" t="n"/>
      <c r="F885" s="23" t="n"/>
      <c r="G885" s="19">
        <f>IFERROR(IF(OR($B885="",$C885=""),"",IF(MATCH($C885,'Ajustes'!$A$5:$A$8,0)&lt;=2,$D885*INDEX('Ajustes'!$C$5:$C$6,MATCH($C885,'Ajustes'!$A$5:$A$8,0)),IF(MATCH($C885,'Ajustes'!$A$5:$A$8,0)=3,-($D885+$E885*INDEX('Equipo'!$B$5:$B$29,MATCH($B885,'Equipo'!$A$5:$A$29,0))),0))),"")</f>
        <v/>
      </c>
      <c r="H885" s="25">
        <f>IFERROR(IF(OR($B885="",$C885=""),"",IF(MATCH($C885,'Ajustes'!$A$5:$A$8,0)=4,$D885/INDEX('Equipo'!$B$5:$B$29,MATCH($B885,'Equipo'!$A$5:$A$29,0))+$E885,0)),"")</f>
        <v/>
      </c>
      <c r="I885" s="26">
        <f>IF($B885='Perfil'!$B$3,COUNTIF($B$4:$B885,'Perfil'!$B$3),"")</f>
        <v/>
      </c>
    </row>
    <row r="886">
      <c r="A886" s="22" t="n"/>
      <c r="B886" s="23" t="n"/>
      <c r="C886" s="23" t="n"/>
      <c r="D886" s="24" t="n"/>
      <c r="E886" s="24" t="n"/>
      <c r="F886" s="23" t="n"/>
      <c r="G886" s="19">
        <f>IFERROR(IF(OR($B886="",$C886=""),"",IF(MATCH($C886,'Ajustes'!$A$5:$A$8,0)&lt;=2,$D886*INDEX('Ajustes'!$C$5:$C$6,MATCH($C886,'Ajustes'!$A$5:$A$8,0)),IF(MATCH($C886,'Ajustes'!$A$5:$A$8,0)=3,-($D886+$E886*INDEX('Equipo'!$B$5:$B$29,MATCH($B886,'Equipo'!$A$5:$A$29,0))),0))),"")</f>
        <v/>
      </c>
      <c r="H886" s="25">
        <f>IFERROR(IF(OR($B886="",$C886=""),"",IF(MATCH($C886,'Ajustes'!$A$5:$A$8,0)=4,$D886/INDEX('Equipo'!$B$5:$B$29,MATCH($B886,'Equipo'!$A$5:$A$29,0))+$E886,0)),"")</f>
        <v/>
      </c>
      <c r="I886" s="26">
        <f>IF($B886='Perfil'!$B$3,COUNTIF($B$4:$B886,'Perfil'!$B$3),"")</f>
        <v/>
      </c>
    </row>
    <row r="887">
      <c r="A887" s="22" t="n"/>
      <c r="B887" s="23" t="n"/>
      <c r="C887" s="23" t="n"/>
      <c r="D887" s="24" t="n"/>
      <c r="E887" s="24" t="n"/>
      <c r="F887" s="23" t="n"/>
      <c r="G887" s="19">
        <f>IFERROR(IF(OR($B887="",$C887=""),"",IF(MATCH($C887,'Ajustes'!$A$5:$A$8,0)&lt;=2,$D887*INDEX('Ajustes'!$C$5:$C$6,MATCH($C887,'Ajustes'!$A$5:$A$8,0)),IF(MATCH($C887,'Ajustes'!$A$5:$A$8,0)=3,-($D887+$E887*INDEX('Equipo'!$B$5:$B$29,MATCH($B887,'Equipo'!$A$5:$A$29,0))),0))),"")</f>
        <v/>
      </c>
      <c r="H887" s="25">
        <f>IFERROR(IF(OR($B887="",$C887=""),"",IF(MATCH($C887,'Ajustes'!$A$5:$A$8,0)=4,$D887/INDEX('Equipo'!$B$5:$B$29,MATCH($B887,'Equipo'!$A$5:$A$29,0))+$E887,0)),"")</f>
        <v/>
      </c>
      <c r="I887" s="26">
        <f>IF($B887='Perfil'!$B$3,COUNTIF($B$4:$B887,'Perfil'!$B$3),"")</f>
        <v/>
      </c>
    </row>
    <row r="888">
      <c r="A888" s="22" t="n"/>
      <c r="B888" s="23" t="n"/>
      <c r="C888" s="23" t="n"/>
      <c r="D888" s="24" t="n"/>
      <c r="E888" s="24" t="n"/>
      <c r="F888" s="23" t="n"/>
      <c r="G888" s="19">
        <f>IFERROR(IF(OR($B888="",$C888=""),"",IF(MATCH($C888,'Ajustes'!$A$5:$A$8,0)&lt;=2,$D888*INDEX('Ajustes'!$C$5:$C$6,MATCH($C888,'Ajustes'!$A$5:$A$8,0)),IF(MATCH($C888,'Ajustes'!$A$5:$A$8,0)=3,-($D888+$E888*INDEX('Equipo'!$B$5:$B$29,MATCH($B888,'Equipo'!$A$5:$A$29,0))),0))),"")</f>
        <v/>
      </c>
      <c r="H888" s="25">
        <f>IFERROR(IF(OR($B888="",$C888=""),"",IF(MATCH($C888,'Ajustes'!$A$5:$A$8,0)=4,$D888/INDEX('Equipo'!$B$5:$B$29,MATCH($B888,'Equipo'!$A$5:$A$29,0))+$E888,0)),"")</f>
        <v/>
      </c>
      <c r="I888" s="26">
        <f>IF($B888='Perfil'!$B$3,COUNTIF($B$4:$B888,'Perfil'!$B$3),"")</f>
        <v/>
      </c>
    </row>
    <row r="889">
      <c r="A889" s="22" t="n"/>
      <c r="B889" s="23" t="n"/>
      <c r="C889" s="23" t="n"/>
      <c r="D889" s="24" t="n"/>
      <c r="E889" s="24" t="n"/>
      <c r="F889" s="23" t="n"/>
      <c r="G889" s="19">
        <f>IFERROR(IF(OR($B889="",$C889=""),"",IF(MATCH($C889,'Ajustes'!$A$5:$A$8,0)&lt;=2,$D889*INDEX('Ajustes'!$C$5:$C$6,MATCH($C889,'Ajustes'!$A$5:$A$8,0)),IF(MATCH($C889,'Ajustes'!$A$5:$A$8,0)=3,-($D889+$E889*INDEX('Equipo'!$B$5:$B$29,MATCH($B889,'Equipo'!$A$5:$A$29,0))),0))),"")</f>
        <v/>
      </c>
      <c r="H889" s="25">
        <f>IFERROR(IF(OR($B889="",$C889=""),"",IF(MATCH($C889,'Ajustes'!$A$5:$A$8,0)=4,$D889/INDEX('Equipo'!$B$5:$B$29,MATCH($B889,'Equipo'!$A$5:$A$29,0))+$E889,0)),"")</f>
        <v/>
      </c>
      <c r="I889" s="26">
        <f>IF($B889='Perfil'!$B$3,COUNTIF($B$4:$B889,'Perfil'!$B$3),"")</f>
        <v/>
      </c>
    </row>
    <row r="890">
      <c r="A890" s="22" t="n"/>
      <c r="B890" s="23" t="n"/>
      <c r="C890" s="23" t="n"/>
      <c r="D890" s="24" t="n"/>
      <c r="E890" s="24" t="n"/>
      <c r="F890" s="23" t="n"/>
      <c r="G890" s="19">
        <f>IFERROR(IF(OR($B890="",$C890=""),"",IF(MATCH($C890,'Ajustes'!$A$5:$A$8,0)&lt;=2,$D890*INDEX('Ajustes'!$C$5:$C$6,MATCH($C890,'Ajustes'!$A$5:$A$8,0)),IF(MATCH($C890,'Ajustes'!$A$5:$A$8,0)=3,-($D890+$E890*INDEX('Equipo'!$B$5:$B$29,MATCH($B890,'Equipo'!$A$5:$A$29,0))),0))),"")</f>
        <v/>
      </c>
      <c r="H890" s="25">
        <f>IFERROR(IF(OR($B890="",$C890=""),"",IF(MATCH($C890,'Ajustes'!$A$5:$A$8,0)=4,$D890/INDEX('Equipo'!$B$5:$B$29,MATCH($B890,'Equipo'!$A$5:$A$29,0))+$E890,0)),"")</f>
        <v/>
      </c>
      <c r="I890" s="26">
        <f>IF($B890='Perfil'!$B$3,COUNTIF($B$4:$B890,'Perfil'!$B$3),"")</f>
        <v/>
      </c>
    </row>
    <row r="891">
      <c r="A891" s="22" t="n"/>
      <c r="B891" s="23" t="n"/>
      <c r="C891" s="23" t="n"/>
      <c r="D891" s="24" t="n"/>
      <c r="E891" s="24" t="n"/>
      <c r="F891" s="23" t="n"/>
      <c r="G891" s="19">
        <f>IFERROR(IF(OR($B891="",$C891=""),"",IF(MATCH($C891,'Ajustes'!$A$5:$A$8,0)&lt;=2,$D891*INDEX('Ajustes'!$C$5:$C$6,MATCH($C891,'Ajustes'!$A$5:$A$8,0)),IF(MATCH($C891,'Ajustes'!$A$5:$A$8,0)=3,-($D891+$E891*INDEX('Equipo'!$B$5:$B$29,MATCH($B891,'Equipo'!$A$5:$A$29,0))),0))),"")</f>
        <v/>
      </c>
      <c r="H891" s="25">
        <f>IFERROR(IF(OR($B891="",$C891=""),"",IF(MATCH($C891,'Ajustes'!$A$5:$A$8,0)=4,$D891/INDEX('Equipo'!$B$5:$B$29,MATCH($B891,'Equipo'!$A$5:$A$29,0))+$E891,0)),"")</f>
        <v/>
      </c>
      <c r="I891" s="26">
        <f>IF($B891='Perfil'!$B$3,COUNTIF($B$4:$B891,'Perfil'!$B$3),"")</f>
        <v/>
      </c>
    </row>
    <row r="892">
      <c r="A892" s="22" t="n"/>
      <c r="B892" s="23" t="n"/>
      <c r="C892" s="23" t="n"/>
      <c r="D892" s="24" t="n"/>
      <c r="E892" s="24" t="n"/>
      <c r="F892" s="23" t="n"/>
      <c r="G892" s="19">
        <f>IFERROR(IF(OR($B892="",$C892=""),"",IF(MATCH($C892,'Ajustes'!$A$5:$A$8,0)&lt;=2,$D892*INDEX('Ajustes'!$C$5:$C$6,MATCH($C892,'Ajustes'!$A$5:$A$8,0)),IF(MATCH($C892,'Ajustes'!$A$5:$A$8,0)=3,-($D892+$E892*INDEX('Equipo'!$B$5:$B$29,MATCH($B892,'Equipo'!$A$5:$A$29,0))),0))),"")</f>
        <v/>
      </c>
      <c r="H892" s="25">
        <f>IFERROR(IF(OR($B892="",$C892=""),"",IF(MATCH($C892,'Ajustes'!$A$5:$A$8,0)=4,$D892/INDEX('Equipo'!$B$5:$B$29,MATCH($B892,'Equipo'!$A$5:$A$29,0))+$E892,0)),"")</f>
        <v/>
      </c>
      <c r="I892" s="26">
        <f>IF($B892='Perfil'!$B$3,COUNTIF($B$4:$B892,'Perfil'!$B$3),"")</f>
        <v/>
      </c>
    </row>
    <row r="893">
      <c r="A893" s="22" t="n"/>
      <c r="B893" s="23" t="n"/>
      <c r="C893" s="23" t="n"/>
      <c r="D893" s="24" t="n"/>
      <c r="E893" s="24" t="n"/>
      <c r="F893" s="23" t="n"/>
      <c r="G893" s="19">
        <f>IFERROR(IF(OR($B893="",$C893=""),"",IF(MATCH($C893,'Ajustes'!$A$5:$A$8,0)&lt;=2,$D893*INDEX('Ajustes'!$C$5:$C$6,MATCH($C893,'Ajustes'!$A$5:$A$8,0)),IF(MATCH($C893,'Ajustes'!$A$5:$A$8,0)=3,-($D893+$E893*INDEX('Equipo'!$B$5:$B$29,MATCH($B893,'Equipo'!$A$5:$A$29,0))),0))),"")</f>
        <v/>
      </c>
      <c r="H893" s="25">
        <f>IFERROR(IF(OR($B893="",$C893=""),"",IF(MATCH($C893,'Ajustes'!$A$5:$A$8,0)=4,$D893/INDEX('Equipo'!$B$5:$B$29,MATCH($B893,'Equipo'!$A$5:$A$29,0))+$E893,0)),"")</f>
        <v/>
      </c>
      <c r="I893" s="26">
        <f>IF($B893='Perfil'!$B$3,COUNTIF($B$4:$B893,'Perfil'!$B$3),"")</f>
        <v/>
      </c>
    </row>
    <row r="894">
      <c r="A894" s="22" t="n"/>
      <c r="B894" s="23" t="n"/>
      <c r="C894" s="23" t="n"/>
      <c r="D894" s="24" t="n"/>
      <c r="E894" s="24" t="n"/>
      <c r="F894" s="23" t="n"/>
      <c r="G894" s="19">
        <f>IFERROR(IF(OR($B894="",$C894=""),"",IF(MATCH($C894,'Ajustes'!$A$5:$A$8,0)&lt;=2,$D894*INDEX('Ajustes'!$C$5:$C$6,MATCH($C894,'Ajustes'!$A$5:$A$8,0)),IF(MATCH($C894,'Ajustes'!$A$5:$A$8,0)=3,-($D894+$E894*INDEX('Equipo'!$B$5:$B$29,MATCH($B894,'Equipo'!$A$5:$A$29,0))),0))),"")</f>
        <v/>
      </c>
      <c r="H894" s="25">
        <f>IFERROR(IF(OR($B894="",$C894=""),"",IF(MATCH($C894,'Ajustes'!$A$5:$A$8,0)=4,$D894/INDEX('Equipo'!$B$5:$B$29,MATCH($B894,'Equipo'!$A$5:$A$29,0))+$E894,0)),"")</f>
        <v/>
      </c>
      <c r="I894" s="26">
        <f>IF($B894='Perfil'!$B$3,COUNTIF($B$4:$B894,'Perfil'!$B$3),"")</f>
        <v/>
      </c>
    </row>
    <row r="895">
      <c r="A895" s="22" t="n"/>
      <c r="B895" s="23" t="n"/>
      <c r="C895" s="23" t="n"/>
      <c r="D895" s="24" t="n"/>
      <c r="E895" s="24" t="n"/>
      <c r="F895" s="23" t="n"/>
      <c r="G895" s="19">
        <f>IFERROR(IF(OR($B895="",$C895=""),"",IF(MATCH($C895,'Ajustes'!$A$5:$A$8,0)&lt;=2,$D895*INDEX('Ajustes'!$C$5:$C$6,MATCH($C895,'Ajustes'!$A$5:$A$8,0)),IF(MATCH($C895,'Ajustes'!$A$5:$A$8,0)=3,-($D895+$E895*INDEX('Equipo'!$B$5:$B$29,MATCH($B895,'Equipo'!$A$5:$A$29,0))),0))),"")</f>
        <v/>
      </c>
      <c r="H895" s="25">
        <f>IFERROR(IF(OR($B895="",$C895=""),"",IF(MATCH($C895,'Ajustes'!$A$5:$A$8,0)=4,$D895/INDEX('Equipo'!$B$5:$B$29,MATCH($B895,'Equipo'!$A$5:$A$29,0))+$E895,0)),"")</f>
        <v/>
      </c>
      <c r="I895" s="26">
        <f>IF($B895='Perfil'!$B$3,COUNTIF($B$4:$B895,'Perfil'!$B$3),"")</f>
        <v/>
      </c>
    </row>
    <row r="896">
      <c r="A896" s="22" t="n"/>
      <c r="B896" s="23" t="n"/>
      <c r="C896" s="23" t="n"/>
      <c r="D896" s="24" t="n"/>
      <c r="E896" s="24" t="n"/>
      <c r="F896" s="23" t="n"/>
      <c r="G896" s="19">
        <f>IFERROR(IF(OR($B896="",$C896=""),"",IF(MATCH($C896,'Ajustes'!$A$5:$A$8,0)&lt;=2,$D896*INDEX('Ajustes'!$C$5:$C$6,MATCH($C896,'Ajustes'!$A$5:$A$8,0)),IF(MATCH($C896,'Ajustes'!$A$5:$A$8,0)=3,-($D896+$E896*INDEX('Equipo'!$B$5:$B$29,MATCH($B896,'Equipo'!$A$5:$A$29,0))),0))),"")</f>
        <v/>
      </c>
      <c r="H896" s="25">
        <f>IFERROR(IF(OR($B896="",$C896=""),"",IF(MATCH($C896,'Ajustes'!$A$5:$A$8,0)=4,$D896/INDEX('Equipo'!$B$5:$B$29,MATCH($B896,'Equipo'!$A$5:$A$29,0))+$E896,0)),"")</f>
        <v/>
      </c>
      <c r="I896" s="26">
        <f>IF($B896='Perfil'!$B$3,COUNTIF($B$4:$B896,'Perfil'!$B$3),"")</f>
        <v/>
      </c>
    </row>
    <row r="897">
      <c r="A897" s="22" t="n"/>
      <c r="B897" s="23" t="n"/>
      <c r="C897" s="23" t="n"/>
      <c r="D897" s="24" t="n"/>
      <c r="E897" s="24" t="n"/>
      <c r="F897" s="23" t="n"/>
      <c r="G897" s="19">
        <f>IFERROR(IF(OR($B897="",$C897=""),"",IF(MATCH($C897,'Ajustes'!$A$5:$A$8,0)&lt;=2,$D897*INDEX('Ajustes'!$C$5:$C$6,MATCH($C897,'Ajustes'!$A$5:$A$8,0)),IF(MATCH($C897,'Ajustes'!$A$5:$A$8,0)=3,-($D897+$E897*INDEX('Equipo'!$B$5:$B$29,MATCH($B897,'Equipo'!$A$5:$A$29,0))),0))),"")</f>
        <v/>
      </c>
      <c r="H897" s="25">
        <f>IFERROR(IF(OR($B897="",$C897=""),"",IF(MATCH($C897,'Ajustes'!$A$5:$A$8,0)=4,$D897/INDEX('Equipo'!$B$5:$B$29,MATCH($B897,'Equipo'!$A$5:$A$29,0))+$E897,0)),"")</f>
        <v/>
      </c>
      <c r="I897" s="26">
        <f>IF($B897='Perfil'!$B$3,COUNTIF($B$4:$B897,'Perfil'!$B$3),"")</f>
        <v/>
      </c>
    </row>
    <row r="898">
      <c r="A898" s="22" t="n"/>
      <c r="B898" s="23" t="n"/>
      <c r="C898" s="23" t="n"/>
      <c r="D898" s="24" t="n"/>
      <c r="E898" s="24" t="n"/>
      <c r="F898" s="23" t="n"/>
      <c r="G898" s="19">
        <f>IFERROR(IF(OR($B898="",$C898=""),"",IF(MATCH($C898,'Ajustes'!$A$5:$A$8,0)&lt;=2,$D898*INDEX('Ajustes'!$C$5:$C$6,MATCH($C898,'Ajustes'!$A$5:$A$8,0)),IF(MATCH($C898,'Ajustes'!$A$5:$A$8,0)=3,-($D898+$E898*INDEX('Equipo'!$B$5:$B$29,MATCH($B898,'Equipo'!$A$5:$A$29,0))),0))),"")</f>
        <v/>
      </c>
      <c r="H898" s="25">
        <f>IFERROR(IF(OR($B898="",$C898=""),"",IF(MATCH($C898,'Ajustes'!$A$5:$A$8,0)=4,$D898/INDEX('Equipo'!$B$5:$B$29,MATCH($B898,'Equipo'!$A$5:$A$29,0))+$E898,0)),"")</f>
        <v/>
      </c>
      <c r="I898" s="26">
        <f>IF($B898='Perfil'!$B$3,COUNTIF($B$4:$B898,'Perfil'!$B$3),"")</f>
        <v/>
      </c>
    </row>
    <row r="899">
      <c r="A899" s="22" t="n"/>
      <c r="B899" s="23" t="n"/>
      <c r="C899" s="23" t="n"/>
      <c r="D899" s="24" t="n"/>
      <c r="E899" s="24" t="n"/>
      <c r="F899" s="23" t="n"/>
      <c r="G899" s="19">
        <f>IFERROR(IF(OR($B899="",$C899=""),"",IF(MATCH($C899,'Ajustes'!$A$5:$A$8,0)&lt;=2,$D899*INDEX('Ajustes'!$C$5:$C$6,MATCH($C899,'Ajustes'!$A$5:$A$8,0)),IF(MATCH($C899,'Ajustes'!$A$5:$A$8,0)=3,-($D899+$E899*INDEX('Equipo'!$B$5:$B$29,MATCH($B899,'Equipo'!$A$5:$A$29,0))),0))),"")</f>
        <v/>
      </c>
      <c r="H899" s="25">
        <f>IFERROR(IF(OR($B899="",$C899=""),"",IF(MATCH($C899,'Ajustes'!$A$5:$A$8,0)=4,$D899/INDEX('Equipo'!$B$5:$B$29,MATCH($B899,'Equipo'!$A$5:$A$29,0))+$E899,0)),"")</f>
        <v/>
      </c>
      <c r="I899" s="26">
        <f>IF($B899='Perfil'!$B$3,COUNTIF($B$4:$B899,'Perfil'!$B$3),"")</f>
        <v/>
      </c>
    </row>
    <row r="900">
      <c r="A900" s="22" t="n"/>
      <c r="B900" s="23" t="n"/>
      <c r="C900" s="23" t="n"/>
      <c r="D900" s="24" t="n"/>
      <c r="E900" s="24" t="n"/>
      <c r="F900" s="23" t="n"/>
      <c r="G900" s="19">
        <f>IFERROR(IF(OR($B900="",$C900=""),"",IF(MATCH($C900,'Ajustes'!$A$5:$A$8,0)&lt;=2,$D900*INDEX('Ajustes'!$C$5:$C$6,MATCH($C900,'Ajustes'!$A$5:$A$8,0)),IF(MATCH($C900,'Ajustes'!$A$5:$A$8,0)=3,-($D900+$E900*INDEX('Equipo'!$B$5:$B$29,MATCH($B900,'Equipo'!$A$5:$A$29,0))),0))),"")</f>
        <v/>
      </c>
      <c r="H900" s="25">
        <f>IFERROR(IF(OR($B900="",$C900=""),"",IF(MATCH($C900,'Ajustes'!$A$5:$A$8,0)=4,$D900/INDEX('Equipo'!$B$5:$B$29,MATCH($B900,'Equipo'!$A$5:$A$29,0))+$E900,0)),"")</f>
        <v/>
      </c>
      <c r="I900" s="26">
        <f>IF($B900='Perfil'!$B$3,COUNTIF($B$4:$B900,'Perfil'!$B$3),"")</f>
        <v/>
      </c>
    </row>
    <row r="901">
      <c r="A901" s="22" t="n"/>
      <c r="B901" s="23" t="n"/>
      <c r="C901" s="23" t="n"/>
      <c r="D901" s="24" t="n"/>
      <c r="E901" s="24" t="n"/>
      <c r="F901" s="23" t="n"/>
      <c r="G901" s="19">
        <f>IFERROR(IF(OR($B901="",$C901=""),"",IF(MATCH($C901,'Ajustes'!$A$5:$A$8,0)&lt;=2,$D901*INDEX('Ajustes'!$C$5:$C$6,MATCH($C901,'Ajustes'!$A$5:$A$8,0)),IF(MATCH($C901,'Ajustes'!$A$5:$A$8,0)=3,-($D901+$E901*INDEX('Equipo'!$B$5:$B$29,MATCH($B901,'Equipo'!$A$5:$A$29,0))),0))),"")</f>
        <v/>
      </c>
      <c r="H901" s="25">
        <f>IFERROR(IF(OR($B901="",$C901=""),"",IF(MATCH($C901,'Ajustes'!$A$5:$A$8,0)=4,$D901/INDEX('Equipo'!$B$5:$B$29,MATCH($B901,'Equipo'!$A$5:$A$29,0))+$E901,0)),"")</f>
        <v/>
      </c>
      <c r="I901" s="26">
        <f>IF($B901='Perfil'!$B$3,COUNTIF($B$4:$B901,'Perfil'!$B$3),"")</f>
        <v/>
      </c>
    </row>
    <row r="902">
      <c r="A902" s="22" t="n"/>
      <c r="B902" s="23" t="n"/>
      <c r="C902" s="23" t="n"/>
      <c r="D902" s="24" t="n"/>
      <c r="E902" s="24" t="n"/>
      <c r="F902" s="23" t="n"/>
      <c r="G902" s="19">
        <f>IFERROR(IF(OR($B902="",$C902=""),"",IF(MATCH($C902,'Ajustes'!$A$5:$A$8,0)&lt;=2,$D902*INDEX('Ajustes'!$C$5:$C$6,MATCH($C902,'Ajustes'!$A$5:$A$8,0)),IF(MATCH($C902,'Ajustes'!$A$5:$A$8,0)=3,-($D902+$E902*INDEX('Equipo'!$B$5:$B$29,MATCH($B902,'Equipo'!$A$5:$A$29,0))),0))),"")</f>
        <v/>
      </c>
      <c r="H902" s="25">
        <f>IFERROR(IF(OR($B902="",$C902=""),"",IF(MATCH($C902,'Ajustes'!$A$5:$A$8,0)=4,$D902/INDEX('Equipo'!$B$5:$B$29,MATCH($B902,'Equipo'!$A$5:$A$29,0))+$E902,0)),"")</f>
        <v/>
      </c>
      <c r="I902" s="26">
        <f>IF($B902='Perfil'!$B$3,COUNTIF($B$4:$B902,'Perfil'!$B$3),"")</f>
        <v/>
      </c>
    </row>
    <row r="903">
      <c r="A903" s="22" t="n"/>
      <c r="B903" s="23" t="n"/>
      <c r="C903" s="23" t="n"/>
      <c r="D903" s="24" t="n"/>
      <c r="E903" s="24" t="n"/>
      <c r="F903" s="23" t="n"/>
      <c r="G903" s="19">
        <f>IFERROR(IF(OR($B903="",$C903=""),"",IF(MATCH($C903,'Ajustes'!$A$5:$A$8,0)&lt;=2,$D903*INDEX('Ajustes'!$C$5:$C$6,MATCH($C903,'Ajustes'!$A$5:$A$8,0)),IF(MATCH($C903,'Ajustes'!$A$5:$A$8,0)=3,-($D903+$E903*INDEX('Equipo'!$B$5:$B$29,MATCH($B903,'Equipo'!$A$5:$A$29,0))),0))),"")</f>
        <v/>
      </c>
      <c r="H903" s="25">
        <f>IFERROR(IF(OR($B903="",$C903=""),"",IF(MATCH($C903,'Ajustes'!$A$5:$A$8,0)=4,$D903/INDEX('Equipo'!$B$5:$B$29,MATCH($B903,'Equipo'!$A$5:$A$29,0))+$E903,0)),"")</f>
        <v/>
      </c>
      <c r="I903" s="26">
        <f>IF($B903='Perfil'!$B$3,COUNTIF($B$4:$B903,'Perfil'!$B$3),"")</f>
        <v/>
      </c>
    </row>
    <row r="904">
      <c r="A904" s="22" t="n"/>
      <c r="B904" s="23" t="n"/>
      <c r="C904" s="23" t="n"/>
      <c r="D904" s="24" t="n"/>
      <c r="E904" s="24" t="n"/>
      <c r="F904" s="23" t="n"/>
      <c r="G904" s="19">
        <f>IFERROR(IF(OR($B904="",$C904=""),"",IF(MATCH($C904,'Ajustes'!$A$5:$A$8,0)&lt;=2,$D904*INDEX('Ajustes'!$C$5:$C$6,MATCH($C904,'Ajustes'!$A$5:$A$8,0)),IF(MATCH($C904,'Ajustes'!$A$5:$A$8,0)=3,-($D904+$E904*INDEX('Equipo'!$B$5:$B$29,MATCH($B904,'Equipo'!$A$5:$A$29,0))),0))),"")</f>
        <v/>
      </c>
      <c r="H904" s="25">
        <f>IFERROR(IF(OR($B904="",$C904=""),"",IF(MATCH($C904,'Ajustes'!$A$5:$A$8,0)=4,$D904/INDEX('Equipo'!$B$5:$B$29,MATCH($B904,'Equipo'!$A$5:$A$29,0))+$E904,0)),"")</f>
        <v/>
      </c>
      <c r="I904" s="26">
        <f>IF($B904='Perfil'!$B$3,COUNTIF($B$4:$B904,'Perfil'!$B$3),"")</f>
        <v/>
      </c>
    </row>
    <row r="905">
      <c r="A905" s="22" t="n"/>
      <c r="B905" s="23" t="n"/>
      <c r="C905" s="23" t="n"/>
      <c r="D905" s="24" t="n"/>
      <c r="E905" s="24" t="n"/>
      <c r="F905" s="23" t="n"/>
      <c r="G905" s="19">
        <f>IFERROR(IF(OR($B905="",$C905=""),"",IF(MATCH($C905,'Ajustes'!$A$5:$A$8,0)&lt;=2,$D905*INDEX('Ajustes'!$C$5:$C$6,MATCH($C905,'Ajustes'!$A$5:$A$8,0)),IF(MATCH($C905,'Ajustes'!$A$5:$A$8,0)=3,-($D905+$E905*INDEX('Equipo'!$B$5:$B$29,MATCH($B905,'Equipo'!$A$5:$A$29,0))),0))),"")</f>
        <v/>
      </c>
      <c r="H905" s="25">
        <f>IFERROR(IF(OR($B905="",$C905=""),"",IF(MATCH($C905,'Ajustes'!$A$5:$A$8,0)=4,$D905/INDEX('Equipo'!$B$5:$B$29,MATCH($B905,'Equipo'!$A$5:$A$29,0))+$E905,0)),"")</f>
        <v/>
      </c>
      <c r="I905" s="26">
        <f>IF($B905='Perfil'!$B$3,COUNTIF($B$4:$B905,'Perfil'!$B$3),"")</f>
        <v/>
      </c>
    </row>
    <row r="906">
      <c r="A906" s="22" t="n"/>
      <c r="B906" s="23" t="n"/>
      <c r="C906" s="23" t="n"/>
      <c r="D906" s="24" t="n"/>
      <c r="E906" s="24" t="n"/>
      <c r="F906" s="23" t="n"/>
      <c r="G906" s="19">
        <f>IFERROR(IF(OR($B906="",$C906=""),"",IF(MATCH($C906,'Ajustes'!$A$5:$A$8,0)&lt;=2,$D906*INDEX('Ajustes'!$C$5:$C$6,MATCH($C906,'Ajustes'!$A$5:$A$8,0)),IF(MATCH($C906,'Ajustes'!$A$5:$A$8,0)=3,-($D906+$E906*INDEX('Equipo'!$B$5:$B$29,MATCH($B906,'Equipo'!$A$5:$A$29,0))),0))),"")</f>
        <v/>
      </c>
      <c r="H906" s="25">
        <f>IFERROR(IF(OR($B906="",$C906=""),"",IF(MATCH($C906,'Ajustes'!$A$5:$A$8,0)=4,$D906/INDEX('Equipo'!$B$5:$B$29,MATCH($B906,'Equipo'!$A$5:$A$29,0))+$E906,0)),"")</f>
        <v/>
      </c>
      <c r="I906" s="26">
        <f>IF($B906='Perfil'!$B$3,COUNTIF($B$4:$B906,'Perfil'!$B$3),"")</f>
        <v/>
      </c>
    </row>
    <row r="907">
      <c r="A907" s="22" t="n"/>
      <c r="B907" s="23" t="n"/>
      <c r="C907" s="23" t="n"/>
      <c r="D907" s="24" t="n"/>
      <c r="E907" s="24" t="n"/>
      <c r="F907" s="23" t="n"/>
      <c r="G907" s="19">
        <f>IFERROR(IF(OR($B907="",$C907=""),"",IF(MATCH($C907,'Ajustes'!$A$5:$A$8,0)&lt;=2,$D907*INDEX('Ajustes'!$C$5:$C$6,MATCH($C907,'Ajustes'!$A$5:$A$8,0)),IF(MATCH($C907,'Ajustes'!$A$5:$A$8,0)=3,-($D907+$E907*INDEX('Equipo'!$B$5:$B$29,MATCH($B907,'Equipo'!$A$5:$A$29,0))),0))),"")</f>
        <v/>
      </c>
      <c r="H907" s="25">
        <f>IFERROR(IF(OR($B907="",$C907=""),"",IF(MATCH($C907,'Ajustes'!$A$5:$A$8,0)=4,$D907/INDEX('Equipo'!$B$5:$B$29,MATCH($B907,'Equipo'!$A$5:$A$29,0))+$E907,0)),"")</f>
        <v/>
      </c>
      <c r="I907" s="26">
        <f>IF($B907='Perfil'!$B$3,COUNTIF($B$4:$B907,'Perfil'!$B$3),"")</f>
        <v/>
      </c>
    </row>
    <row r="908">
      <c r="A908" s="22" t="n"/>
      <c r="B908" s="23" t="n"/>
      <c r="C908" s="23" t="n"/>
      <c r="D908" s="24" t="n"/>
      <c r="E908" s="24" t="n"/>
      <c r="F908" s="23" t="n"/>
      <c r="G908" s="19">
        <f>IFERROR(IF(OR($B908="",$C908=""),"",IF(MATCH($C908,'Ajustes'!$A$5:$A$8,0)&lt;=2,$D908*INDEX('Ajustes'!$C$5:$C$6,MATCH($C908,'Ajustes'!$A$5:$A$8,0)),IF(MATCH($C908,'Ajustes'!$A$5:$A$8,0)=3,-($D908+$E908*INDEX('Equipo'!$B$5:$B$29,MATCH($B908,'Equipo'!$A$5:$A$29,0))),0))),"")</f>
        <v/>
      </c>
      <c r="H908" s="25">
        <f>IFERROR(IF(OR($B908="",$C908=""),"",IF(MATCH($C908,'Ajustes'!$A$5:$A$8,0)=4,$D908/INDEX('Equipo'!$B$5:$B$29,MATCH($B908,'Equipo'!$A$5:$A$29,0))+$E908,0)),"")</f>
        <v/>
      </c>
      <c r="I908" s="26">
        <f>IF($B908='Perfil'!$B$3,COUNTIF($B$4:$B908,'Perfil'!$B$3),"")</f>
        <v/>
      </c>
    </row>
    <row r="909">
      <c r="A909" s="22" t="n"/>
      <c r="B909" s="23" t="n"/>
      <c r="C909" s="23" t="n"/>
      <c r="D909" s="24" t="n"/>
      <c r="E909" s="24" t="n"/>
      <c r="F909" s="23" t="n"/>
      <c r="G909" s="19">
        <f>IFERROR(IF(OR($B909="",$C909=""),"",IF(MATCH($C909,'Ajustes'!$A$5:$A$8,0)&lt;=2,$D909*INDEX('Ajustes'!$C$5:$C$6,MATCH($C909,'Ajustes'!$A$5:$A$8,0)),IF(MATCH($C909,'Ajustes'!$A$5:$A$8,0)=3,-($D909+$E909*INDEX('Equipo'!$B$5:$B$29,MATCH($B909,'Equipo'!$A$5:$A$29,0))),0))),"")</f>
        <v/>
      </c>
      <c r="H909" s="25">
        <f>IFERROR(IF(OR($B909="",$C909=""),"",IF(MATCH($C909,'Ajustes'!$A$5:$A$8,0)=4,$D909/INDEX('Equipo'!$B$5:$B$29,MATCH($B909,'Equipo'!$A$5:$A$29,0))+$E909,0)),"")</f>
        <v/>
      </c>
      <c r="I909" s="26">
        <f>IF($B909='Perfil'!$B$3,COUNTIF($B$4:$B909,'Perfil'!$B$3),"")</f>
        <v/>
      </c>
    </row>
    <row r="910">
      <c r="A910" s="22" t="n"/>
      <c r="B910" s="23" t="n"/>
      <c r="C910" s="23" t="n"/>
      <c r="D910" s="24" t="n"/>
      <c r="E910" s="24" t="n"/>
      <c r="F910" s="23" t="n"/>
      <c r="G910" s="19">
        <f>IFERROR(IF(OR($B910="",$C910=""),"",IF(MATCH($C910,'Ajustes'!$A$5:$A$8,0)&lt;=2,$D910*INDEX('Ajustes'!$C$5:$C$6,MATCH($C910,'Ajustes'!$A$5:$A$8,0)),IF(MATCH($C910,'Ajustes'!$A$5:$A$8,0)=3,-($D910+$E910*INDEX('Equipo'!$B$5:$B$29,MATCH($B910,'Equipo'!$A$5:$A$29,0))),0))),"")</f>
        <v/>
      </c>
      <c r="H910" s="25">
        <f>IFERROR(IF(OR($B910="",$C910=""),"",IF(MATCH($C910,'Ajustes'!$A$5:$A$8,0)=4,$D910/INDEX('Equipo'!$B$5:$B$29,MATCH($B910,'Equipo'!$A$5:$A$29,0))+$E910,0)),"")</f>
        <v/>
      </c>
      <c r="I910" s="26">
        <f>IF($B910='Perfil'!$B$3,COUNTIF($B$4:$B910,'Perfil'!$B$3),"")</f>
        <v/>
      </c>
    </row>
    <row r="911">
      <c r="A911" s="22" t="n"/>
      <c r="B911" s="23" t="n"/>
      <c r="C911" s="23" t="n"/>
      <c r="D911" s="24" t="n"/>
      <c r="E911" s="24" t="n"/>
      <c r="F911" s="23" t="n"/>
      <c r="G911" s="19">
        <f>IFERROR(IF(OR($B911="",$C911=""),"",IF(MATCH($C911,'Ajustes'!$A$5:$A$8,0)&lt;=2,$D911*INDEX('Ajustes'!$C$5:$C$6,MATCH($C911,'Ajustes'!$A$5:$A$8,0)),IF(MATCH($C911,'Ajustes'!$A$5:$A$8,0)=3,-($D911+$E911*INDEX('Equipo'!$B$5:$B$29,MATCH($B911,'Equipo'!$A$5:$A$29,0))),0))),"")</f>
        <v/>
      </c>
      <c r="H911" s="25">
        <f>IFERROR(IF(OR($B911="",$C911=""),"",IF(MATCH($C911,'Ajustes'!$A$5:$A$8,0)=4,$D911/INDEX('Equipo'!$B$5:$B$29,MATCH($B911,'Equipo'!$A$5:$A$29,0))+$E911,0)),"")</f>
        <v/>
      </c>
      <c r="I911" s="26">
        <f>IF($B911='Perfil'!$B$3,COUNTIF($B$4:$B911,'Perfil'!$B$3),"")</f>
        <v/>
      </c>
    </row>
    <row r="912">
      <c r="A912" s="22" t="n"/>
      <c r="B912" s="23" t="n"/>
      <c r="C912" s="23" t="n"/>
      <c r="D912" s="24" t="n"/>
      <c r="E912" s="24" t="n"/>
      <c r="F912" s="23" t="n"/>
      <c r="G912" s="19">
        <f>IFERROR(IF(OR($B912="",$C912=""),"",IF(MATCH($C912,'Ajustes'!$A$5:$A$8,0)&lt;=2,$D912*INDEX('Ajustes'!$C$5:$C$6,MATCH($C912,'Ajustes'!$A$5:$A$8,0)),IF(MATCH($C912,'Ajustes'!$A$5:$A$8,0)=3,-($D912+$E912*INDEX('Equipo'!$B$5:$B$29,MATCH($B912,'Equipo'!$A$5:$A$29,0))),0))),"")</f>
        <v/>
      </c>
      <c r="H912" s="25">
        <f>IFERROR(IF(OR($B912="",$C912=""),"",IF(MATCH($C912,'Ajustes'!$A$5:$A$8,0)=4,$D912/INDEX('Equipo'!$B$5:$B$29,MATCH($B912,'Equipo'!$A$5:$A$29,0))+$E912,0)),"")</f>
        <v/>
      </c>
      <c r="I912" s="26">
        <f>IF($B912='Perfil'!$B$3,COUNTIF($B$4:$B912,'Perfil'!$B$3),"")</f>
        <v/>
      </c>
    </row>
    <row r="913">
      <c r="A913" s="22" t="n"/>
      <c r="B913" s="23" t="n"/>
      <c r="C913" s="23" t="n"/>
      <c r="D913" s="24" t="n"/>
      <c r="E913" s="24" t="n"/>
      <c r="F913" s="23" t="n"/>
      <c r="G913" s="19">
        <f>IFERROR(IF(OR($B913="",$C913=""),"",IF(MATCH($C913,'Ajustes'!$A$5:$A$8,0)&lt;=2,$D913*INDEX('Ajustes'!$C$5:$C$6,MATCH($C913,'Ajustes'!$A$5:$A$8,0)),IF(MATCH($C913,'Ajustes'!$A$5:$A$8,0)=3,-($D913+$E913*INDEX('Equipo'!$B$5:$B$29,MATCH($B913,'Equipo'!$A$5:$A$29,0))),0))),"")</f>
        <v/>
      </c>
      <c r="H913" s="25">
        <f>IFERROR(IF(OR($B913="",$C913=""),"",IF(MATCH($C913,'Ajustes'!$A$5:$A$8,0)=4,$D913/INDEX('Equipo'!$B$5:$B$29,MATCH($B913,'Equipo'!$A$5:$A$29,0))+$E913,0)),"")</f>
        <v/>
      </c>
      <c r="I913" s="26">
        <f>IF($B913='Perfil'!$B$3,COUNTIF($B$4:$B913,'Perfil'!$B$3),"")</f>
        <v/>
      </c>
    </row>
    <row r="914">
      <c r="A914" s="22" t="n"/>
      <c r="B914" s="23" t="n"/>
      <c r="C914" s="23" t="n"/>
      <c r="D914" s="24" t="n"/>
      <c r="E914" s="24" t="n"/>
      <c r="F914" s="23" t="n"/>
      <c r="G914" s="19">
        <f>IFERROR(IF(OR($B914="",$C914=""),"",IF(MATCH($C914,'Ajustes'!$A$5:$A$8,0)&lt;=2,$D914*INDEX('Ajustes'!$C$5:$C$6,MATCH($C914,'Ajustes'!$A$5:$A$8,0)),IF(MATCH($C914,'Ajustes'!$A$5:$A$8,0)=3,-($D914+$E914*INDEX('Equipo'!$B$5:$B$29,MATCH($B914,'Equipo'!$A$5:$A$29,0))),0))),"")</f>
        <v/>
      </c>
      <c r="H914" s="25">
        <f>IFERROR(IF(OR($B914="",$C914=""),"",IF(MATCH($C914,'Ajustes'!$A$5:$A$8,0)=4,$D914/INDEX('Equipo'!$B$5:$B$29,MATCH($B914,'Equipo'!$A$5:$A$29,0))+$E914,0)),"")</f>
        <v/>
      </c>
      <c r="I914" s="26">
        <f>IF($B914='Perfil'!$B$3,COUNTIF($B$4:$B914,'Perfil'!$B$3),"")</f>
        <v/>
      </c>
    </row>
    <row r="915">
      <c r="A915" s="22" t="n"/>
      <c r="B915" s="23" t="n"/>
      <c r="C915" s="23" t="n"/>
      <c r="D915" s="24" t="n"/>
      <c r="E915" s="24" t="n"/>
      <c r="F915" s="23" t="n"/>
      <c r="G915" s="19">
        <f>IFERROR(IF(OR($B915="",$C915=""),"",IF(MATCH($C915,'Ajustes'!$A$5:$A$8,0)&lt;=2,$D915*INDEX('Ajustes'!$C$5:$C$6,MATCH($C915,'Ajustes'!$A$5:$A$8,0)),IF(MATCH($C915,'Ajustes'!$A$5:$A$8,0)=3,-($D915+$E915*INDEX('Equipo'!$B$5:$B$29,MATCH($B915,'Equipo'!$A$5:$A$29,0))),0))),"")</f>
        <v/>
      </c>
      <c r="H915" s="25">
        <f>IFERROR(IF(OR($B915="",$C915=""),"",IF(MATCH($C915,'Ajustes'!$A$5:$A$8,0)=4,$D915/INDEX('Equipo'!$B$5:$B$29,MATCH($B915,'Equipo'!$A$5:$A$29,0))+$E915,0)),"")</f>
        <v/>
      </c>
      <c r="I915" s="26">
        <f>IF($B915='Perfil'!$B$3,COUNTIF($B$4:$B915,'Perfil'!$B$3),"")</f>
        <v/>
      </c>
    </row>
    <row r="916">
      <c r="A916" s="22" t="n"/>
      <c r="B916" s="23" t="n"/>
      <c r="C916" s="23" t="n"/>
      <c r="D916" s="24" t="n"/>
      <c r="E916" s="24" t="n"/>
      <c r="F916" s="23" t="n"/>
      <c r="G916" s="19">
        <f>IFERROR(IF(OR($B916="",$C916=""),"",IF(MATCH($C916,'Ajustes'!$A$5:$A$8,0)&lt;=2,$D916*INDEX('Ajustes'!$C$5:$C$6,MATCH($C916,'Ajustes'!$A$5:$A$8,0)),IF(MATCH($C916,'Ajustes'!$A$5:$A$8,0)=3,-($D916+$E916*INDEX('Equipo'!$B$5:$B$29,MATCH($B916,'Equipo'!$A$5:$A$29,0))),0))),"")</f>
        <v/>
      </c>
      <c r="H916" s="25">
        <f>IFERROR(IF(OR($B916="",$C916=""),"",IF(MATCH($C916,'Ajustes'!$A$5:$A$8,0)=4,$D916/INDEX('Equipo'!$B$5:$B$29,MATCH($B916,'Equipo'!$A$5:$A$29,0))+$E916,0)),"")</f>
        <v/>
      </c>
      <c r="I916" s="26">
        <f>IF($B916='Perfil'!$B$3,COUNTIF($B$4:$B916,'Perfil'!$B$3),"")</f>
        <v/>
      </c>
    </row>
    <row r="917">
      <c r="A917" s="22" t="n"/>
      <c r="B917" s="23" t="n"/>
      <c r="C917" s="23" t="n"/>
      <c r="D917" s="24" t="n"/>
      <c r="E917" s="24" t="n"/>
      <c r="F917" s="23" t="n"/>
      <c r="G917" s="19">
        <f>IFERROR(IF(OR($B917="",$C917=""),"",IF(MATCH($C917,'Ajustes'!$A$5:$A$8,0)&lt;=2,$D917*INDEX('Ajustes'!$C$5:$C$6,MATCH($C917,'Ajustes'!$A$5:$A$8,0)),IF(MATCH($C917,'Ajustes'!$A$5:$A$8,0)=3,-($D917+$E917*INDEX('Equipo'!$B$5:$B$29,MATCH($B917,'Equipo'!$A$5:$A$29,0))),0))),"")</f>
        <v/>
      </c>
      <c r="H917" s="25">
        <f>IFERROR(IF(OR($B917="",$C917=""),"",IF(MATCH($C917,'Ajustes'!$A$5:$A$8,0)=4,$D917/INDEX('Equipo'!$B$5:$B$29,MATCH($B917,'Equipo'!$A$5:$A$29,0))+$E917,0)),"")</f>
        <v/>
      </c>
      <c r="I917" s="26">
        <f>IF($B917='Perfil'!$B$3,COUNTIF($B$4:$B917,'Perfil'!$B$3),"")</f>
        <v/>
      </c>
    </row>
    <row r="918">
      <c r="A918" s="22" t="n"/>
      <c r="B918" s="23" t="n"/>
      <c r="C918" s="23" t="n"/>
      <c r="D918" s="24" t="n"/>
      <c r="E918" s="24" t="n"/>
      <c r="F918" s="23" t="n"/>
      <c r="G918" s="19">
        <f>IFERROR(IF(OR($B918="",$C918=""),"",IF(MATCH($C918,'Ajustes'!$A$5:$A$8,0)&lt;=2,$D918*INDEX('Ajustes'!$C$5:$C$6,MATCH($C918,'Ajustes'!$A$5:$A$8,0)),IF(MATCH($C918,'Ajustes'!$A$5:$A$8,0)=3,-($D918+$E918*INDEX('Equipo'!$B$5:$B$29,MATCH($B918,'Equipo'!$A$5:$A$29,0))),0))),"")</f>
        <v/>
      </c>
      <c r="H918" s="25">
        <f>IFERROR(IF(OR($B918="",$C918=""),"",IF(MATCH($C918,'Ajustes'!$A$5:$A$8,0)=4,$D918/INDEX('Equipo'!$B$5:$B$29,MATCH($B918,'Equipo'!$A$5:$A$29,0))+$E918,0)),"")</f>
        <v/>
      </c>
      <c r="I918" s="26">
        <f>IF($B918='Perfil'!$B$3,COUNTIF($B$4:$B918,'Perfil'!$B$3),"")</f>
        <v/>
      </c>
    </row>
    <row r="919">
      <c r="A919" s="22" t="n"/>
      <c r="B919" s="23" t="n"/>
      <c r="C919" s="23" t="n"/>
      <c r="D919" s="24" t="n"/>
      <c r="E919" s="24" t="n"/>
      <c r="F919" s="23" t="n"/>
      <c r="G919" s="19">
        <f>IFERROR(IF(OR($B919="",$C919=""),"",IF(MATCH($C919,'Ajustes'!$A$5:$A$8,0)&lt;=2,$D919*INDEX('Ajustes'!$C$5:$C$6,MATCH($C919,'Ajustes'!$A$5:$A$8,0)),IF(MATCH($C919,'Ajustes'!$A$5:$A$8,0)=3,-($D919+$E919*INDEX('Equipo'!$B$5:$B$29,MATCH($B919,'Equipo'!$A$5:$A$29,0))),0))),"")</f>
        <v/>
      </c>
      <c r="H919" s="25">
        <f>IFERROR(IF(OR($B919="",$C919=""),"",IF(MATCH($C919,'Ajustes'!$A$5:$A$8,0)=4,$D919/INDEX('Equipo'!$B$5:$B$29,MATCH($B919,'Equipo'!$A$5:$A$29,0))+$E919,0)),"")</f>
        <v/>
      </c>
      <c r="I919" s="26">
        <f>IF($B919='Perfil'!$B$3,COUNTIF($B$4:$B919,'Perfil'!$B$3),"")</f>
        <v/>
      </c>
    </row>
    <row r="920">
      <c r="A920" s="22" t="n"/>
      <c r="B920" s="23" t="n"/>
      <c r="C920" s="23" t="n"/>
      <c r="D920" s="24" t="n"/>
      <c r="E920" s="24" t="n"/>
      <c r="F920" s="23" t="n"/>
      <c r="G920" s="19">
        <f>IFERROR(IF(OR($B920="",$C920=""),"",IF(MATCH($C920,'Ajustes'!$A$5:$A$8,0)&lt;=2,$D920*INDEX('Ajustes'!$C$5:$C$6,MATCH($C920,'Ajustes'!$A$5:$A$8,0)),IF(MATCH($C920,'Ajustes'!$A$5:$A$8,0)=3,-($D920+$E920*INDEX('Equipo'!$B$5:$B$29,MATCH($B920,'Equipo'!$A$5:$A$29,0))),0))),"")</f>
        <v/>
      </c>
      <c r="H920" s="25">
        <f>IFERROR(IF(OR($B920="",$C920=""),"",IF(MATCH($C920,'Ajustes'!$A$5:$A$8,0)=4,$D920/INDEX('Equipo'!$B$5:$B$29,MATCH($B920,'Equipo'!$A$5:$A$29,0))+$E920,0)),"")</f>
        <v/>
      </c>
      <c r="I920" s="26">
        <f>IF($B920='Perfil'!$B$3,COUNTIF($B$4:$B920,'Perfil'!$B$3),"")</f>
        <v/>
      </c>
    </row>
    <row r="921">
      <c r="A921" s="22" t="n"/>
      <c r="B921" s="23" t="n"/>
      <c r="C921" s="23" t="n"/>
      <c r="D921" s="24" t="n"/>
      <c r="E921" s="24" t="n"/>
      <c r="F921" s="23" t="n"/>
      <c r="G921" s="19">
        <f>IFERROR(IF(OR($B921="",$C921=""),"",IF(MATCH($C921,'Ajustes'!$A$5:$A$8,0)&lt;=2,$D921*INDEX('Ajustes'!$C$5:$C$6,MATCH($C921,'Ajustes'!$A$5:$A$8,0)),IF(MATCH($C921,'Ajustes'!$A$5:$A$8,0)=3,-($D921+$E921*INDEX('Equipo'!$B$5:$B$29,MATCH($B921,'Equipo'!$A$5:$A$29,0))),0))),"")</f>
        <v/>
      </c>
      <c r="H921" s="25">
        <f>IFERROR(IF(OR($B921="",$C921=""),"",IF(MATCH($C921,'Ajustes'!$A$5:$A$8,0)=4,$D921/INDEX('Equipo'!$B$5:$B$29,MATCH($B921,'Equipo'!$A$5:$A$29,0))+$E921,0)),"")</f>
        <v/>
      </c>
      <c r="I921" s="26">
        <f>IF($B921='Perfil'!$B$3,COUNTIF($B$4:$B921,'Perfil'!$B$3),"")</f>
        <v/>
      </c>
    </row>
    <row r="922">
      <c r="A922" s="22" t="n"/>
      <c r="B922" s="23" t="n"/>
      <c r="C922" s="23" t="n"/>
      <c r="D922" s="24" t="n"/>
      <c r="E922" s="24" t="n"/>
      <c r="F922" s="23" t="n"/>
      <c r="G922" s="19">
        <f>IFERROR(IF(OR($B922="",$C922=""),"",IF(MATCH($C922,'Ajustes'!$A$5:$A$8,0)&lt;=2,$D922*INDEX('Ajustes'!$C$5:$C$6,MATCH($C922,'Ajustes'!$A$5:$A$8,0)),IF(MATCH($C922,'Ajustes'!$A$5:$A$8,0)=3,-($D922+$E922*INDEX('Equipo'!$B$5:$B$29,MATCH($B922,'Equipo'!$A$5:$A$29,0))),0))),"")</f>
        <v/>
      </c>
      <c r="H922" s="25">
        <f>IFERROR(IF(OR($B922="",$C922=""),"",IF(MATCH($C922,'Ajustes'!$A$5:$A$8,0)=4,$D922/INDEX('Equipo'!$B$5:$B$29,MATCH($B922,'Equipo'!$A$5:$A$29,0))+$E922,0)),"")</f>
        <v/>
      </c>
      <c r="I922" s="26">
        <f>IF($B922='Perfil'!$B$3,COUNTIF($B$4:$B922,'Perfil'!$B$3),"")</f>
        <v/>
      </c>
    </row>
    <row r="923">
      <c r="A923" s="22" t="n"/>
      <c r="B923" s="23" t="n"/>
      <c r="C923" s="23" t="n"/>
      <c r="D923" s="24" t="n"/>
      <c r="E923" s="24" t="n"/>
      <c r="F923" s="23" t="n"/>
      <c r="G923" s="19">
        <f>IFERROR(IF(OR($B923="",$C923=""),"",IF(MATCH($C923,'Ajustes'!$A$5:$A$8,0)&lt;=2,$D923*INDEX('Ajustes'!$C$5:$C$6,MATCH($C923,'Ajustes'!$A$5:$A$8,0)),IF(MATCH($C923,'Ajustes'!$A$5:$A$8,0)=3,-($D923+$E923*INDEX('Equipo'!$B$5:$B$29,MATCH($B923,'Equipo'!$A$5:$A$29,0))),0))),"")</f>
        <v/>
      </c>
      <c r="H923" s="25">
        <f>IFERROR(IF(OR($B923="",$C923=""),"",IF(MATCH($C923,'Ajustes'!$A$5:$A$8,0)=4,$D923/INDEX('Equipo'!$B$5:$B$29,MATCH($B923,'Equipo'!$A$5:$A$29,0))+$E923,0)),"")</f>
        <v/>
      </c>
      <c r="I923" s="26">
        <f>IF($B923='Perfil'!$B$3,COUNTIF($B$4:$B923,'Perfil'!$B$3),"")</f>
        <v/>
      </c>
    </row>
    <row r="924">
      <c r="A924" s="22" t="n"/>
      <c r="B924" s="23" t="n"/>
      <c r="C924" s="23" t="n"/>
      <c r="D924" s="24" t="n"/>
      <c r="E924" s="24" t="n"/>
      <c r="F924" s="23" t="n"/>
      <c r="G924" s="19">
        <f>IFERROR(IF(OR($B924="",$C924=""),"",IF(MATCH($C924,'Ajustes'!$A$5:$A$8,0)&lt;=2,$D924*INDEX('Ajustes'!$C$5:$C$6,MATCH($C924,'Ajustes'!$A$5:$A$8,0)),IF(MATCH($C924,'Ajustes'!$A$5:$A$8,0)=3,-($D924+$E924*INDEX('Equipo'!$B$5:$B$29,MATCH($B924,'Equipo'!$A$5:$A$29,0))),0))),"")</f>
        <v/>
      </c>
      <c r="H924" s="25">
        <f>IFERROR(IF(OR($B924="",$C924=""),"",IF(MATCH($C924,'Ajustes'!$A$5:$A$8,0)=4,$D924/INDEX('Equipo'!$B$5:$B$29,MATCH($B924,'Equipo'!$A$5:$A$29,0))+$E924,0)),"")</f>
        <v/>
      </c>
      <c r="I924" s="26">
        <f>IF($B924='Perfil'!$B$3,COUNTIF($B$4:$B924,'Perfil'!$B$3),"")</f>
        <v/>
      </c>
    </row>
    <row r="925">
      <c r="A925" s="22" t="n"/>
      <c r="B925" s="23" t="n"/>
      <c r="C925" s="23" t="n"/>
      <c r="D925" s="24" t="n"/>
      <c r="E925" s="24" t="n"/>
      <c r="F925" s="23" t="n"/>
      <c r="G925" s="19">
        <f>IFERROR(IF(OR($B925="",$C925=""),"",IF(MATCH($C925,'Ajustes'!$A$5:$A$8,0)&lt;=2,$D925*INDEX('Ajustes'!$C$5:$C$6,MATCH($C925,'Ajustes'!$A$5:$A$8,0)),IF(MATCH($C925,'Ajustes'!$A$5:$A$8,0)=3,-($D925+$E925*INDEX('Equipo'!$B$5:$B$29,MATCH($B925,'Equipo'!$A$5:$A$29,0))),0))),"")</f>
        <v/>
      </c>
      <c r="H925" s="25">
        <f>IFERROR(IF(OR($B925="",$C925=""),"",IF(MATCH($C925,'Ajustes'!$A$5:$A$8,0)=4,$D925/INDEX('Equipo'!$B$5:$B$29,MATCH($B925,'Equipo'!$A$5:$A$29,0))+$E925,0)),"")</f>
        <v/>
      </c>
      <c r="I925" s="26">
        <f>IF($B925='Perfil'!$B$3,COUNTIF($B$4:$B925,'Perfil'!$B$3),"")</f>
        <v/>
      </c>
    </row>
    <row r="926">
      <c r="A926" s="22" t="n"/>
      <c r="B926" s="23" t="n"/>
      <c r="C926" s="23" t="n"/>
      <c r="D926" s="24" t="n"/>
      <c r="E926" s="24" t="n"/>
      <c r="F926" s="23" t="n"/>
      <c r="G926" s="19">
        <f>IFERROR(IF(OR($B926="",$C926=""),"",IF(MATCH($C926,'Ajustes'!$A$5:$A$8,0)&lt;=2,$D926*INDEX('Ajustes'!$C$5:$C$6,MATCH($C926,'Ajustes'!$A$5:$A$8,0)),IF(MATCH($C926,'Ajustes'!$A$5:$A$8,0)=3,-($D926+$E926*INDEX('Equipo'!$B$5:$B$29,MATCH($B926,'Equipo'!$A$5:$A$29,0))),0))),"")</f>
        <v/>
      </c>
      <c r="H926" s="25">
        <f>IFERROR(IF(OR($B926="",$C926=""),"",IF(MATCH($C926,'Ajustes'!$A$5:$A$8,0)=4,$D926/INDEX('Equipo'!$B$5:$B$29,MATCH($B926,'Equipo'!$A$5:$A$29,0))+$E926,0)),"")</f>
        <v/>
      </c>
      <c r="I926" s="26">
        <f>IF($B926='Perfil'!$B$3,COUNTIF($B$4:$B926,'Perfil'!$B$3),"")</f>
        <v/>
      </c>
    </row>
    <row r="927">
      <c r="A927" s="22" t="n"/>
      <c r="B927" s="23" t="n"/>
      <c r="C927" s="23" t="n"/>
      <c r="D927" s="24" t="n"/>
      <c r="E927" s="24" t="n"/>
      <c r="F927" s="23" t="n"/>
      <c r="G927" s="19">
        <f>IFERROR(IF(OR($B927="",$C927=""),"",IF(MATCH($C927,'Ajustes'!$A$5:$A$8,0)&lt;=2,$D927*INDEX('Ajustes'!$C$5:$C$6,MATCH($C927,'Ajustes'!$A$5:$A$8,0)),IF(MATCH($C927,'Ajustes'!$A$5:$A$8,0)=3,-($D927+$E927*INDEX('Equipo'!$B$5:$B$29,MATCH($B927,'Equipo'!$A$5:$A$29,0))),0))),"")</f>
        <v/>
      </c>
      <c r="H927" s="25">
        <f>IFERROR(IF(OR($B927="",$C927=""),"",IF(MATCH($C927,'Ajustes'!$A$5:$A$8,0)=4,$D927/INDEX('Equipo'!$B$5:$B$29,MATCH($B927,'Equipo'!$A$5:$A$29,0))+$E927,0)),"")</f>
        <v/>
      </c>
      <c r="I927" s="26">
        <f>IF($B927='Perfil'!$B$3,COUNTIF($B$4:$B927,'Perfil'!$B$3),"")</f>
        <v/>
      </c>
    </row>
    <row r="928">
      <c r="A928" s="22" t="n"/>
      <c r="B928" s="23" t="n"/>
      <c r="C928" s="23" t="n"/>
      <c r="D928" s="24" t="n"/>
      <c r="E928" s="24" t="n"/>
      <c r="F928" s="23" t="n"/>
      <c r="G928" s="19">
        <f>IFERROR(IF(OR($B928="",$C928=""),"",IF(MATCH($C928,'Ajustes'!$A$5:$A$8,0)&lt;=2,$D928*INDEX('Ajustes'!$C$5:$C$6,MATCH($C928,'Ajustes'!$A$5:$A$8,0)),IF(MATCH($C928,'Ajustes'!$A$5:$A$8,0)=3,-($D928+$E928*INDEX('Equipo'!$B$5:$B$29,MATCH($B928,'Equipo'!$A$5:$A$29,0))),0))),"")</f>
        <v/>
      </c>
      <c r="H928" s="25">
        <f>IFERROR(IF(OR($B928="",$C928=""),"",IF(MATCH($C928,'Ajustes'!$A$5:$A$8,0)=4,$D928/INDEX('Equipo'!$B$5:$B$29,MATCH($B928,'Equipo'!$A$5:$A$29,0))+$E928,0)),"")</f>
        <v/>
      </c>
      <c r="I928" s="26">
        <f>IF($B928='Perfil'!$B$3,COUNTIF($B$4:$B928,'Perfil'!$B$3),"")</f>
        <v/>
      </c>
    </row>
    <row r="929">
      <c r="A929" s="22" t="n"/>
      <c r="B929" s="23" t="n"/>
      <c r="C929" s="23" t="n"/>
      <c r="D929" s="24" t="n"/>
      <c r="E929" s="24" t="n"/>
      <c r="F929" s="23" t="n"/>
      <c r="G929" s="19">
        <f>IFERROR(IF(OR($B929="",$C929=""),"",IF(MATCH($C929,'Ajustes'!$A$5:$A$8,0)&lt;=2,$D929*INDEX('Ajustes'!$C$5:$C$6,MATCH($C929,'Ajustes'!$A$5:$A$8,0)),IF(MATCH($C929,'Ajustes'!$A$5:$A$8,0)=3,-($D929+$E929*INDEX('Equipo'!$B$5:$B$29,MATCH($B929,'Equipo'!$A$5:$A$29,0))),0))),"")</f>
        <v/>
      </c>
      <c r="H929" s="25">
        <f>IFERROR(IF(OR($B929="",$C929=""),"",IF(MATCH($C929,'Ajustes'!$A$5:$A$8,0)=4,$D929/INDEX('Equipo'!$B$5:$B$29,MATCH($B929,'Equipo'!$A$5:$A$29,0))+$E929,0)),"")</f>
        <v/>
      </c>
      <c r="I929" s="26">
        <f>IF($B929='Perfil'!$B$3,COUNTIF($B$4:$B929,'Perfil'!$B$3),"")</f>
        <v/>
      </c>
    </row>
    <row r="930">
      <c r="A930" s="22" t="n"/>
      <c r="B930" s="23" t="n"/>
      <c r="C930" s="23" t="n"/>
      <c r="D930" s="24" t="n"/>
      <c r="E930" s="24" t="n"/>
      <c r="F930" s="23" t="n"/>
      <c r="G930" s="19">
        <f>IFERROR(IF(OR($B930="",$C930=""),"",IF(MATCH($C930,'Ajustes'!$A$5:$A$8,0)&lt;=2,$D930*INDEX('Ajustes'!$C$5:$C$6,MATCH($C930,'Ajustes'!$A$5:$A$8,0)),IF(MATCH($C930,'Ajustes'!$A$5:$A$8,0)=3,-($D930+$E930*INDEX('Equipo'!$B$5:$B$29,MATCH($B930,'Equipo'!$A$5:$A$29,0))),0))),"")</f>
        <v/>
      </c>
      <c r="H930" s="25">
        <f>IFERROR(IF(OR($B930="",$C930=""),"",IF(MATCH($C930,'Ajustes'!$A$5:$A$8,0)=4,$D930/INDEX('Equipo'!$B$5:$B$29,MATCH($B930,'Equipo'!$A$5:$A$29,0))+$E930,0)),"")</f>
        <v/>
      </c>
      <c r="I930" s="26">
        <f>IF($B930='Perfil'!$B$3,COUNTIF($B$4:$B930,'Perfil'!$B$3),"")</f>
        <v/>
      </c>
    </row>
    <row r="931">
      <c r="A931" s="22" t="n"/>
      <c r="B931" s="23" t="n"/>
      <c r="C931" s="23" t="n"/>
      <c r="D931" s="24" t="n"/>
      <c r="E931" s="24" t="n"/>
      <c r="F931" s="23" t="n"/>
      <c r="G931" s="19">
        <f>IFERROR(IF(OR($B931="",$C931=""),"",IF(MATCH($C931,'Ajustes'!$A$5:$A$8,0)&lt;=2,$D931*INDEX('Ajustes'!$C$5:$C$6,MATCH($C931,'Ajustes'!$A$5:$A$8,0)),IF(MATCH($C931,'Ajustes'!$A$5:$A$8,0)=3,-($D931+$E931*INDEX('Equipo'!$B$5:$B$29,MATCH($B931,'Equipo'!$A$5:$A$29,0))),0))),"")</f>
        <v/>
      </c>
      <c r="H931" s="25">
        <f>IFERROR(IF(OR($B931="",$C931=""),"",IF(MATCH($C931,'Ajustes'!$A$5:$A$8,0)=4,$D931/INDEX('Equipo'!$B$5:$B$29,MATCH($B931,'Equipo'!$A$5:$A$29,0))+$E931,0)),"")</f>
        <v/>
      </c>
      <c r="I931" s="26">
        <f>IF($B931='Perfil'!$B$3,COUNTIF($B$4:$B931,'Perfil'!$B$3),"")</f>
        <v/>
      </c>
    </row>
    <row r="932">
      <c r="A932" s="22" t="n"/>
      <c r="B932" s="23" t="n"/>
      <c r="C932" s="23" t="n"/>
      <c r="D932" s="24" t="n"/>
      <c r="E932" s="24" t="n"/>
      <c r="F932" s="23" t="n"/>
      <c r="G932" s="19">
        <f>IFERROR(IF(OR($B932="",$C932=""),"",IF(MATCH($C932,'Ajustes'!$A$5:$A$8,0)&lt;=2,$D932*INDEX('Ajustes'!$C$5:$C$6,MATCH($C932,'Ajustes'!$A$5:$A$8,0)),IF(MATCH($C932,'Ajustes'!$A$5:$A$8,0)=3,-($D932+$E932*INDEX('Equipo'!$B$5:$B$29,MATCH($B932,'Equipo'!$A$5:$A$29,0))),0))),"")</f>
        <v/>
      </c>
      <c r="H932" s="25">
        <f>IFERROR(IF(OR($B932="",$C932=""),"",IF(MATCH($C932,'Ajustes'!$A$5:$A$8,0)=4,$D932/INDEX('Equipo'!$B$5:$B$29,MATCH($B932,'Equipo'!$A$5:$A$29,0))+$E932,0)),"")</f>
        <v/>
      </c>
      <c r="I932" s="26">
        <f>IF($B932='Perfil'!$B$3,COUNTIF($B$4:$B932,'Perfil'!$B$3),"")</f>
        <v/>
      </c>
    </row>
    <row r="933">
      <c r="A933" s="22" t="n"/>
      <c r="B933" s="23" t="n"/>
      <c r="C933" s="23" t="n"/>
      <c r="D933" s="24" t="n"/>
      <c r="E933" s="24" t="n"/>
      <c r="F933" s="23" t="n"/>
      <c r="G933" s="19">
        <f>IFERROR(IF(OR($B933="",$C933=""),"",IF(MATCH($C933,'Ajustes'!$A$5:$A$8,0)&lt;=2,$D933*INDEX('Ajustes'!$C$5:$C$6,MATCH($C933,'Ajustes'!$A$5:$A$8,0)),IF(MATCH($C933,'Ajustes'!$A$5:$A$8,0)=3,-($D933+$E933*INDEX('Equipo'!$B$5:$B$29,MATCH($B933,'Equipo'!$A$5:$A$29,0))),0))),"")</f>
        <v/>
      </c>
      <c r="H933" s="25">
        <f>IFERROR(IF(OR($B933="",$C933=""),"",IF(MATCH($C933,'Ajustes'!$A$5:$A$8,0)=4,$D933/INDEX('Equipo'!$B$5:$B$29,MATCH($B933,'Equipo'!$A$5:$A$29,0))+$E933,0)),"")</f>
        <v/>
      </c>
      <c r="I933" s="26">
        <f>IF($B933='Perfil'!$B$3,COUNTIF($B$4:$B933,'Perfil'!$B$3),"")</f>
        <v/>
      </c>
    </row>
    <row r="934">
      <c r="A934" s="22" t="n"/>
      <c r="B934" s="23" t="n"/>
      <c r="C934" s="23" t="n"/>
      <c r="D934" s="24" t="n"/>
      <c r="E934" s="24" t="n"/>
      <c r="F934" s="23" t="n"/>
      <c r="G934" s="19">
        <f>IFERROR(IF(OR($B934="",$C934=""),"",IF(MATCH($C934,'Ajustes'!$A$5:$A$8,0)&lt;=2,$D934*INDEX('Ajustes'!$C$5:$C$6,MATCH($C934,'Ajustes'!$A$5:$A$8,0)),IF(MATCH($C934,'Ajustes'!$A$5:$A$8,0)=3,-($D934+$E934*INDEX('Equipo'!$B$5:$B$29,MATCH($B934,'Equipo'!$A$5:$A$29,0))),0))),"")</f>
        <v/>
      </c>
      <c r="H934" s="25">
        <f>IFERROR(IF(OR($B934="",$C934=""),"",IF(MATCH($C934,'Ajustes'!$A$5:$A$8,0)=4,$D934/INDEX('Equipo'!$B$5:$B$29,MATCH($B934,'Equipo'!$A$5:$A$29,0))+$E934,0)),"")</f>
        <v/>
      </c>
      <c r="I934" s="26">
        <f>IF($B934='Perfil'!$B$3,COUNTIF($B$4:$B934,'Perfil'!$B$3),"")</f>
        <v/>
      </c>
    </row>
    <row r="935">
      <c r="A935" s="22" t="n"/>
      <c r="B935" s="23" t="n"/>
      <c r="C935" s="23" t="n"/>
      <c r="D935" s="24" t="n"/>
      <c r="E935" s="24" t="n"/>
      <c r="F935" s="23" t="n"/>
      <c r="G935" s="19">
        <f>IFERROR(IF(OR($B935="",$C935=""),"",IF(MATCH($C935,'Ajustes'!$A$5:$A$8,0)&lt;=2,$D935*INDEX('Ajustes'!$C$5:$C$6,MATCH($C935,'Ajustes'!$A$5:$A$8,0)),IF(MATCH($C935,'Ajustes'!$A$5:$A$8,0)=3,-($D935+$E935*INDEX('Equipo'!$B$5:$B$29,MATCH($B935,'Equipo'!$A$5:$A$29,0))),0))),"")</f>
        <v/>
      </c>
      <c r="H935" s="25">
        <f>IFERROR(IF(OR($B935="",$C935=""),"",IF(MATCH($C935,'Ajustes'!$A$5:$A$8,0)=4,$D935/INDEX('Equipo'!$B$5:$B$29,MATCH($B935,'Equipo'!$A$5:$A$29,0))+$E935,0)),"")</f>
        <v/>
      </c>
      <c r="I935" s="26">
        <f>IF($B935='Perfil'!$B$3,COUNTIF($B$4:$B935,'Perfil'!$B$3),"")</f>
        <v/>
      </c>
    </row>
    <row r="936">
      <c r="A936" s="22" t="n"/>
      <c r="B936" s="23" t="n"/>
      <c r="C936" s="23" t="n"/>
      <c r="D936" s="24" t="n"/>
      <c r="E936" s="24" t="n"/>
      <c r="F936" s="23" t="n"/>
      <c r="G936" s="19">
        <f>IFERROR(IF(OR($B936="",$C936=""),"",IF(MATCH($C936,'Ajustes'!$A$5:$A$8,0)&lt;=2,$D936*INDEX('Ajustes'!$C$5:$C$6,MATCH($C936,'Ajustes'!$A$5:$A$8,0)),IF(MATCH($C936,'Ajustes'!$A$5:$A$8,0)=3,-($D936+$E936*INDEX('Equipo'!$B$5:$B$29,MATCH($B936,'Equipo'!$A$5:$A$29,0))),0))),"")</f>
        <v/>
      </c>
      <c r="H936" s="25">
        <f>IFERROR(IF(OR($B936="",$C936=""),"",IF(MATCH($C936,'Ajustes'!$A$5:$A$8,0)=4,$D936/INDEX('Equipo'!$B$5:$B$29,MATCH($B936,'Equipo'!$A$5:$A$29,0))+$E936,0)),"")</f>
        <v/>
      </c>
      <c r="I936" s="26">
        <f>IF($B936='Perfil'!$B$3,COUNTIF($B$4:$B936,'Perfil'!$B$3),"")</f>
        <v/>
      </c>
    </row>
    <row r="937">
      <c r="A937" s="22" t="n"/>
      <c r="B937" s="23" t="n"/>
      <c r="C937" s="23" t="n"/>
      <c r="D937" s="24" t="n"/>
      <c r="E937" s="24" t="n"/>
      <c r="F937" s="23" t="n"/>
      <c r="G937" s="19">
        <f>IFERROR(IF(OR($B937="",$C937=""),"",IF(MATCH($C937,'Ajustes'!$A$5:$A$8,0)&lt;=2,$D937*INDEX('Ajustes'!$C$5:$C$6,MATCH($C937,'Ajustes'!$A$5:$A$8,0)),IF(MATCH($C937,'Ajustes'!$A$5:$A$8,0)=3,-($D937+$E937*INDEX('Equipo'!$B$5:$B$29,MATCH($B937,'Equipo'!$A$5:$A$29,0))),0))),"")</f>
        <v/>
      </c>
      <c r="H937" s="25">
        <f>IFERROR(IF(OR($B937="",$C937=""),"",IF(MATCH($C937,'Ajustes'!$A$5:$A$8,0)=4,$D937/INDEX('Equipo'!$B$5:$B$29,MATCH($B937,'Equipo'!$A$5:$A$29,0))+$E937,0)),"")</f>
        <v/>
      </c>
      <c r="I937" s="26">
        <f>IF($B937='Perfil'!$B$3,COUNTIF($B$4:$B937,'Perfil'!$B$3),"")</f>
        <v/>
      </c>
    </row>
    <row r="938">
      <c r="A938" s="22" t="n"/>
      <c r="B938" s="23" t="n"/>
      <c r="C938" s="23" t="n"/>
      <c r="D938" s="24" t="n"/>
      <c r="E938" s="24" t="n"/>
      <c r="F938" s="23" t="n"/>
      <c r="G938" s="19">
        <f>IFERROR(IF(OR($B938="",$C938=""),"",IF(MATCH($C938,'Ajustes'!$A$5:$A$8,0)&lt;=2,$D938*INDEX('Ajustes'!$C$5:$C$6,MATCH($C938,'Ajustes'!$A$5:$A$8,0)),IF(MATCH($C938,'Ajustes'!$A$5:$A$8,0)=3,-($D938+$E938*INDEX('Equipo'!$B$5:$B$29,MATCH($B938,'Equipo'!$A$5:$A$29,0))),0))),"")</f>
        <v/>
      </c>
      <c r="H938" s="25">
        <f>IFERROR(IF(OR($B938="",$C938=""),"",IF(MATCH($C938,'Ajustes'!$A$5:$A$8,0)=4,$D938/INDEX('Equipo'!$B$5:$B$29,MATCH($B938,'Equipo'!$A$5:$A$29,0))+$E938,0)),"")</f>
        <v/>
      </c>
      <c r="I938" s="26">
        <f>IF($B938='Perfil'!$B$3,COUNTIF($B$4:$B938,'Perfil'!$B$3),"")</f>
        <v/>
      </c>
    </row>
    <row r="939">
      <c r="A939" s="22" t="n"/>
      <c r="B939" s="23" t="n"/>
      <c r="C939" s="23" t="n"/>
      <c r="D939" s="24" t="n"/>
      <c r="E939" s="24" t="n"/>
      <c r="F939" s="23" t="n"/>
      <c r="G939" s="19">
        <f>IFERROR(IF(OR($B939="",$C939=""),"",IF(MATCH($C939,'Ajustes'!$A$5:$A$8,0)&lt;=2,$D939*INDEX('Ajustes'!$C$5:$C$6,MATCH($C939,'Ajustes'!$A$5:$A$8,0)),IF(MATCH($C939,'Ajustes'!$A$5:$A$8,0)=3,-($D939+$E939*INDEX('Equipo'!$B$5:$B$29,MATCH($B939,'Equipo'!$A$5:$A$29,0))),0))),"")</f>
        <v/>
      </c>
      <c r="H939" s="25">
        <f>IFERROR(IF(OR($B939="",$C939=""),"",IF(MATCH($C939,'Ajustes'!$A$5:$A$8,0)=4,$D939/INDEX('Equipo'!$B$5:$B$29,MATCH($B939,'Equipo'!$A$5:$A$29,0))+$E939,0)),"")</f>
        <v/>
      </c>
      <c r="I939" s="26">
        <f>IF($B939='Perfil'!$B$3,COUNTIF($B$4:$B939,'Perfil'!$B$3),"")</f>
        <v/>
      </c>
    </row>
    <row r="940">
      <c r="A940" s="22" t="n"/>
      <c r="B940" s="23" t="n"/>
      <c r="C940" s="23" t="n"/>
      <c r="D940" s="24" t="n"/>
      <c r="E940" s="24" t="n"/>
      <c r="F940" s="23" t="n"/>
      <c r="G940" s="19">
        <f>IFERROR(IF(OR($B940="",$C940=""),"",IF(MATCH($C940,'Ajustes'!$A$5:$A$8,0)&lt;=2,$D940*INDEX('Ajustes'!$C$5:$C$6,MATCH($C940,'Ajustes'!$A$5:$A$8,0)),IF(MATCH($C940,'Ajustes'!$A$5:$A$8,0)=3,-($D940+$E940*INDEX('Equipo'!$B$5:$B$29,MATCH($B940,'Equipo'!$A$5:$A$29,0))),0))),"")</f>
        <v/>
      </c>
      <c r="H940" s="25">
        <f>IFERROR(IF(OR($B940="",$C940=""),"",IF(MATCH($C940,'Ajustes'!$A$5:$A$8,0)=4,$D940/INDEX('Equipo'!$B$5:$B$29,MATCH($B940,'Equipo'!$A$5:$A$29,0))+$E940,0)),"")</f>
        <v/>
      </c>
      <c r="I940" s="26">
        <f>IF($B940='Perfil'!$B$3,COUNTIF($B$4:$B940,'Perfil'!$B$3),"")</f>
        <v/>
      </c>
    </row>
    <row r="941">
      <c r="A941" s="22" t="n"/>
      <c r="B941" s="23" t="n"/>
      <c r="C941" s="23" t="n"/>
      <c r="D941" s="24" t="n"/>
      <c r="E941" s="24" t="n"/>
      <c r="F941" s="23" t="n"/>
      <c r="G941" s="19">
        <f>IFERROR(IF(OR($B941="",$C941=""),"",IF(MATCH($C941,'Ajustes'!$A$5:$A$8,0)&lt;=2,$D941*INDEX('Ajustes'!$C$5:$C$6,MATCH($C941,'Ajustes'!$A$5:$A$8,0)),IF(MATCH($C941,'Ajustes'!$A$5:$A$8,0)=3,-($D941+$E941*INDEX('Equipo'!$B$5:$B$29,MATCH($B941,'Equipo'!$A$5:$A$29,0))),0))),"")</f>
        <v/>
      </c>
      <c r="H941" s="25">
        <f>IFERROR(IF(OR($B941="",$C941=""),"",IF(MATCH($C941,'Ajustes'!$A$5:$A$8,0)=4,$D941/INDEX('Equipo'!$B$5:$B$29,MATCH($B941,'Equipo'!$A$5:$A$29,0))+$E941,0)),"")</f>
        <v/>
      </c>
      <c r="I941" s="26">
        <f>IF($B941='Perfil'!$B$3,COUNTIF($B$4:$B941,'Perfil'!$B$3),"")</f>
        <v/>
      </c>
    </row>
    <row r="942">
      <c r="A942" s="22" t="n"/>
      <c r="B942" s="23" t="n"/>
      <c r="C942" s="23" t="n"/>
      <c r="D942" s="24" t="n"/>
      <c r="E942" s="24" t="n"/>
      <c r="F942" s="23" t="n"/>
      <c r="G942" s="19">
        <f>IFERROR(IF(OR($B942="",$C942=""),"",IF(MATCH($C942,'Ajustes'!$A$5:$A$8,0)&lt;=2,$D942*INDEX('Ajustes'!$C$5:$C$6,MATCH($C942,'Ajustes'!$A$5:$A$8,0)),IF(MATCH($C942,'Ajustes'!$A$5:$A$8,0)=3,-($D942+$E942*INDEX('Equipo'!$B$5:$B$29,MATCH($B942,'Equipo'!$A$5:$A$29,0))),0))),"")</f>
        <v/>
      </c>
      <c r="H942" s="25">
        <f>IFERROR(IF(OR($B942="",$C942=""),"",IF(MATCH($C942,'Ajustes'!$A$5:$A$8,0)=4,$D942/INDEX('Equipo'!$B$5:$B$29,MATCH($B942,'Equipo'!$A$5:$A$29,0))+$E942,0)),"")</f>
        <v/>
      </c>
      <c r="I942" s="26">
        <f>IF($B942='Perfil'!$B$3,COUNTIF($B$4:$B942,'Perfil'!$B$3),"")</f>
        <v/>
      </c>
    </row>
    <row r="943">
      <c r="A943" s="22" t="n"/>
      <c r="B943" s="23" t="n"/>
      <c r="C943" s="23" t="n"/>
      <c r="D943" s="24" t="n"/>
      <c r="E943" s="24" t="n"/>
      <c r="F943" s="23" t="n"/>
      <c r="G943" s="19">
        <f>IFERROR(IF(OR($B943="",$C943=""),"",IF(MATCH($C943,'Ajustes'!$A$5:$A$8,0)&lt;=2,$D943*INDEX('Ajustes'!$C$5:$C$6,MATCH($C943,'Ajustes'!$A$5:$A$8,0)),IF(MATCH($C943,'Ajustes'!$A$5:$A$8,0)=3,-($D943+$E943*INDEX('Equipo'!$B$5:$B$29,MATCH($B943,'Equipo'!$A$5:$A$29,0))),0))),"")</f>
        <v/>
      </c>
      <c r="H943" s="25">
        <f>IFERROR(IF(OR($B943="",$C943=""),"",IF(MATCH($C943,'Ajustes'!$A$5:$A$8,0)=4,$D943/INDEX('Equipo'!$B$5:$B$29,MATCH($B943,'Equipo'!$A$5:$A$29,0))+$E943,0)),"")</f>
        <v/>
      </c>
      <c r="I943" s="26">
        <f>IF($B943='Perfil'!$B$3,COUNTIF($B$4:$B943,'Perfil'!$B$3),"")</f>
        <v/>
      </c>
    </row>
    <row r="944">
      <c r="A944" s="22" t="n"/>
      <c r="B944" s="23" t="n"/>
      <c r="C944" s="23" t="n"/>
      <c r="D944" s="24" t="n"/>
      <c r="E944" s="24" t="n"/>
      <c r="F944" s="23" t="n"/>
      <c r="G944" s="19">
        <f>IFERROR(IF(OR($B944="",$C944=""),"",IF(MATCH($C944,'Ajustes'!$A$5:$A$8,0)&lt;=2,$D944*INDEX('Ajustes'!$C$5:$C$6,MATCH($C944,'Ajustes'!$A$5:$A$8,0)),IF(MATCH($C944,'Ajustes'!$A$5:$A$8,0)=3,-($D944+$E944*INDEX('Equipo'!$B$5:$B$29,MATCH($B944,'Equipo'!$A$5:$A$29,0))),0))),"")</f>
        <v/>
      </c>
      <c r="H944" s="25">
        <f>IFERROR(IF(OR($B944="",$C944=""),"",IF(MATCH($C944,'Ajustes'!$A$5:$A$8,0)=4,$D944/INDEX('Equipo'!$B$5:$B$29,MATCH($B944,'Equipo'!$A$5:$A$29,0))+$E944,0)),"")</f>
        <v/>
      </c>
      <c r="I944" s="26">
        <f>IF($B944='Perfil'!$B$3,COUNTIF($B$4:$B944,'Perfil'!$B$3),"")</f>
        <v/>
      </c>
    </row>
    <row r="945">
      <c r="A945" s="22" t="n"/>
      <c r="B945" s="23" t="n"/>
      <c r="C945" s="23" t="n"/>
      <c r="D945" s="24" t="n"/>
      <c r="E945" s="24" t="n"/>
      <c r="F945" s="23" t="n"/>
      <c r="G945" s="19">
        <f>IFERROR(IF(OR($B945="",$C945=""),"",IF(MATCH($C945,'Ajustes'!$A$5:$A$8,0)&lt;=2,$D945*INDEX('Ajustes'!$C$5:$C$6,MATCH($C945,'Ajustes'!$A$5:$A$8,0)),IF(MATCH($C945,'Ajustes'!$A$5:$A$8,0)=3,-($D945+$E945*INDEX('Equipo'!$B$5:$B$29,MATCH($B945,'Equipo'!$A$5:$A$29,0))),0))),"")</f>
        <v/>
      </c>
      <c r="H945" s="25">
        <f>IFERROR(IF(OR($B945="",$C945=""),"",IF(MATCH($C945,'Ajustes'!$A$5:$A$8,0)=4,$D945/INDEX('Equipo'!$B$5:$B$29,MATCH($B945,'Equipo'!$A$5:$A$29,0))+$E945,0)),"")</f>
        <v/>
      </c>
      <c r="I945" s="26">
        <f>IF($B945='Perfil'!$B$3,COUNTIF($B$4:$B945,'Perfil'!$B$3),"")</f>
        <v/>
      </c>
    </row>
    <row r="946">
      <c r="A946" s="22" t="n"/>
      <c r="B946" s="23" t="n"/>
      <c r="C946" s="23" t="n"/>
      <c r="D946" s="24" t="n"/>
      <c r="E946" s="24" t="n"/>
      <c r="F946" s="23" t="n"/>
      <c r="G946" s="19">
        <f>IFERROR(IF(OR($B946="",$C946=""),"",IF(MATCH($C946,'Ajustes'!$A$5:$A$8,0)&lt;=2,$D946*INDEX('Ajustes'!$C$5:$C$6,MATCH($C946,'Ajustes'!$A$5:$A$8,0)),IF(MATCH($C946,'Ajustes'!$A$5:$A$8,0)=3,-($D946+$E946*INDEX('Equipo'!$B$5:$B$29,MATCH($B946,'Equipo'!$A$5:$A$29,0))),0))),"")</f>
        <v/>
      </c>
      <c r="H946" s="25">
        <f>IFERROR(IF(OR($B946="",$C946=""),"",IF(MATCH($C946,'Ajustes'!$A$5:$A$8,0)=4,$D946/INDEX('Equipo'!$B$5:$B$29,MATCH($B946,'Equipo'!$A$5:$A$29,0))+$E946,0)),"")</f>
        <v/>
      </c>
      <c r="I946" s="26">
        <f>IF($B946='Perfil'!$B$3,COUNTIF($B$4:$B946,'Perfil'!$B$3),"")</f>
        <v/>
      </c>
    </row>
    <row r="947">
      <c r="A947" s="22" t="n"/>
      <c r="B947" s="23" t="n"/>
      <c r="C947" s="23" t="n"/>
      <c r="D947" s="24" t="n"/>
      <c r="E947" s="24" t="n"/>
      <c r="F947" s="23" t="n"/>
      <c r="G947" s="19">
        <f>IFERROR(IF(OR($B947="",$C947=""),"",IF(MATCH($C947,'Ajustes'!$A$5:$A$8,0)&lt;=2,$D947*INDEX('Ajustes'!$C$5:$C$6,MATCH($C947,'Ajustes'!$A$5:$A$8,0)),IF(MATCH($C947,'Ajustes'!$A$5:$A$8,0)=3,-($D947+$E947*INDEX('Equipo'!$B$5:$B$29,MATCH($B947,'Equipo'!$A$5:$A$29,0))),0))),"")</f>
        <v/>
      </c>
      <c r="H947" s="25">
        <f>IFERROR(IF(OR($B947="",$C947=""),"",IF(MATCH($C947,'Ajustes'!$A$5:$A$8,0)=4,$D947/INDEX('Equipo'!$B$5:$B$29,MATCH($B947,'Equipo'!$A$5:$A$29,0))+$E947,0)),"")</f>
        <v/>
      </c>
      <c r="I947" s="26">
        <f>IF($B947='Perfil'!$B$3,COUNTIF($B$4:$B947,'Perfil'!$B$3),"")</f>
        <v/>
      </c>
    </row>
    <row r="948">
      <c r="A948" s="22" t="n"/>
      <c r="B948" s="23" t="n"/>
      <c r="C948" s="23" t="n"/>
      <c r="D948" s="24" t="n"/>
      <c r="E948" s="24" t="n"/>
      <c r="F948" s="23" t="n"/>
      <c r="G948" s="19">
        <f>IFERROR(IF(OR($B948="",$C948=""),"",IF(MATCH($C948,'Ajustes'!$A$5:$A$8,0)&lt;=2,$D948*INDEX('Ajustes'!$C$5:$C$6,MATCH($C948,'Ajustes'!$A$5:$A$8,0)),IF(MATCH($C948,'Ajustes'!$A$5:$A$8,0)=3,-($D948+$E948*INDEX('Equipo'!$B$5:$B$29,MATCH($B948,'Equipo'!$A$5:$A$29,0))),0))),"")</f>
        <v/>
      </c>
      <c r="H948" s="25">
        <f>IFERROR(IF(OR($B948="",$C948=""),"",IF(MATCH($C948,'Ajustes'!$A$5:$A$8,0)=4,$D948/INDEX('Equipo'!$B$5:$B$29,MATCH($B948,'Equipo'!$A$5:$A$29,0))+$E948,0)),"")</f>
        <v/>
      </c>
      <c r="I948" s="26">
        <f>IF($B948='Perfil'!$B$3,COUNTIF($B$4:$B948,'Perfil'!$B$3),"")</f>
        <v/>
      </c>
    </row>
    <row r="949">
      <c r="A949" s="22" t="n"/>
      <c r="B949" s="23" t="n"/>
      <c r="C949" s="23" t="n"/>
      <c r="D949" s="24" t="n"/>
      <c r="E949" s="24" t="n"/>
      <c r="F949" s="23" t="n"/>
      <c r="G949" s="19">
        <f>IFERROR(IF(OR($B949="",$C949=""),"",IF(MATCH($C949,'Ajustes'!$A$5:$A$8,0)&lt;=2,$D949*INDEX('Ajustes'!$C$5:$C$6,MATCH($C949,'Ajustes'!$A$5:$A$8,0)),IF(MATCH($C949,'Ajustes'!$A$5:$A$8,0)=3,-($D949+$E949*INDEX('Equipo'!$B$5:$B$29,MATCH($B949,'Equipo'!$A$5:$A$29,0))),0))),"")</f>
        <v/>
      </c>
      <c r="H949" s="25">
        <f>IFERROR(IF(OR($B949="",$C949=""),"",IF(MATCH($C949,'Ajustes'!$A$5:$A$8,0)=4,$D949/INDEX('Equipo'!$B$5:$B$29,MATCH($B949,'Equipo'!$A$5:$A$29,0))+$E949,0)),"")</f>
        <v/>
      </c>
      <c r="I949" s="26">
        <f>IF($B949='Perfil'!$B$3,COUNTIF($B$4:$B949,'Perfil'!$B$3),"")</f>
        <v/>
      </c>
    </row>
    <row r="950">
      <c r="A950" s="22" t="n"/>
      <c r="B950" s="23" t="n"/>
      <c r="C950" s="23" t="n"/>
      <c r="D950" s="24" t="n"/>
      <c r="E950" s="24" t="n"/>
      <c r="F950" s="23" t="n"/>
      <c r="G950" s="19">
        <f>IFERROR(IF(OR($B950="",$C950=""),"",IF(MATCH($C950,'Ajustes'!$A$5:$A$8,0)&lt;=2,$D950*INDEX('Ajustes'!$C$5:$C$6,MATCH($C950,'Ajustes'!$A$5:$A$8,0)),IF(MATCH($C950,'Ajustes'!$A$5:$A$8,0)=3,-($D950+$E950*INDEX('Equipo'!$B$5:$B$29,MATCH($B950,'Equipo'!$A$5:$A$29,0))),0))),"")</f>
        <v/>
      </c>
      <c r="H950" s="25">
        <f>IFERROR(IF(OR($B950="",$C950=""),"",IF(MATCH($C950,'Ajustes'!$A$5:$A$8,0)=4,$D950/INDEX('Equipo'!$B$5:$B$29,MATCH($B950,'Equipo'!$A$5:$A$29,0))+$E950,0)),"")</f>
        <v/>
      </c>
      <c r="I950" s="26">
        <f>IF($B950='Perfil'!$B$3,COUNTIF($B$4:$B950,'Perfil'!$B$3),"")</f>
        <v/>
      </c>
    </row>
    <row r="951">
      <c r="A951" s="22" t="n"/>
      <c r="B951" s="23" t="n"/>
      <c r="C951" s="23" t="n"/>
      <c r="D951" s="24" t="n"/>
      <c r="E951" s="24" t="n"/>
      <c r="F951" s="23" t="n"/>
      <c r="G951" s="19">
        <f>IFERROR(IF(OR($B951="",$C951=""),"",IF(MATCH($C951,'Ajustes'!$A$5:$A$8,0)&lt;=2,$D951*INDEX('Ajustes'!$C$5:$C$6,MATCH($C951,'Ajustes'!$A$5:$A$8,0)),IF(MATCH($C951,'Ajustes'!$A$5:$A$8,0)=3,-($D951+$E951*INDEX('Equipo'!$B$5:$B$29,MATCH($B951,'Equipo'!$A$5:$A$29,0))),0))),"")</f>
        <v/>
      </c>
      <c r="H951" s="25">
        <f>IFERROR(IF(OR($B951="",$C951=""),"",IF(MATCH($C951,'Ajustes'!$A$5:$A$8,0)=4,$D951/INDEX('Equipo'!$B$5:$B$29,MATCH($B951,'Equipo'!$A$5:$A$29,0))+$E951,0)),"")</f>
        <v/>
      </c>
      <c r="I951" s="26">
        <f>IF($B951='Perfil'!$B$3,COUNTIF($B$4:$B951,'Perfil'!$B$3),"")</f>
        <v/>
      </c>
    </row>
    <row r="952">
      <c r="A952" s="22" t="n"/>
      <c r="B952" s="23" t="n"/>
      <c r="C952" s="23" t="n"/>
      <c r="D952" s="24" t="n"/>
      <c r="E952" s="24" t="n"/>
      <c r="F952" s="23" t="n"/>
      <c r="G952" s="19">
        <f>IFERROR(IF(OR($B952="",$C952=""),"",IF(MATCH($C952,'Ajustes'!$A$5:$A$8,0)&lt;=2,$D952*INDEX('Ajustes'!$C$5:$C$6,MATCH($C952,'Ajustes'!$A$5:$A$8,0)),IF(MATCH($C952,'Ajustes'!$A$5:$A$8,0)=3,-($D952+$E952*INDEX('Equipo'!$B$5:$B$29,MATCH($B952,'Equipo'!$A$5:$A$29,0))),0))),"")</f>
        <v/>
      </c>
      <c r="H952" s="25">
        <f>IFERROR(IF(OR($B952="",$C952=""),"",IF(MATCH($C952,'Ajustes'!$A$5:$A$8,0)=4,$D952/INDEX('Equipo'!$B$5:$B$29,MATCH($B952,'Equipo'!$A$5:$A$29,0))+$E952,0)),"")</f>
        <v/>
      </c>
      <c r="I952" s="26">
        <f>IF($B952='Perfil'!$B$3,COUNTIF($B$4:$B952,'Perfil'!$B$3),"")</f>
        <v/>
      </c>
    </row>
    <row r="953">
      <c r="A953" s="22" t="n"/>
      <c r="B953" s="23" t="n"/>
      <c r="C953" s="23" t="n"/>
      <c r="D953" s="24" t="n"/>
      <c r="E953" s="24" t="n"/>
      <c r="F953" s="23" t="n"/>
      <c r="G953" s="19">
        <f>IFERROR(IF(OR($B953="",$C953=""),"",IF(MATCH($C953,'Ajustes'!$A$5:$A$8,0)&lt;=2,$D953*INDEX('Ajustes'!$C$5:$C$6,MATCH($C953,'Ajustes'!$A$5:$A$8,0)),IF(MATCH($C953,'Ajustes'!$A$5:$A$8,0)=3,-($D953+$E953*INDEX('Equipo'!$B$5:$B$29,MATCH($B953,'Equipo'!$A$5:$A$29,0))),0))),"")</f>
        <v/>
      </c>
      <c r="H953" s="25">
        <f>IFERROR(IF(OR($B953="",$C953=""),"",IF(MATCH($C953,'Ajustes'!$A$5:$A$8,0)=4,$D953/INDEX('Equipo'!$B$5:$B$29,MATCH($B953,'Equipo'!$A$5:$A$29,0))+$E953,0)),"")</f>
        <v/>
      </c>
      <c r="I953" s="26">
        <f>IF($B953='Perfil'!$B$3,COUNTIF($B$4:$B953,'Perfil'!$B$3),"")</f>
        <v/>
      </c>
    </row>
    <row r="954">
      <c r="A954" s="22" t="n"/>
      <c r="B954" s="23" t="n"/>
      <c r="C954" s="23" t="n"/>
      <c r="D954" s="24" t="n"/>
      <c r="E954" s="24" t="n"/>
      <c r="F954" s="23" t="n"/>
      <c r="G954" s="19">
        <f>IFERROR(IF(OR($B954="",$C954=""),"",IF(MATCH($C954,'Ajustes'!$A$5:$A$8,0)&lt;=2,$D954*INDEX('Ajustes'!$C$5:$C$6,MATCH($C954,'Ajustes'!$A$5:$A$8,0)),IF(MATCH($C954,'Ajustes'!$A$5:$A$8,0)=3,-($D954+$E954*INDEX('Equipo'!$B$5:$B$29,MATCH($B954,'Equipo'!$A$5:$A$29,0))),0))),"")</f>
        <v/>
      </c>
      <c r="H954" s="25">
        <f>IFERROR(IF(OR($B954="",$C954=""),"",IF(MATCH($C954,'Ajustes'!$A$5:$A$8,0)=4,$D954/INDEX('Equipo'!$B$5:$B$29,MATCH($B954,'Equipo'!$A$5:$A$29,0))+$E954,0)),"")</f>
        <v/>
      </c>
      <c r="I954" s="26">
        <f>IF($B954='Perfil'!$B$3,COUNTIF($B$4:$B954,'Perfil'!$B$3),"")</f>
        <v/>
      </c>
    </row>
    <row r="955">
      <c r="A955" s="22" t="n"/>
      <c r="B955" s="23" t="n"/>
      <c r="C955" s="23" t="n"/>
      <c r="D955" s="24" t="n"/>
      <c r="E955" s="24" t="n"/>
      <c r="F955" s="23" t="n"/>
      <c r="G955" s="19">
        <f>IFERROR(IF(OR($B955="",$C955=""),"",IF(MATCH($C955,'Ajustes'!$A$5:$A$8,0)&lt;=2,$D955*INDEX('Ajustes'!$C$5:$C$6,MATCH($C955,'Ajustes'!$A$5:$A$8,0)),IF(MATCH($C955,'Ajustes'!$A$5:$A$8,0)=3,-($D955+$E955*INDEX('Equipo'!$B$5:$B$29,MATCH($B955,'Equipo'!$A$5:$A$29,0))),0))),"")</f>
        <v/>
      </c>
      <c r="H955" s="25">
        <f>IFERROR(IF(OR($B955="",$C955=""),"",IF(MATCH($C955,'Ajustes'!$A$5:$A$8,0)=4,$D955/INDEX('Equipo'!$B$5:$B$29,MATCH($B955,'Equipo'!$A$5:$A$29,0))+$E955,0)),"")</f>
        <v/>
      </c>
      <c r="I955" s="26">
        <f>IF($B955='Perfil'!$B$3,COUNTIF($B$4:$B955,'Perfil'!$B$3),"")</f>
        <v/>
      </c>
    </row>
    <row r="956">
      <c r="A956" s="22" t="n"/>
      <c r="B956" s="23" t="n"/>
      <c r="C956" s="23" t="n"/>
      <c r="D956" s="24" t="n"/>
      <c r="E956" s="24" t="n"/>
      <c r="F956" s="23" t="n"/>
      <c r="G956" s="19">
        <f>IFERROR(IF(OR($B956="",$C956=""),"",IF(MATCH($C956,'Ajustes'!$A$5:$A$8,0)&lt;=2,$D956*INDEX('Ajustes'!$C$5:$C$6,MATCH($C956,'Ajustes'!$A$5:$A$8,0)),IF(MATCH($C956,'Ajustes'!$A$5:$A$8,0)=3,-($D956+$E956*INDEX('Equipo'!$B$5:$B$29,MATCH($B956,'Equipo'!$A$5:$A$29,0))),0))),"")</f>
        <v/>
      </c>
      <c r="H956" s="25">
        <f>IFERROR(IF(OR($B956="",$C956=""),"",IF(MATCH($C956,'Ajustes'!$A$5:$A$8,0)=4,$D956/INDEX('Equipo'!$B$5:$B$29,MATCH($B956,'Equipo'!$A$5:$A$29,0))+$E956,0)),"")</f>
        <v/>
      </c>
      <c r="I956" s="26">
        <f>IF($B956='Perfil'!$B$3,COUNTIF($B$4:$B956,'Perfil'!$B$3),"")</f>
        <v/>
      </c>
    </row>
    <row r="957">
      <c r="A957" s="22" t="n"/>
      <c r="B957" s="23" t="n"/>
      <c r="C957" s="23" t="n"/>
      <c r="D957" s="24" t="n"/>
      <c r="E957" s="24" t="n"/>
      <c r="F957" s="23" t="n"/>
      <c r="G957" s="19">
        <f>IFERROR(IF(OR($B957="",$C957=""),"",IF(MATCH($C957,'Ajustes'!$A$5:$A$8,0)&lt;=2,$D957*INDEX('Ajustes'!$C$5:$C$6,MATCH($C957,'Ajustes'!$A$5:$A$8,0)),IF(MATCH($C957,'Ajustes'!$A$5:$A$8,0)=3,-($D957+$E957*INDEX('Equipo'!$B$5:$B$29,MATCH($B957,'Equipo'!$A$5:$A$29,0))),0))),"")</f>
        <v/>
      </c>
      <c r="H957" s="25">
        <f>IFERROR(IF(OR($B957="",$C957=""),"",IF(MATCH($C957,'Ajustes'!$A$5:$A$8,0)=4,$D957/INDEX('Equipo'!$B$5:$B$29,MATCH($B957,'Equipo'!$A$5:$A$29,0))+$E957,0)),"")</f>
        <v/>
      </c>
      <c r="I957" s="26">
        <f>IF($B957='Perfil'!$B$3,COUNTIF($B$4:$B957,'Perfil'!$B$3),"")</f>
        <v/>
      </c>
    </row>
    <row r="958">
      <c r="A958" s="22" t="n"/>
      <c r="B958" s="23" t="n"/>
      <c r="C958" s="23" t="n"/>
      <c r="D958" s="24" t="n"/>
      <c r="E958" s="24" t="n"/>
      <c r="F958" s="23" t="n"/>
      <c r="G958" s="19">
        <f>IFERROR(IF(OR($B958="",$C958=""),"",IF(MATCH($C958,'Ajustes'!$A$5:$A$8,0)&lt;=2,$D958*INDEX('Ajustes'!$C$5:$C$6,MATCH($C958,'Ajustes'!$A$5:$A$8,0)),IF(MATCH($C958,'Ajustes'!$A$5:$A$8,0)=3,-($D958+$E958*INDEX('Equipo'!$B$5:$B$29,MATCH($B958,'Equipo'!$A$5:$A$29,0))),0))),"")</f>
        <v/>
      </c>
      <c r="H958" s="25">
        <f>IFERROR(IF(OR($B958="",$C958=""),"",IF(MATCH($C958,'Ajustes'!$A$5:$A$8,0)=4,$D958/INDEX('Equipo'!$B$5:$B$29,MATCH($B958,'Equipo'!$A$5:$A$29,0))+$E958,0)),"")</f>
        <v/>
      </c>
      <c r="I958" s="26">
        <f>IF($B958='Perfil'!$B$3,COUNTIF($B$4:$B958,'Perfil'!$B$3),"")</f>
        <v/>
      </c>
    </row>
    <row r="959">
      <c r="A959" s="22" t="n"/>
      <c r="B959" s="23" t="n"/>
      <c r="C959" s="23" t="n"/>
      <c r="D959" s="24" t="n"/>
      <c r="E959" s="24" t="n"/>
      <c r="F959" s="23" t="n"/>
      <c r="G959" s="19">
        <f>IFERROR(IF(OR($B959="",$C959=""),"",IF(MATCH($C959,'Ajustes'!$A$5:$A$8,0)&lt;=2,$D959*INDEX('Ajustes'!$C$5:$C$6,MATCH($C959,'Ajustes'!$A$5:$A$8,0)),IF(MATCH($C959,'Ajustes'!$A$5:$A$8,0)=3,-($D959+$E959*INDEX('Equipo'!$B$5:$B$29,MATCH($B959,'Equipo'!$A$5:$A$29,0))),0))),"")</f>
        <v/>
      </c>
      <c r="H959" s="25">
        <f>IFERROR(IF(OR($B959="",$C959=""),"",IF(MATCH($C959,'Ajustes'!$A$5:$A$8,0)=4,$D959/INDEX('Equipo'!$B$5:$B$29,MATCH($B959,'Equipo'!$A$5:$A$29,0))+$E959,0)),"")</f>
        <v/>
      </c>
      <c r="I959" s="26">
        <f>IF($B959='Perfil'!$B$3,COUNTIF($B$4:$B959,'Perfil'!$B$3),"")</f>
        <v/>
      </c>
    </row>
    <row r="960">
      <c r="A960" s="22" t="n"/>
      <c r="B960" s="23" t="n"/>
      <c r="C960" s="23" t="n"/>
      <c r="D960" s="24" t="n"/>
      <c r="E960" s="24" t="n"/>
      <c r="F960" s="23" t="n"/>
      <c r="G960" s="19">
        <f>IFERROR(IF(OR($B960="",$C960=""),"",IF(MATCH($C960,'Ajustes'!$A$5:$A$8,0)&lt;=2,$D960*INDEX('Ajustes'!$C$5:$C$6,MATCH($C960,'Ajustes'!$A$5:$A$8,0)),IF(MATCH($C960,'Ajustes'!$A$5:$A$8,0)=3,-($D960+$E960*INDEX('Equipo'!$B$5:$B$29,MATCH($B960,'Equipo'!$A$5:$A$29,0))),0))),"")</f>
        <v/>
      </c>
      <c r="H960" s="25">
        <f>IFERROR(IF(OR($B960="",$C960=""),"",IF(MATCH($C960,'Ajustes'!$A$5:$A$8,0)=4,$D960/INDEX('Equipo'!$B$5:$B$29,MATCH($B960,'Equipo'!$A$5:$A$29,0))+$E960,0)),"")</f>
        <v/>
      </c>
      <c r="I960" s="26">
        <f>IF($B960='Perfil'!$B$3,COUNTIF($B$4:$B960,'Perfil'!$B$3),"")</f>
        <v/>
      </c>
    </row>
    <row r="961">
      <c r="A961" s="22" t="n"/>
      <c r="B961" s="23" t="n"/>
      <c r="C961" s="23" t="n"/>
      <c r="D961" s="24" t="n"/>
      <c r="E961" s="24" t="n"/>
      <c r="F961" s="23" t="n"/>
      <c r="G961" s="19">
        <f>IFERROR(IF(OR($B961="",$C961=""),"",IF(MATCH($C961,'Ajustes'!$A$5:$A$8,0)&lt;=2,$D961*INDEX('Ajustes'!$C$5:$C$6,MATCH($C961,'Ajustes'!$A$5:$A$8,0)),IF(MATCH($C961,'Ajustes'!$A$5:$A$8,0)=3,-($D961+$E961*INDEX('Equipo'!$B$5:$B$29,MATCH($B961,'Equipo'!$A$5:$A$29,0))),0))),"")</f>
        <v/>
      </c>
      <c r="H961" s="25">
        <f>IFERROR(IF(OR($B961="",$C961=""),"",IF(MATCH($C961,'Ajustes'!$A$5:$A$8,0)=4,$D961/INDEX('Equipo'!$B$5:$B$29,MATCH($B961,'Equipo'!$A$5:$A$29,0))+$E961,0)),"")</f>
        <v/>
      </c>
      <c r="I961" s="26">
        <f>IF($B961='Perfil'!$B$3,COUNTIF($B$4:$B961,'Perfil'!$B$3),"")</f>
        <v/>
      </c>
    </row>
    <row r="962">
      <c r="A962" s="22" t="n"/>
      <c r="B962" s="23" t="n"/>
      <c r="C962" s="23" t="n"/>
      <c r="D962" s="24" t="n"/>
      <c r="E962" s="24" t="n"/>
      <c r="F962" s="23" t="n"/>
      <c r="G962" s="19">
        <f>IFERROR(IF(OR($B962="",$C962=""),"",IF(MATCH($C962,'Ajustes'!$A$5:$A$8,0)&lt;=2,$D962*INDEX('Ajustes'!$C$5:$C$6,MATCH($C962,'Ajustes'!$A$5:$A$8,0)),IF(MATCH($C962,'Ajustes'!$A$5:$A$8,0)=3,-($D962+$E962*INDEX('Equipo'!$B$5:$B$29,MATCH($B962,'Equipo'!$A$5:$A$29,0))),0))),"")</f>
        <v/>
      </c>
      <c r="H962" s="25">
        <f>IFERROR(IF(OR($B962="",$C962=""),"",IF(MATCH($C962,'Ajustes'!$A$5:$A$8,0)=4,$D962/INDEX('Equipo'!$B$5:$B$29,MATCH($B962,'Equipo'!$A$5:$A$29,0))+$E962,0)),"")</f>
        <v/>
      </c>
      <c r="I962" s="26">
        <f>IF($B962='Perfil'!$B$3,COUNTIF($B$4:$B962,'Perfil'!$B$3),"")</f>
        <v/>
      </c>
    </row>
    <row r="963">
      <c r="A963" s="22" t="n"/>
      <c r="B963" s="23" t="n"/>
      <c r="C963" s="23" t="n"/>
      <c r="D963" s="24" t="n"/>
      <c r="E963" s="24" t="n"/>
      <c r="F963" s="23" t="n"/>
      <c r="G963" s="19">
        <f>IFERROR(IF(OR($B963="",$C963=""),"",IF(MATCH($C963,'Ajustes'!$A$5:$A$8,0)&lt;=2,$D963*INDEX('Ajustes'!$C$5:$C$6,MATCH($C963,'Ajustes'!$A$5:$A$8,0)),IF(MATCH($C963,'Ajustes'!$A$5:$A$8,0)=3,-($D963+$E963*INDEX('Equipo'!$B$5:$B$29,MATCH($B963,'Equipo'!$A$5:$A$29,0))),0))),"")</f>
        <v/>
      </c>
      <c r="H963" s="25">
        <f>IFERROR(IF(OR($B963="",$C963=""),"",IF(MATCH($C963,'Ajustes'!$A$5:$A$8,0)=4,$D963/INDEX('Equipo'!$B$5:$B$29,MATCH($B963,'Equipo'!$A$5:$A$29,0))+$E963,0)),"")</f>
        <v/>
      </c>
      <c r="I963" s="26">
        <f>IF($B963='Perfil'!$B$3,COUNTIF($B$4:$B963,'Perfil'!$B$3),"")</f>
        <v/>
      </c>
    </row>
    <row r="964">
      <c r="A964" s="22" t="n"/>
      <c r="B964" s="23" t="n"/>
      <c r="C964" s="23" t="n"/>
      <c r="D964" s="24" t="n"/>
      <c r="E964" s="24" t="n"/>
      <c r="F964" s="23" t="n"/>
      <c r="G964" s="19">
        <f>IFERROR(IF(OR($B964="",$C964=""),"",IF(MATCH($C964,'Ajustes'!$A$5:$A$8,0)&lt;=2,$D964*INDEX('Ajustes'!$C$5:$C$6,MATCH($C964,'Ajustes'!$A$5:$A$8,0)),IF(MATCH($C964,'Ajustes'!$A$5:$A$8,0)=3,-($D964+$E964*INDEX('Equipo'!$B$5:$B$29,MATCH($B964,'Equipo'!$A$5:$A$29,0))),0))),"")</f>
        <v/>
      </c>
      <c r="H964" s="25">
        <f>IFERROR(IF(OR($B964="",$C964=""),"",IF(MATCH($C964,'Ajustes'!$A$5:$A$8,0)=4,$D964/INDEX('Equipo'!$B$5:$B$29,MATCH($B964,'Equipo'!$A$5:$A$29,0))+$E964,0)),"")</f>
        <v/>
      </c>
      <c r="I964" s="26">
        <f>IF($B964='Perfil'!$B$3,COUNTIF($B$4:$B964,'Perfil'!$B$3),"")</f>
        <v/>
      </c>
    </row>
    <row r="965">
      <c r="A965" s="22" t="n"/>
      <c r="B965" s="23" t="n"/>
      <c r="C965" s="23" t="n"/>
      <c r="D965" s="24" t="n"/>
      <c r="E965" s="24" t="n"/>
      <c r="F965" s="23" t="n"/>
      <c r="G965" s="19">
        <f>IFERROR(IF(OR($B965="",$C965=""),"",IF(MATCH($C965,'Ajustes'!$A$5:$A$8,0)&lt;=2,$D965*INDEX('Ajustes'!$C$5:$C$6,MATCH($C965,'Ajustes'!$A$5:$A$8,0)),IF(MATCH($C965,'Ajustes'!$A$5:$A$8,0)=3,-($D965+$E965*INDEX('Equipo'!$B$5:$B$29,MATCH($B965,'Equipo'!$A$5:$A$29,0))),0))),"")</f>
        <v/>
      </c>
      <c r="H965" s="25">
        <f>IFERROR(IF(OR($B965="",$C965=""),"",IF(MATCH($C965,'Ajustes'!$A$5:$A$8,0)=4,$D965/INDEX('Equipo'!$B$5:$B$29,MATCH($B965,'Equipo'!$A$5:$A$29,0))+$E965,0)),"")</f>
        <v/>
      </c>
      <c r="I965" s="26">
        <f>IF($B965='Perfil'!$B$3,COUNTIF($B$4:$B965,'Perfil'!$B$3),"")</f>
        <v/>
      </c>
    </row>
    <row r="966">
      <c r="A966" s="22" t="n"/>
      <c r="B966" s="23" t="n"/>
      <c r="C966" s="23" t="n"/>
      <c r="D966" s="24" t="n"/>
      <c r="E966" s="24" t="n"/>
      <c r="F966" s="23" t="n"/>
      <c r="G966" s="19">
        <f>IFERROR(IF(OR($B966="",$C966=""),"",IF(MATCH($C966,'Ajustes'!$A$5:$A$8,0)&lt;=2,$D966*INDEX('Ajustes'!$C$5:$C$6,MATCH($C966,'Ajustes'!$A$5:$A$8,0)),IF(MATCH($C966,'Ajustes'!$A$5:$A$8,0)=3,-($D966+$E966*INDEX('Equipo'!$B$5:$B$29,MATCH($B966,'Equipo'!$A$5:$A$29,0))),0))),"")</f>
        <v/>
      </c>
      <c r="H966" s="25">
        <f>IFERROR(IF(OR($B966="",$C966=""),"",IF(MATCH($C966,'Ajustes'!$A$5:$A$8,0)=4,$D966/INDEX('Equipo'!$B$5:$B$29,MATCH($B966,'Equipo'!$A$5:$A$29,0))+$E966,0)),"")</f>
        <v/>
      </c>
      <c r="I966" s="26">
        <f>IF($B966='Perfil'!$B$3,COUNTIF($B$4:$B966,'Perfil'!$B$3),"")</f>
        <v/>
      </c>
    </row>
    <row r="967">
      <c r="A967" s="22" t="n"/>
      <c r="B967" s="23" t="n"/>
      <c r="C967" s="23" t="n"/>
      <c r="D967" s="24" t="n"/>
      <c r="E967" s="24" t="n"/>
      <c r="F967" s="23" t="n"/>
      <c r="G967" s="19">
        <f>IFERROR(IF(OR($B967="",$C967=""),"",IF(MATCH($C967,'Ajustes'!$A$5:$A$8,0)&lt;=2,$D967*INDEX('Ajustes'!$C$5:$C$6,MATCH($C967,'Ajustes'!$A$5:$A$8,0)),IF(MATCH($C967,'Ajustes'!$A$5:$A$8,0)=3,-($D967+$E967*INDEX('Equipo'!$B$5:$B$29,MATCH($B967,'Equipo'!$A$5:$A$29,0))),0))),"")</f>
        <v/>
      </c>
      <c r="H967" s="25">
        <f>IFERROR(IF(OR($B967="",$C967=""),"",IF(MATCH($C967,'Ajustes'!$A$5:$A$8,0)=4,$D967/INDEX('Equipo'!$B$5:$B$29,MATCH($B967,'Equipo'!$A$5:$A$29,0))+$E967,0)),"")</f>
        <v/>
      </c>
      <c r="I967" s="26">
        <f>IF($B967='Perfil'!$B$3,COUNTIF($B$4:$B967,'Perfil'!$B$3),"")</f>
        <v/>
      </c>
    </row>
    <row r="968">
      <c r="A968" s="22" t="n"/>
      <c r="B968" s="23" t="n"/>
      <c r="C968" s="23" t="n"/>
      <c r="D968" s="24" t="n"/>
      <c r="E968" s="24" t="n"/>
      <c r="F968" s="23" t="n"/>
      <c r="G968" s="19">
        <f>IFERROR(IF(OR($B968="",$C968=""),"",IF(MATCH($C968,'Ajustes'!$A$5:$A$8,0)&lt;=2,$D968*INDEX('Ajustes'!$C$5:$C$6,MATCH($C968,'Ajustes'!$A$5:$A$8,0)),IF(MATCH($C968,'Ajustes'!$A$5:$A$8,0)=3,-($D968+$E968*INDEX('Equipo'!$B$5:$B$29,MATCH($B968,'Equipo'!$A$5:$A$29,0))),0))),"")</f>
        <v/>
      </c>
      <c r="H968" s="25">
        <f>IFERROR(IF(OR($B968="",$C968=""),"",IF(MATCH($C968,'Ajustes'!$A$5:$A$8,0)=4,$D968/INDEX('Equipo'!$B$5:$B$29,MATCH($B968,'Equipo'!$A$5:$A$29,0))+$E968,0)),"")</f>
        <v/>
      </c>
      <c r="I968" s="26">
        <f>IF($B968='Perfil'!$B$3,COUNTIF($B$4:$B968,'Perfil'!$B$3),"")</f>
        <v/>
      </c>
    </row>
    <row r="969">
      <c r="A969" s="22" t="n"/>
      <c r="B969" s="23" t="n"/>
      <c r="C969" s="23" t="n"/>
      <c r="D969" s="24" t="n"/>
      <c r="E969" s="24" t="n"/>
      <c r="F969" s="23" t="n"/>
      <c r="G969" s="19">
        <f>IFERROR(IF(OR($B969="",$C969=""),"",IF(MATCH($C969,'Ajustes'!$A$5:$A$8,0)&lt;=2,$D969*INDEX('Ajustes'!$C$5:$C$6,MATCH($C969,'Ajustes'!$A$5:$A$8,0)),IF(MATCH($C969,'Ajustes'!$A$5:$A$8,0)=3,-($D969+$E969*INDEX('Equipo'!$B$5:$B$29,MATCH($B969,'Equipo'!$A$5:$A$29,0))),0))),"")</f>
        <v/>
      </c>
      <c r="H969" s="25">
        <f>IFERROR(IF(OR($B969="",$C969=""),"",IF(MATCH($C969,'Ajustes'!$A$5:$A$8,0)=4,$D969/INDEX('Equipo'!$B$5:$B$29,MATCH($B969,'Equipo'!$A$5:$A$29,0))+$E969,0)),"")</f>
        <v/>
      </c>
      <c r="I969" s="26">
        <f>IF($B969='Perfil'!$B$3,COUNTIF($B$4:$B969,'Perfil'!$B$3),"")</f>
        <v/>
      </c>
    </row>
    <row r="970">
      <c r="A970" s="22" t="n"/>
      <c r="B970" s="23" t="n"/>
      <c r="C970" s="23" t="n"/>
      <c r="D970" s="24" t="n"/>
      <c r="E970" s="24" t="n"/>
      <c r="F970" s="23" t="n"/>
      <c r="G970" s="19">
        <f>IFERROR(IF(OR($B970="",$C970=""),"",IF(MATCH($C970,'Ajustes'!$A$5:$A$8,0)&lt;=2,$D970*INDEX('Ajustes'!$C$5:$C$6,MATCH($C970,'Ajustes'!$A$5:$A$8,0)),IF(MATCH($C970,'Ajustes'!$A$5:$A$8,0)=3,-($D970+$E970*INDEX('Equipo'!$B$5:$B$29,MATCH($B970,'Equipo'!$A$5:$A$29,0))),0))),"")</f>
        <v/>
      </c>
      <c r="H970" s="25">
        <f>IFERROR(IF(OR($B970="",$C970=""),"",IF(MATCH($C970,'Ajustes'!$A$5:$A$8,0)=4,$D970/INDEX('Equipo'!$B$5:$B$29,MATCH($B970,'Equipo'!$A$5:$A$29,0))+$E970,0)),"")</f>
        <v/>
      </c>
      <c r="I970" s="26">
        <f>IF($B970='Perfil'!$B$3,COUNTIF($B$4:$B970,'Perfil'!$B$3),"")</f>
        <v/>
      </c>
    </row>
    <row r="971">
      <c r="A971" s="22" t="n"/>
      <c r="B971" s="23" t="n"/>
      <c r="C971" s="23" t="n"/>
      <c r="D971" s="24" t="n"/>
      <c r="E971" s="24" t="n"/>
      <c r="F971" s="23" t="n"/>
      <c r="G971" s="19">
        <f>IFERROR(IF(OR($B971="",$C971=""),"",IF(MATCH($C971,'Ajustes'!$A$5:$A$8,0)&lt;=2,$D971*INDEX('Ajustes'!$C$5:$C$6,MATCH($C971,'Ajustes'!$A$5:$A$8,0)),IF(MATCH($C971,'Ajustes'!$A$5:$A$8,0)=3,-($D971+$E971*INDEX('Equipo'!$B$5:$B$29,MATCH($B971,'Equipo'!$A$5:$A$29,0))),0))),"")</f>
        <v/>
      </c>
      <c r="H971" s="25">
        <f>IFERROR(IF(OR($B971="",$C971=""),"",IF(MATCH($C971,'Ajustes'!$A$5:$A$8,0)=4,$D971/INDEX('Equipo'!$B$5:$B$29,MATCH($B971,'Equipo'!$A$5:$A$29,0))+$E971,0)),"")</f>
        <v/>
      </c>
      <c r="I971" s="26">
        <f>IF($B971='Perfil'!$B$3,COUNTIF($B$4:$B971,'Perfil'!$B$3),"")</f>
        <v/>
      </c>
    </row>
    <row r="972">
      <c r="A972" s="22" t="n"/>
      <c r="B972" s="23" t="n"/>
      <c r="C972" s="23" t="n"/>
      <c r="D972" s="24" t="n"/>
      <c r="E972" s="24" t="n"/>
      <c r="F972" s="23" t="n"/>
      <c r="G972" s="19">
        <f>IFERROR(IF(OR($B972="",$C972=""),"",IF(MATCH($C972,'Ajustes'!$A$5:$A$8,0)&lt;=2,$D972*INDEX('Ajustes'!$C$5:$C$6,MATCH($C972,'Ajustes'!$A$5:$A$8,0)),IF(MATCH($C972,'Ajustes'!$A$5:$A$8,0)=3,-($D972+$E972*INDEX('Equipo'!$B$5:$B$29,MATCH($B972,'Equipo'!$A$5:$A$29,0))),0))),"")</f>
        <v/>
      </c>
      <c r="H972" s="25">
        <f>IFERROR(IF(OR($B972="",$C972=""),"",IF(MATCH($C972,'Ajustes'!$A$5:$A$8,0)=4,$D972/INDEX('Equipo'!$B$5:$B$29,MATCH($B972,'Equipo'!$A$5:$A$29,0))+$E972,0)),"")</f>
        <v/>
      </c>
      <c r="I972" s="26">
        <f>IF($B972='Perfil'!$B$3,COUNTIF($B$4:$B972,'Perfil'!$B$3),"")</f>
        <v/>
      </c>
    </row>
    <row r="973">
      <c r="A973" s="22" t="n"/>
      <c r="B973" s="23" t="n"/>
      <c r="C973" s="23" t="n"/>
      <c r="D973" s="24" t="n"/>
      <c r="E973" s="24" t="n"/>
      <c r="F973" s="23" t="n"/>
      <c r="G973" s="19">
        <f>IFERROR(IF(OR($B973="",$C973=""),"",IF(MATCH($C973,'Ajustes'!$A$5:$A$8,0)&lt;=2,$D973*INDEX('Ajustes'!$C$5:$C$6,MATCH($C973,'Ajustes'!$A$5:$A$8,0)),IF(MATCH($C973,'Ajustes'!$A$5:$A$8,0)=3,-($D973+$E973*INDEX('Equipo'!$B$5:$B$29,MATCH($B973,'Equipo'!$A$5:$A$29,0))),0))),"")</f>
        <v/>
      </c>
      <c r="H973" s="25">
        <f>IFERROR(IF(OR($B973="",$C973=""),"",IF(MATCH($C973,'Ajustes'!$A$5:$A$8,0)=4,$D973/INDEX('Equipo'!$B$5:$B$29,MATCH($B973,'Equipo'!$A$5:$A$29,0))+$E973,0)),"")</f>
        <v/>
      </c>
      <c r="I973" s="26">
        <f>IF($B973='Perfil'!$B$3,COUNTIF($B$4:$B973,'Perfil'!$B$3),"")</f>
        <v/>
      </c>
    </row>
    <row r="974">
      <c r="A974" s="22" t="n"/>
      <c r="B974" s="23" t="n"/>
      <c r="C974" s="23" t="n"/>
      <c r="D974" s="24" t="n"/>
      <c r="E974" s="24" t="n"/>
      <c r="F974" s="23" t="n"/>
      <c r="G974" s="19">
        <f>IFERROR(IF(OR($B974="",$C974=""),"",IF(MATCH($C974,'Ajustes'!$A$5:$A$8,0)&lt;=2,$D974*INDEX('Ajustes'!$C$5:$C$6,MATCH($C974,'Ajustes'!$A$5:$A$8,0)),IF(MATCH($C974,'Ajustes'!$A$5:$A$8,0)=3,-($D974+$E974*INDEX('Equipo'!$B$5:$B$29,MATCH($B974,'Equipo'!$A$5:$A$29,0))),0))),"")</f>
        <v/>
      </c>
      <c r="H974" s="25">
        <f>IFERROR(IF(OR($B974="",$C974=""),"",IF(MATCH($C974,'Ajustes'!$A$5:$A$8,0)=4,$D974/INDEX('Equipo'!$B$5:$B$29,MATCH($B974,'Equipo'!$A$5:$A$29,0))+$E974,0)),"")</f>
        <v/>
      </c>
      <c r="I974" s="26">
        <f>IF($B974='Perfil'!$B$3,COUNTIF($B$4:$B974,'Perfil'!$B$3),"")</f>
        <v/>
      </c>
    </row>
    <row r="975">
      <c r="A975" s="22" t="n"/>
      <c r="B975" s="23" t="n"/>
      <c r="C975" s="23" t="n"/>
      <c r="D975" s="24" t="n"/>
      <c r="E975" s="24" t="n"/>
      <c r="F975" s="23" t="n"/>
      <c r="G975" s="19">
        <f>IFERROR(IF(OR($B975="",$C975=""),"",IF(MATCH($C975,'Ajustes'!$A$5:$A$8,0)&lt;=2,$D975*INDEX('Ajustes'!$C$5:$C$6,MATCH($C975,'Ajustes'!$A$5:$A$8,0)),IF(MATCH($C975,'Ajustes'!$A$5:$A$8,0)=3,-($D975+$E975*INDEX('Equipo'!$B$5:$B$29,MATCH($B975,'Equipo'!$A$5:$A$29,0))),0))),"")</f>
        <v/>
      </c>
      <c r="H975" s="25">
        <f>IFERROR(IF(OR($B975="",$C975=""),"",IF(MATCH($C975,'Ajustes'!$A$5:$A$8,0)=4,$D975/INDEX('Equipo'!$B$5:$B$29,MATCH($B975,'Equipo'!$A$5:$A$29,0))+$E975,0)),"")</f>
        <v/>
      </c>
      <c r="I975" s="26">
        <f>IF($B975='Perfil'!$B$3,COUNTIF($B$4:$B975,'Perfil'!$B$3),"")</f>
        <v/>
      </c>
    </row>
    <row r="976">
      <c r="A976" s="22" t="n"/>
      <c r="B976" s="23" t="n"/>
      <c r="C976" s="23" t="n"/>
      <c r="D976" s="24" t="n"/>
      <c r="E976" s="24" t="n"/>
      <c r="F976" s="23" t="n"/>
      <c r="G976" s="19">
        <f>IFERROR(IF(OR($B976="",$C976=""),"",IF(MATCH($C976,'Ajustes'!$A$5:$A$8,0)&lt;=2,$D976*INDEX('Ajustes'!$C$5:$C$6,MATCH($C976,'Ajustes'!$A$5:$A$8,0)),IF(MATCH($C976,'Ajustes'!$A$5:$A$8,0)=3,-($D976+$E976*INDEX('Equipo'!$B$5:$B$29,MATCH($B976,'Equipo'!$A$5:$A$29,0))),0))),"")</f>
        <v/>
      </c>
      <c r="H976" s="25">
        <f>IFERROR(IF(OR($B976="",$C976=""),"",IF(MATCH($C976,'Ajustes'!$A$5:$A$8,0)=4,$D976/INDEX('Equipo'!$B$5:$B$29,MATCH($B976,'Equipo'!$A$5:$A$29,0))+$E976,0)),"")</f>
        <v/>
      </c>
      <c r="I976" s="26">
        <f>IF($B976='Perfil'!$B$3,COUNTIF($B$4:$B976,'Perfil'!$B$3),"")</f>
        <v/>
      </c>
    </row>
    <row r="977">
      <c r="A977" s="22" t="n"/>
      <c r="B977" s="23" t="n"/>
      <c r="C977" s="23" t="n"/>
      <c r="D977" s="24" t="n"/>
      <c r="E977" s="24" t="n"/>
      <c r="F977" s="23" t="n"/>
      <c r="G977" s="19">
        <f>IFERROR(IF(OR($B977="",$C977=""),"",IF(MATCH($C977,'Ajustes'!$A$5:$A$8,0)&lt;=2,$D977*INDEX('Ajustes'!$C$5:$C$6,MATCH($C977,'Ajustes'!$A$5:$A$8,0)),IF(MATCH($C977,'Ajustes'!$A$5:$A$8,0)=3,-($D977+$E977*INDEX('Equipo'!$B$5:$B$29,MATCH($B977,'Equipo'!$A$5:$A$29,0))),0))),"")</f>
        <v/>
      </c>
      <c r="H977" s="25">
        <f>IFERROR(IF(OR($B977="",$C977=""),"",IF(MATCH($C977,'Ajustes'!$A$5:$A$8,0)=4,$D977/INDEX('Equipo'!$B$5:$B$29,MATCH($B977,'Equipo'!$A$5:$A$29,0))+$E977,0)),"")</f>
        <v/>
      </c>
      <c r="I977" s="26">
        <f>IF($B977='Perfil'!$B$3,COUNTIF($B$4:$B977,'Perfil'!$B$3),"")</f>
        <v/>
      </c>
    </row>
    <row r="978">
      <c r="A978" s="22" t="n"/>
      <c r="B978" s="23" t="n"/>
      <c r="C978" s="23" t="n"/>
      <c r="D978" s="24" t="n"/>
      <c r="E978" s="24" t="n"/>
      <c r="F978" s="23" t="n"/>
      <c r="G978" s="19">
        <f>IFERROR(IF(OR($B978="",$C978=""),"",IF(MATCH($C978,'Ajustes'!$A$5:$A$8,0)&lt;=2,$D978*INDEX('Ajustes'!$C$5:$C$6,MATCH($C978,'Ajustes'!$A$5:$A$8,0)),IF(MATCH($C978,'Ajustes'!$A$5:$A$8,0)=3,-($D978+$E978*INDEX('Equipo'!$B$5:$B$29,MATCH($B978,'Equipo'!$A$5:$A$29,0))),0))),"")</f>
        <v/>
      </c>
      <c r="H978" s="25">
        <f>IFERROR(IF(OR($B978="",$C978=""),"",IF(MATCH($C978,'Ajustes'!$A$5:$A$8,0)=4,$D978/INDEX('Equipo'!$B$5:$B$29,MATCH($B978,'Equipo'!$A$5:$A$29,0))+$E978,0)),"")</f>
        <v/>
      </c>
      <c r="I978" s="26">
        <f>IF($B978='Perfil'!$B$3,COUNTIF($B$4:$B978,'Perfil'!$B$3),"")</f>
        <v/>
      </c>
    </row>
    <row r="979">
      <c r="A979" s="22" t="n"/>
      <c r="B979" s="23" t="n"/>
      <c r="C979" s="23" t="n"/>
      <c r="D979" s="24" t="n"/>
      <c r="E979" s="24" t="n"/>
      <c r="F979" s="23" t="n"/>
      <c r="G979" s="19">
        <f>IFERROR(IF(OR($B979="",$C979=""),"",IF(MATCH($C979,'Ajustes'!$A$5:$A$8,0)&lt;=2,$D979*INDEX('Ajustes'!$C$5:$C$6,MATCH($C979,'Ajustes'!$A$5:$A$8,0)),IF(MATCH($C979,'Ajustes'!$A$5:$A$8,0)=3,-($D979+$E979*INDEX('Equipo'!$B$5:$B$29,MATCH($B979,'Equipo'!$A$5:$A$29,0))),0))),"")</f>
        <v/>
      </c>
      <c r="H979" s="25">
        <f>IFERROR(IF(OR($B979="",$C979=""),"",IF(MATCH($C979,'Ajustes'!$A$5:$A$8,0)=4,$D979/INDEX('Equipo'!$B$5:$B$29,MATCH($B979,'Equipo'!$A$5:$A$29,0))+$E979,0)),"")</f>
        <v/>
      </c>
      <c r="I979" s="26">
        <f>IF($B979='Perfil'!$B$3,COUNTIF($B$4:$B979,'Perfil'!$B$3),"")</f>
        <v/>
      </c>
    </row>
    <row r="980">
      <c r="A980" s="22" t="n"/>
      <c r="B980" s="23" t="n"/>
      <c r="C980" s="23" t="n"/>
      <c r="D980" s="24" t="n"/>
      <c r="E980" s="24" t="n"/>
      <c r="F980" s="23" t="n"/>
      <c r="G980" s="19">
        <f>IFERROR(IF(OR($B980="",$C980=""),"",IF(MATCH($C980,'Ajustes'!$A$5:$A$8,0)&lt;=2,$D980*INDEX('Ajustes'!$C$5:$C$6,MATCH($C980,'Ajustes'!$A$5:$A$8,0)),IF(MATCH($C980,'Ajustes'!$A$5:$A$8,0)=3,-($D980+$E980*INDEX('Equipo'!$B$5:$B$29,MATCH($B980,'Equipo'!$A$5:$A$29,0))),0))),"")</f>
        <v/>
      </c>
      <c r="H980" s="25">
        <f>IFERROR(IF(OR($B980="",$C980=""),"",IF(MATCH($C980,'Ajustes'!$A$5:$A$8,0)=4,$D980/INDEX('Equipo'!$B$5:$B$29,MATCH($B980,'Equipo'!$A$5:$A$29,0))+$E980,0)),"")</f>
        <v/>
      </c>
      <c r="I980" s="26">
        <f>IF($B980='Perfil'!$B$3,COUNTIF($B$4:$B980,'Perfil'!$B$3),"")</f>
        <v/>
      </c>
    </row>
    <row r="981">
      <c r="A981" s="22" t="n"/>
      <c r="B981" s="23" t="n"/>
      <c r="C981" s="23" t="n"/>
      <c r="D981" s="24" t="n"/>
      <c r="E981" s="24" t="n"/>
      <c r="F981" s="23" t="n"/>
      <c r="G981" s="19">
        <f>IFERROR(IF(OR($B981="",$C981=""),"",IF(MATCH($C981,'Ajustes'!$A$5:$A$8,0)&lt;=2,$D981*INDEX('Ajustes'!$C$5:$C$6,MATCH($C981,'Ajustes'!$A$5:$A$8,0)),IF(MATCH($C981,'Ajustes'!$A$5:$A$8,0)=3,-($D981+$E981*INDEX('Equipo'!$B$5:$B$29,MATCH($B981,'Equipo'!$A$5:$A$29,0))),0))),"")</f>
        <v/>
      </c>
      <c r="H981" s="25">
        <f>IFERROR(IF(OR($B981="",$C981=""),"",IF(MATCH($C981,'Ajustes'!$A$5:$A$8,0)=4,$D981/INDEX('Equipo'!$B$5:$B$29,MATCH($B981,'Equipo'!$A$5:$A$29,0))+$E981,0)),"")</f>
        <v/>
      </c>
      <c r="I981" s="26">
        <f>IF($B981='Perfil'!$B$3,COUNTIF($B$4:$B981,'Perfil'!$B$3),"")</f>
        <v/>
      </c>
    </row>
    <row r="982">
      <c r="A982" s="22" t="n"/>
      <c r="B982" s="23" t="n"/>
      <c r="C982" s="23" t="n"/>
      <c r="D982" s="24" t="n"/>
      <c r="E982" s="24" t="n"/>
      <c r="F982" s="23" t="n"/>
      <c r="G982" s="19">
        <f>IFERROR(IF(OR($B982="",$C982=""),"",IF(MATCH($C982,'Ajustes'!$A$5:$A$8,0)&lt;=2,$D982*INDEX('Ajustes'!$C$5:$C$6,MATCH($C982,'Ajustes'!$A$5:$A$8,0)),IF(MATCH($C982,'Ajustes'!$A$5:$A$8,0)=3,-($D982+$E982*INDEX('Equipo'!$B$5:$B$29,MATCH($B982,'Equipo'!$A$5:$A$29,0))),0))),"")</f>
        <v/>
      </c>
      <c r="H982" s="25">
        <f>IFERROR(IF(OR($B982="",$C982=""),"",IF(MATCH($C982,'Ajustes'!$A$5:$A$8,0)=4,$D982/INDEX('Equipo'!$B$5:$B$29,MATCH($B982,'Equipo'!$A$5:$A$29,0))+$E982,0)),"")</f>
        <v/>
      </c>
      <c r="I982" s="26">
        <f>IF($B982='Perfil'!$B$3,COUNTIF($B$4:$B982,'Perfil'!$B$3),"")</f>
        <v/>
      </c>
    </row>
    <row r="983">
      <c r="A983" s="22" t="n"/>
      <c r="B983" s="23" t="n"/>
      <c r="C983" s="23" t="n"/>
      <c r="D983" s="24" t="n"/>
      <c r="E983" s="24" t="n"/>
      <c r="F983" s="23" t="n"/>
      <c r="G983" s="19">
        <f>IFERROR(IF(OR($B983="",$C983=""),"",IF(MATCH($C983,'Ajustes'!$A$5:$A$8,0)&lt;=2,$D983*INDEX('Ajustes'!$C$5:$C$6,MATCH($C983,'Ajustes'!$A$5:$A$8,0)),IF(MATCH($C983,'Ajustes'!$A$5:$A$8,0)=3,-($D983+$E983*INDEX('Equipo'!$B$5:$B$29,MATCH($B983,'Equipo'!$A$5:$A$29,0))),0))),"")</f>
        <v/>
      </c>
      <c r="H983" s="25">
        <f>IFERROR(IF(OR($B983="",$C983=""),"",IF(MATCH($C983,'Ajustes'!$A$5:$A$8,0)=4,$D983/INDEX('Equipo'!$B$5:$B$29,MATCH($B983,'Equipo'!$A$5:$A$29,0))+$E983,0)),"")</f>
        <v/>
      </c>
      <c r="I983" s="26">
        <f>IF($B983='Perfil'!$B$3,COUNTIF($B$4:$B983,'Perfil'!$B$3),"")</f>
        <v/>
      </c>
    </row>
    <row r="984">
      <c r="A984" s="22" t="n"/>
      <c r="B984" s="23" t="n"/>
      <c r="C984" s="23" t="n"/>
      <c r="D984" s="24" t="n"/>
      <c r="E984" s="24" t="n"/>
      <c r="F984" s="23" t="n"/>
      <c r="G984" s="19">
        <f>IFERROR(IF(OR($B984="",$C984=""),"",IF(MATCH($C984,'Ajustes'!$A$5:$A$8,0)&lt;=2,$D984*INDEX('Ajustes'!$C$5:$C$6,MATCH($C984,'Ajustes'!$A$5:$A$8,0)),IF(MATCH($C984,'Ajustes'!$A$5:$A$8,0)=3,-($D984+$E984*INDEX('Equipo'!$B$5:$B$29,MATCH($B984,'Equipo'!$A$5:$A$29,0))),0))),"")</f>
        <v/>
      </c>
      <c r="H984" s="25">
        <f>IFERROR(IF(OR($B984="",$C984=""),"",IF(MATCH($C984,'Ajustes'!$A$5:$A$8,0)=4,$D984/INDEX('Equipo'!$B$5:$B$29,MATCH($B984,'Equipo'!$A$5:$A$29,0))+$E984,0)),"")</f>
        <v/>
      </c>
      <c r="I984" s="26">
        <f>IF($B984='Perfil'!$B$3,COUNTIF($B$4:$B984,'Perfil'!$B$3),"")</f>
        <v/>
      </c>
    </row>
    <row r="985">
      <c r="A985" s="22" t="n"/>
      <c r="B985" s="23" t="n"/>
      <c r="C985" s="23" t="n"/>
      <c r="D985" s="24" t="n"/>
      <c r="E985" s="24" t="n"/>
      <c r="F985" s="23" t="n"/>
      <c r="G985" s="19">
        <f>IFERROR(IF(OR($B985="",$C985=""),"",IF(MATCH($C985,'Ajustes'!$A$5:$A$8,0)&lt;=2,$D985*INDEX('Ajustes'!$C$5:$C$6,MATCH($C985,'Ajustes'!$A$5:$A$8,0)),IF(MATCH($C985,'Ajustes'!$A$5:$A$8,0)=3,-($D985+$E985*INDEX('Equipo'!$B$5:$B$29,MATCH($B985,'Equipo'!$A$5:$A$29,0))),0))),"")</f>
        <v/>
      </c>
      <c r="H985" s="25">
        <f>IFERROR(IF(OR($B985="",$C985=""),"",IF(MATCH($C985,'Ajustes'!$A$5:$A$8,0)=4,$D985/INDEX('Equipo'!$B$5:$B$29,MATCH($B985,'Equipo'!$A$5:$A$29,0))+$E985,0)),"")</f>
        <v/>
      </c>
      <c r="I985" s="26">
        <f>IF($B985='Perfil'!$B$3,COUNTIF($B$4:$B985,'Perfil'!$B$3),"")</f>
        <v/>
      </c>
    </row>
    <row r="986">
      <c r="A986" s="22" t="n"/>
      <c r="B986" s="23" t="n"/>
      <c r="C986" s="23" t="n"/>
      <c r="D986" s="24" t="n"/>
      <c r="E986" s="24" t="n"/>
      <c r="F986" s="23" t="n"/>
      <c r="G986" s="19">
        <f>IFERROR(IF(OR($B986="",$C986=""),"",IF(MATCH($C986,'Ajustes'!$A$5:$A$8,0)&lt;=2,$D986*INDEX('Ajustes'!$C$5:$C$6,MATCH($C986,'Ajustes'!$A$5:$A$8,0)),IF(MATCH($C986,'Ajustes'!$A$5:$A$8,0)=3,-($D986+$E986*INDEX('Equipo'!$B$5:$B$29,MATCH($B986,'Equipo'!$A$5:$A$29,0))),0))),"")</f>
        <v/>
      </c>
      <c r="H986" s="25">
        <f>IFERROR(IF(OR($B986="",$C986=""),"",IF(MATCH($C986,'Ajustes'!$A$5:$A$8,0)=4,$D986/INDEX('Equipo'!$B$5:$B$29,MATCH($B986,'Equipo'!$A$5:$A$29,0))+$E986,0)),"")</f>
        <v/>
      </c>
      <c r="I986" s="26">
        <f>IF($B986='Perfil'!$B$3,COUNTIF($B$4:$B986,'Perfil'!$B$3),"")</f>
        <v/>
      </c>
    </row>
    <row r="987">
      <c r="A987" s="22" t="n"/>
      <c r="B987" s="23" t="n"/>
      <c r="C987" s="23" t="n"/>
      <c r="D987" s="24" t="n"/>
      <c r="E987" s="24" t="n"/>
      <c r="F987" s="23" t="n"/>
      <c r="G987" s="19">
        <f>IFERROR(IF(OR($B987="",$C987=""),"",IF(MATCH($C987,'Ajustes'!$A$5:$A$8,0)&lt;=2,$D987*INDEX('Ajustes'!$C$5:$C$6,MATCH($C987,'Ajustes'!$A$5:$A$8,0)),IF(MATCH($C987,'Ajustes'!$A$5:$A$8,0)=3,-($D987+$E987*INDEX('Equipo'!$B$5:$B$29,MATCH($B987,'Equipo'!$A$5:$A$29,0))),0))),"")</f>
        <v/>
      </c>
      <c r="H987" s="25">
        <f>IFERROR(IF(OR($B987="",$C987=""),"",IF(MATCH($C987,'Ajustes'!$A$5:$A$8,0)=4,$D987/INDEX('Equipo'!$B$5:$B$29,MATCH($B987,'Equipo'!$A$5:$A$29,0))+$E987,0)),"")</f>
        <v/>
      </c>
      <c r="I987" s="26">
        <f>IF($B987='Perfil'!$B$3,COUNTIF($B$4:$B987,'Perfil'!$B$3),"")</f>
        <v/>
      </c>
    </row>
    <row r="988">
      <c r="A988" s="22" t="n"/>
      <c r="B988" s="23" t="n"/>
      <c r="C988" s="23" t="n"/>
      <c r="D988" s="24" t="n"/>
      <c r="E988" s="24" t="n"/>
      <c r="F988" s="23" t="n"/>
      <c r="G988" s="19">
        <f>IFERROR(IF(OR($B988="",$C988=""),"",IF(MATCH($C988,'Ajustes'!$A$5:$A$8,0)&lt;=2,$D988*INDEX('Ajustes'!$C$5:$C$6,MATCH($C988,'Ajustes'!$A$5:$A$8,0)),IF(MATCH($C988,'Ajustes'!$A$5:$A$8,0)=3,-($D988+$E988*INDEX('Equipo'!$B$5:$B$29,MATCH($B988,'Equipo'!$A$5:$A$29,0))),0))),"")</f>
        <v/>
      </c>
      <c r="H988" s="25">
        <f>IFERROR(IF(OR($B988="",$C988=""),"",IF(MATCH($C988,'Ajustes'!$A$5:$A$8,0)=4,$D988/INDEX('Equipo'!$B$5:$B$29,MATCH($B988,'Equipo'!$A$5:$A$29,0))+$E988,0)),"")</f>
        <v/>
      </c>
      <c r="I988" s="26">
        <f>IF($B988='Perfil'!$B$3,COUNTIF($B$4:$B988,'Perfil'!$B$3),"")</f>
        <v/>
      </c>
    </row>
    <row r="989">
      <c r="A989" s="22" t="n"/>
      <c r="B989" s="23" t="n"/>
      <c r="C989" s="23" t="n"/>
      <c r="D989" s="24" t="n"/>
      <c r="E989" s="24" t="n"/>
      <c r="F989" s="23" t="n"/>
      <c r="G989" s="19">
        <f>IFERROR(IF(OR($B989="",$C989=""),"",IF(MATCH($C989,'Ajustes'!$A$5:$A$8,0)&lt;=2,$D989*INDEX('Ajustes'!$C$5:$C$6,MATCH($C989,'Ajustes'!$A$5:$A$8,0)),IF(MATCH($C989,'Ajustes'!$A$5:$A$8,0)=3,-($D989+$E989*INDEX('Equipo'!$B$5:$B$29,MATCH($B989,'Equipo'!$A$5:$A$29,0))),0))),"")</f>
        <v/>
      </c>
      <c r="H989" s="25">
        <f>IFERROR(IF(OR($B989="",$C989=""),"",IF(MATCH($C989,'Ajustes'!$A$5:$A$8,0)=4,$D989/INDEX('Equipo'!$B$5:$B$29,MATCH($B989,'Equipo'!$A$5:$A$29,0))+$E989,0)),"")</f>
        <v/>
      </c>
      <c r="I989" s="26">
        <f>IF($B989='Perfil'!$B$3,COUNTIF($B$4:$B989,'Perfil'!$B$3),"")</f>
        <v/>
      </c>
    </row>
    <row r="990">
      <c r="A990" s="22" t="n"/>
      <c r="B990" s="23" t="n"/>
      <c r="C990" s="23" t="n"/>
      <c r="D990" s="24" t="n"/>
      <c r="E990" s="24" t="n"/>
      <c r="F990" s="23" t="n"/>
      <c r="G990" s="19">
        <f>IFERROR(IF(OR($B990="",$C990=""),"",IF(MATCH($C990,'Ajustes'!$A$5:$A$8,0)&lt;=2,$D990*INDEX('Ajustes'!$C$5:$C$6,MATCH($C990,'Ajustes'!$A$5:$A$8,0)),IF(MATCH($C990,'Ajustes'!$A$5:$A$8,0)=3,-($D990+$E990*INDEX('Equipo'!$B$5:$B$29,MATCH($B990,'Equipo'!$A$5:$A$29,0))),0))),"")</f>
        <v/>
      </c>
      <c r="H990" s="25">
        <f>IFERROR(IF(OR($B990="",$C990=""),"",IF(MATCH($C990,'Ajustes'!$A$5:$A$8,0)=4,$D990/INDEX('Equipo'!$B$5:$B$29,MATCH($B990,'Equipo'!$A$5:$A$29,0))+$E990,0)),"")</f>
        <v/>
      </c>
      <c r="I990" s="26">
        <f>IF($B990='Perfil'!$B$3,COUNTIF($B$4:$B990,'Perfil'!$B$3),"")</f>
        <v/>
      </c>
    </row>
    <row r="991">
      <c r="A991" s="22" t="n"/>
      <c r="B991" s="23" t="n"/>
      <c r="C991" s="23" t="n"/>
      <c r="D991" s="24" t="n"/>
      <c r="E991" s="24" t="n"/>
      <c r="F991" s="23" t="n"/>
      <c r="G991" s="19">
        <f>IFERROR(IF(OR($B991="",$C991=""),"",IF(MATCH($C991,'Ajustes'!$A$5:$A$8,0)&lt;=2,$D991*INDEX('Ajustes'!$C$5:$C$6,MATCH($C991,'Ajustes'!$A$5:$A$8,0)),IF(MATCH($C991,'Ajustes'!$A$5:$A$8,0)=3,-($D991+$E991*INDEX('Equipo'!$B$5:$B$29,MATCH($B991,'Equipo'!$A$5:$A$29,0))),0))),"")</f>
        <v/>
      </c>
      <c r="H991" s="25">
        <f>IFERROR(IF(OR($B991="",$C991=""),"",IF(MATCH($C991,'Ajustes'!$A$5:$A$8,0)=4,$D991/INDEX('Equipo'!$B$5:$B$29,MATCH($B991,'Equipo'!$A$5:$A$29,0))+$E991,0)),"")</f>
        <v/>
      </c>
      <c r="I991" s="26">
        <f>IF($B991='Perfil'!$B$3,COUNTIF($B$4:$B991,'Perfil'!$B$3),"")</f>
        <v/>
      </c>
    </row>
    <row r="992">
      <c r="A992" s="22" t="n"/>
      <c r="B992" s="23" t="n"/>
      <c r="C992" s="23" t="n"/>
      <c r="D992" s="24" t="n"/>
      <c r="E992" s="24" t="n"/>
      <c r="F992" s="23" t="n"/>
      <c r="G992" s="19">
        <f>IFERROR(IF(OR($B992="",$C992=""),"",IF(MATCH($C992,'Ajustes'!$A$5:$A$8,0)&lt;=2,$D992*INDEX('Ajustes'!$C$5:$C$6,MATCH($C992,'Ajustes'!$A$5:$A$8,0)),IF(MATCH($C992,'Ajustes'!$A$5:$A$8,0)=3,-($D992+$E992*INDEX('Equipo'!$B$5:$B$29,MATCH($B992,'Equipo'!$A$5:$A$29,0))),0))),"")</f>
        <v/>
      </c>
      <c r="H992" s="25">
        <f>IFERROR(IF(OR($B992="",$C992=""),"",IF(MATCH($C992,'Ajustes'!$A$5:$A$8,0)=4,$D992/INDEX('Equipo'!$B$5:$B$29,MATCH($B992,'Equipo'!$A$5:$A$29,0))+$E992,0)),"")</f>
        <v/>
      </c>
      <c r="I992" s="26">
        <f>IF($B992='Perfil'!$B$3,COUNTIF($B$4:$B992,'Perfil'!$B$3),"")</f>
        <v/>
      </c>
    </row>
    <row r="993">
      <c r="A993" s="22" t="n"/>
      <c r="B993" s="23" t="n"/>
      <c r="C993" s="23" t="n"/>
      <c r="D993" s="24" t="n"/>
      <c r="E993" s="24" t="n"/>
      <c r="F993" s="23" t="n"/>
      <c r="G993" s="19">
        <f>IFERROR(IF(OR($B993="",$C993=""),"",IF(MATCH($C993,'Ajustes'!$A$5:$A$8,0)&lt;=2,$D993*INDEX('Ajustes'!$C$5:$C$6,MATCH($C993,'Ajustes'!$A$5:$A$8,0)),IF(MATCH($C993,'Ajustes'!$A$5:$A$8,0)=3,-($D993+$E993*INDEX('Equipo'!$B$5:$B$29,MATCH($B993,'Equipo'!$A$5:$A$29,0))),0))),"")</f>
        <v/>
      </c>
      <c r="H993" s="25">
        <f>IFERROR(IF(OR($B993="",$C993=""),"",IF(MATCH($C993,'Ajustes'!$A$5:$A$8,0)=4,$D993/INDEX('Equipo'!$B$5:$B$29,MATCH($B993,'Equipo'!$A$5:$A$29,0))+$E993,0)),"")</f>
        <v/>
      </c>
      <c r="I993" s="26">
        <f>IF($B993='Perfil'!$B$3,COUNTIF($B$4:$B993,'Perfil'!$B$3),"")</f>
        <v/>
      </c>
    </row>
    <row r="994">
      <c r="A994" s="22" t="n"/>
      <c r="B994" s="23" t="n"/>
      <c r="C994" s="23" t="n"/>
      <c r="D994" s="24" t="n"/>
      <c r="E994" s="24" t="n"/>
      <c r="F994" s="23" t="n"/>
      <c r="G994" s="19">
        <f>IFERROR(IF(OR($B994="",$C994=""),"",IF(MATCH($C994,'Ajustes'!$A$5:$A$8,0)&lt;=2,$D994*INDEX('Ajustes'!$C$5:$C$6,MATCH($C994,'Ajustes'!$A$5:$A$8,0)),IF(MATCH($C994,'Ajustes'!$A$5:$A$8,0)=3,-($D994+$E994*INDEX('Equipo'!$B$5:$B$29,MATCH($B994,'Equipo'!$A$5:$A$29,0))),0))),"")</f>
        <v/>
      </c>
      <c r="H994" s="25">
        <f>IFERROR(IF(OR($B994="",$C994=""),"",IF(MATCH($C994,'Ajustes'!$A$5:$A$8,0)=4,$D994/INDEX('Equipo'!$B$5:$B$29,MATCH($B994,'Equipo'!$A$5:$A$29,0))+$E994,0)),"")</f>
        <v/>
      </c>
      <c r="I994" s="26">
        <f>IF($B994='Perfil'!$B$3,COUNTIF($B$4:$B994,'Perfil'!$B$3),"")</f>
        <v/>
      </c>
    </row>
    <row r="995">
      <c r="A995" s="22" t="n"/>
      <c r="B995" s="23" t="n"/>
      <c r="C995" s="23" t="n"/>
      <c r="D995" s="24" t="n"/>
      <c r="E995" s="24" t="n"/>
      <c r="F995" s="23" t="n"/>
      <c r="G995" s="19">
        <f>IFERROR(IF(OR($B995="",$C995=""),"",IF(MATCH($C995,'Ajustes'!$A$5:$A$8,0)&lt;=2,$D995*INDEX('Ajustes'!$C$5:$C$6,MATCH($C995,'Ajustes'!$A$5:$A$8,0)),IF(MATCH($C995,'Ajustes'!$A$5:$A$8,0)=3,-($D995+$E995*INDEX('Equipo'!$B$5:$B$29,MATCH($B995,'Equipo'!$A$5:$A$29,0))),0))),"")</f>
        <v/>
      </c>
      <c r="H995" s="25">
        <f>IFERROR(IF(OR($B995="",$C995=""),"",IF(MATCH($C995,'Ajustes'!$A$5:$A$8,0)=4,$D995/INDEX('Equipo'!$B$5:$B$29,MATCH($B995,'Equipo'!$A$5:$A$29,0))+$E995,0)),"")</f>
        <v/>
      </c>
      <c r="I995" s="26">
        <f>IF($B995='Perfil'!$B$3,COUNTIF($B$4:$B995,'Perfil'!$B$3),"")</f>
        <v/>
      </c>
    </row>
    <row r="996">
      <c r="A996" s="22" t="n"/>
      <c r="B996" s="23" t="n"/>
      <c r="C996" s="23" t="n"/>
      <c r="D996" s="24" t="n"/>
      <c r="E996" s="24" t="n"/>
      <c r="F996" s="23" t="n"/>
      <c r="G996" s="19">
        <f>IFERROR(IF(OR($B996="",$C996=""),"",IF(MATCH($C996,'Ajustes'!$A$5:$A$8,0)&lt;=2,$D996*INDEX('Ajustes'!$C$5:$C$6,MATCH($C996,'Ajustes'!$A$5:$A$8,0)),IF(MATCH($C996,'Ajustes'!$A$5:$A$8,0)=3,-($D996+$E996*INDEX('Equipo'!$B$5:$B$29,MATCH($B996,'Equipo'!$A$5:$A$29,0))),0))),"")</f>
        <v/>
      </c>
      <c r="H996" s="25">
        <f>IFERROR(IF(OR($B996="",$C996=""),"",IF(MATCH($C996,'Ajustes'!$A$5:$A$8,0)=4,$D996/INDEX('Equipo'!$B$5:$B$29,MATCH($B996,'Equipo'!$A$5:$A$29,0))+$E996,0)),"")</f>
        <v/>
      </c>
      <c r="I996" s="26">
        <f>IF($B996='Perfil'!$B$3,COUNTIF($B$4:$B996,'Perfil'!$B$3),"")</f>
        <v/>
      </c>
    </row>
    <row r="997">
      <c r="A997" s="22" t="n"/>
      <c r="B997" s="23" t="n"/>
      <c r="C997" s="23" t="n"/>
      <c r="D997" s="24" t="n"/>
      <c r="E997" s="24" t="n"/>
      <c r="F997" s="23" t="n"/>
      <c r="G997" s="19">
        <f>IFERROR(IF(OR($B997="",$C997=""),"",IF(MATCH($C997,'Ajustes'!$A$5:$A$8,0)&lt;=2,$D997*INDEX('Ajustes'!$C$5:$C$6,MATCH($C997,'Ajustes'!$A$5:$A$8,0)),IF(MATCH($C997,'Ajustes'!$A$5:$A$8,0)=3,-($D997+$E997*INDEX('Equipo'!$B$5:$B$29,MATCH($B997,'Equipo'!$A$5:$A$29,0))),0))),"")</f>
        <v/>
      </c>
      <c r="H997" s="25">
        <f>IFERROR(IF(OR($B997="",$C997=""),"",IF(MATCH($C997,'Ajustes'!$A$5:$A$8,0)=4,$D997/INDEX('Equipo'!$B$5:$B$29,MATCH($B997,'Equipo'!$A$5:$A$29,0))+$E997,0)),"")</f>
        <v/>
      </c>
      <c r="I997" s="26">
        <f>IF($B997='Perfil'!$B$3,COUNTIF($B$4:$B997,'Perfil'!$B$3),"")</f>
        <v/>
      </c>
    </row>
    <row r="998">
      <c r="A998" s="22" t="n"/>
      <c r="B998" s="23" t="n"/>
      <c r="C998" s="23" t="n"/>
      <c r="D998" s="24" t="n"/>
      <c r="E998" s="24" t="n"/>
      <c r="F998" s="23" t="n"/>
      <c r="G998" s="19">
        <f>IFERROR(IF(OR($B998="",$C998=""),"",IF(MATCH($C998,'Ajustes'!$A$5:$A$8,0)&lt;=2,$D998*INDEX('Ajustes'!$C$5:$C$6,MATCH($C998,'Ajustes'!$A$5:$A$8,0)),IF(MATCH($C998,'Ajustes'!$A$5:$A$8,0)=3,-($D998+$E998*INDEX('Equipo'!$B$5:$B$29,MATCH($B998,'Equipo'!$A$5:$A$29,0))),0))),"")</f>
        <v/>
      </c>
      <c r="H998" s="25">
        <f>IFERROR(IF(OR($B998="",$C998=""),"",IF(MATCH($C998,'Ajustes'!$A$5:$A$8,0)=4,$D998/INDEX('Equipo'!$B$5:$B$29,MATCH($B998,'Equipo'!$A$5:$A$29,0))+$E998,0)),"")</f>
        <v/>
      </c>
      <c r="I998" s="26">
        <f>IF($B998='Perfil'!$B$3,COUNTIF($B$4:$B998,'Perfil'!$B$3),"")</f>
        <v/>
      </c>
    </row>
    <row r="999">
      <c r="A999" s="22" t="n"/>
      <c r="B999" s="23" t="n"/>
      <c r="C999" s="23" t="n"/>
      <c r="D999" s="24" t="n"/>
      <c r="E999" s="24" t="n"/>
      <c r="F999" s="23" t="n"/>
      <c r="G999" s="19">
        <f>IFERROR(IF(OR($B999="",$C999=""),"",IF(MATCH($C999,'Ajustes'!$A$5:$A$8,0)&lt;=2,$D999*INDEX('Ajustes'!$C$5:$C$6,MATCH($C999,'Ajustes'!$A$5:$A$8,0)),IF(MATCH($C999,'Ajustes'!$A$5:$A$8,0)=3,-($D999+$E999*INDEX('Equipo'!$B$5:$B$29,MATCH($B999,'Equipo'!$A$5:$A$29,0))),0))),"")</f>
        <v/>
      </c>
      <c r="H999" s="25">
        <f>IFERROR(IF(OR($B999="",$C999=""),"",IF(MATCH($C999,'Ajustes'!$A$5:$A$8,0)=4,$D999/INDEX('Equipo'!$B$5:$B$29,MATCH($B999,'Equipo'!$A$5:$A$29,0))+$E999,0)),"")</f>
        <v/>
      </c>
      <c r="I999" s="26">
        <f>IF($B999='Perfil'!$B$3,COUNTIF($B$4:$B999,'Perfil'!$B$3),"")</f>
        <v/>
      </c>
    </row>
    <row r="1000">
      <c r="A1000" s="22" t="n"/>
      <c r="B1000" s="23" t="n"/>
      <c r="C1000" s="23" t="n"/>
      <c r="D1000" s="24" t="n"/>
      <c r="E1000" s="24" t="n"/>
      <c r="F1000" s="23" t="n"/>
      <c r="G1000" s="19">
        <f>IFERROR(IF(OR($B1000="",$C1000=""),"",IF(MATCH($C1000,'Ajustes'!$A$5:$A$8,0)&lt;=2,$D1000*INDEX('Ajustes'!$C$5:$C$6,MATCH($C1000,'Ajustes'!$A$5:$A$8,0)),IF(MATCH($C1000,'Ajustes'!$A$5:$A$8,0)=3,-($D1000+$E1000*INDEX('Equipo'!$B$5:$B$29,MATCH($B1000,'Equipo'!$A$5:$A$29,0))),0))),"")</f>
        <v/>
      </c>
      <c r="H1000" s="25">
        <f>IFERROR(IF(OR($B1000="",$C1000=""),"",IF(MATCH($C1000,'Ajustes'!$A$5:$A$8,0)=4,$D1000/INDEX('Equipo'!$B$5:$B$29,MATCH($B1000,'Equipo'!$A$5:$A$29,0))+$E1000,0)),"")</f>
        <v/>
      </c>
      <c r="I1000" s="26">
        <f>IF($B1000='Perfil'!$B$3,COUNTIF($B$4:$B1000,'Perfil'!$B$3),"")</f>
        <v/>
      </c>
    </row>
    <row r="1001">
      <c r="A1001" s="22" t="n"/>
      <c r="B1001" s="23" t="n"/>
      <c r="C1001" s="23" t="n"/>
      <c r="D1001" s="24" t="n"/>
      <c r="E1001" s="24" t="n"/>
      <c r="F1001" s="23" t="n"/>
      <c r="G1001" s="19">
        <f>IFERROR(IF(OR($B1001="",$C1001=""),"",IF(MATCH($C1001,'Ajustes'!$A$5:$A$8,0)&lt;=2,$D1001*INDEX('Ajustes'!$C$5:$C$6,MATCH($C1001,'Ajustes'!$A$5:$A$8,0)),IF(MATCH($C1001,'Ajustes'!$A$5:$A$8,0)=3,-($D1001+$E1001*INDEX('Equipo'!$B$5:$B$29,MATCH($B1001,'Equipo'!$A$5:$A$29,0))),0))),"")</f>
        <v/>
      </c>
      <c r="H1001" s="25">
        <f>IFERROR(IF(OR($B1001="",$C1001=""),"",IF(MATCH($C1001,'Ajustes'!$A$5:$A$8,0)=4,$D1001/INDEX('Equipo'!$B$5:$B$29,MATCH($B1001,'Equipo'!$A$5:$A$29,0))+$E1001,0)),"")</f>
        <v/>
      </c>
      <c r="I1001" s="26">
        <f>IF($B1001='Perfil'!$B$3,COUNTIF($B$4:$B1001,'Perfil'!$B$3),"")</f>
        <v/>
      </c>
    </row>
    <row r="1002">
      <c r="A1002" s="22" t="n"/>
      <c r="B1002" s="23" t="n"/>
      <c r="C1002" s="23" t="n"/>
      <c r="D1002" s="24" t="n"/>
      <c r="E1002" s="24" t="n"/>
      <c r="F1002" s="23" t="n"/>
      <c r="G1002" s="19">
        <f>IFERROR(IF(OR($B1002="",$C1002=""),"",IF(MATCH($C1002,'Ajustes'!$A$5:$A$8,0)&lt;=2,$D1002*INDEX('Ajustes'!$C$5:$C$6,MATCH($C1002,'Ajustes'!$A$5:$A$8,0)),IF(MATCH($C1002,'Ajustes'!$A$5:$A$8,0)=3,-($D1002+$E1002*INDEX('Equipo'!$B$5:$B$29,MATCH($B1002,'Equipo'!$A$5:$A$29,0))),0))),"")</f>
        <v/>
      </c>
      <c r="H1002" s="25">
        <f>IFERROR(IF(OR($B1002="",$C1002=""),"",IF(MATCH($C1002,'Ajustes'!$A$5:$A$8,0)=4,$D1002/INDEX('Equipo'!$B$5:$B$29,MATCH($B1002,'Equipo'!$A$5:$A$29,0))+$E1002,0)),"")</f>
        <v/>
      </c>
      <c r="I1002" s="26">
        <f>IF($B1002='Perfil'!$B$3,COUNTIF($B$4:$B1002,'Perfil'!$B$3),"")</f>
        <v/>
      </c>
    </row>
    <row r="1003">
      <c r="A1003" s="22" t="n"/>
      <c r="B1003" s="23" t="n"/>
      <c r="C1003" s="23" t="n"/>
      <c r="D1003" s="24" t="n"/>
      <c r="E1003" s="24" t="n"/>
      <c r="F1003" s="23" t="n"/>
      <c r="G1003" s="19">
        <f>IFERROR(IF(OR($B1003="",$C1003=""),"",IF(MATCH($C1003,'Ajustes'!$A$5:$A$8,0)&lt;=2,$D1003*INDEX('Ajustes'!$C$5:$C$6,MATCH($C1003,'Ajustes'!$A$5:$A$8,0)),IF(MATCH($C1003,'Ajustes'!$A$5:$A$8,0)=3,-($D1003+$E1003*INDEX('Equipo'!$B$5:$B$29,MATCH($B1003,'Equipo'!$A$5:$A$29,0))),0))),"")</f>
        <v/>
      </c>
      <c r="H1003" s="25">
        <f>IFERROR(IF(OR($B1003="",$C1003=""),"",IF(MATCH($C1003,'Ajustes'!$A$5:$A$8,0)=4,$D1003/INDEX('Equipo'!$B$5:$B$29,MATCH($B1003,'Equipo'!$A$5:$A$29,0))+$E1003,0)),"")</f>
        <v/>
      </c>
      <c r="I1003" s="26">
        <f>IF($B1003='Perfil'!$B$3,COUNTIF($B$4:$B1003,'Perfil'!$B$3),"")</f>
        <v/>
      </c>
    </row>
    <row r="1004">
      <c r="A1004" s="22" t="n"/>
      <c r="B1004" s="23" t="n"/>
      <c r="C1004" s="23" t="n"/>
      <c r="D1004" s="24" t="n"/>
      <c r="E1004" s="24" t="n"/>
      <c r="F1004" s="23" t="n"/>
      <c r="G1004" s="19">
        <f>IFERROR(IF(OR($B1004="",$C1004=""),"",IF(MATCH($C1004,'Ajustes'!$A$5:$A$8,0)&lt;=2,$D1004*INDEX('Ajustes'!$C$5:$C$6,MATCH($C1004,'Ajustes'!$A$5:$A$8,0)),IF(MATCH($C1004,'Ajustes'!$A$5:$A$8,0)=3,-($D1004+$E1004*INDEX('Equipo'!$B$5:$B$29,MATCH($B1004,'Equipo'!$A$5:$A$29,0))),0))),"")</f>
        <v/>
      </c>
      <c r="H1004" s="25">
        <f>IFERROR(IF(OR($B1004="",$C1004=""),"",IF(MATCH($C1004,'Ajustes'!$A$5:$A$8,0)=4,$D1004/INDEX('Equipo'!$B$5:$B$29,MATCH($B1004,'Equipo'!$A$5:$A$29,0))+$E1004,0)),"")</f>
        <v/>
      </c>
      <c r="I1004" s="26">
        <f>IF($B1004='Perfil'!$B$3,COUNTIF($B$4:$B1004,'Perfil'!$B$3),"")</f>
        <v/>
      </c>
    </row>
    <row r="1005">
      <c r="A1005" s="22" t="n"/>
      <c r="B1005" s="23" t="n"/>
      <c r="C1005" s="23" t="n"/>
      <c r="D1005" s="24" t="n"/>
      <c r="E1005" s="24" t="n"/>
      <c r="F1005" s="23" t="n"/>
      <c r="G1005" s="19">
        <f>IFERROR(IF(OR($B1005="",$C1005=""),"",IF(MATCH($C1005,'Ajustes'!$A$5:$A$8,0)&lt;=2,$D1005*INDEX('Ajustes'!$C$5:$C$6,MATCH($C1005,'Ajustes'!$A$5:$A$8,0)),IF(MATCH($C1005,'Ajustes'!$A$5:$A$8,0)=3,-($D1005+$E1005*INDEX('Equipo'!$B$5:$B$29,MATCH($B1005,'Equipo'!$A$5:$A$29,0))),0))),"")</f>
        <v/>
      </c>
      <c r="H1005" s="25">
        <f>IFERROR(IF(OR($B1005="",$C1005=""),"",IF(MATCH($C1005,'Ajustes'!$A$5:$A$8,0)=4,$D1005/INDEX('Equipo'!$B$5:$B$29,MATCH($B1005,'Equipo'!$A$5:$A$29,0))+$E1005,0)),"")</f>
        <v/>
      </c>
      <c r="I1005" s="26">
        <f>IF($B1005='Perfil'!$B$3,COUNTIF($B$4:$B1005,'Perfil'!$B$3),"")</f>
        <v/>
      </c>
    </row>
    <row r="1006">
      <c r="A1006" s="22" t="n"/>
      <c r="B1006" s="23" t="n"/>
      <c r="C1006" s="23" t="n"/>
      <c r="D1006" s="24" t="n"/>
      <c r="E1006" s="24" t="n"/>
      <c r="F1006" s="23" t="n"/>
      <c r="G1006" s="19">
        <f>IFERROR(IF(OR($B1006="",$C1006=""),"",IF(MATCH($C1006,'Ajustes'!$A$5:$A$8,0)&lt;=2,$D1006*INDEX('Ajustes'!$C$5:$C$6,MATCH($C1006,'Ajustes'!$A$5:$A$8,0)),IF(MATCH($C1006,'Ajustes'!$A$5:$A$8,0)=3,-($D1006+$E1006*INDEX('Equipo'!$B$5:$B$29,MATCH($B1006,'Equipo'!$A$5:$A$29,0))),0))),"")</f>
        <v/>
      </c>
      <c r="H1006" s="25">
        <f>IFERROR(IF(OR($B1006="",$C1006=""),"",IF(MATCH($C1006,'Ajustes'!$A$5:$A$8,0)=4,$D1006/INDEX('Equipo'!$B$5:$B$29,MATCH($B1006,'Equipo'!$A$5:$A$29,0))+$E1006,0)),"")</f>
        <v/>
      </c>
      <c r="I1006" s="26">
        <f>IF($B1006='Perfil'!$B$3,COUNTIF($B$4:$B1006,'Perfil'!$B$3),"")</f>
        <v/>
      </c>
    </row>
    <row r="1007">
      <c r="A1007" s="22" t="n"/>
      <c r="B1007" s="23" t="n"/>
      <c r="C1007" s="23" t="n"/>
      <c r="D1007" s="24" t="n"/>
      <c r="E1007" s="24" t="n"/>
      <c r="F1007" s="23" t="n"/>
      <c r="G1007" s="19">
        <f>IFERROR(IF(OR($B1007="",$C1007=""),"",IF(MATCH($C1007,'Ajustes'!$A$5:$A$8,0)&lt;=2,$D1007*INDEX('Ajustes'!$C$5:$C$6,MATCH($C1007,'Ajustes'!$A$5:$A$8,0)),IF(MATCH($C1007,'Ajustes'!$A$5:$A$8,0)=3,-($D1007+$E1007*INDEX('Equipo'!$B$5:$B$29,MATCH($B1007,'Equipo'!$A$5:$A$29,0))),0))),"")</f>
        <v/>
      </c>
      <c r="H1007" s="25">
        <f>IFERROR(IF(OR($B1007="",$C1007=""),"",IF(MATCH($C1007,'Ajustes'!$A$5:$A$8,0)=4,$D1007/INDEX('Equipo'!$B$5:$B$29,MATCH($B1007,'Equipo'!$A$5:$A$29,0))+$E1007,0)),"")</f>
        <v/>
      </c>
      <c r="I1007" s="26">
        <f>IF($B1007='Perfil'!$B$3,COUNTIF($B$4:$B1007,'Perfil'!$B$3),"")</f>
        <v/>
      </c>
    </row>
    <row r="1008">
      <c r="A1008" s="22" t="n"/>
      <c r="B1008" s="23" t="n"/>
      <c r="C1008" s="23" t="n"/>
      <c r="D1008" s="24" t="n"/>
      <c r="E1008" s="24" t="n"/>
      <c r="F1008" s="23" t="n"/>
      <c r="G1008" s="19">
        <f>IFERROR(IF(OR($B1008="",$C1008=""),"",IF(MATCH($C1008,'Ajustes'!$A$5:$A$8,0)&lt;=2,$D1008*INDEX('Ajustes'!$C$5:$C$6,MATCH($C1008,'Ajustes'!$A$5:$A$8,0)),IF(MATCH($C1008,'Ajustes'!$A$5:$A$8,0)=3,-($D1008+$E1008*INDEX('Equipo'!$B$5:$B$29,MATCH($B1008,'Equipo'!$A$5:$A$29,0))),0))),"")</f>
        <v/>
      </c>
      <c r="H1008" s="25">
        <f>IFERROR(IF(OR($B1008="",$C1008=""),"",IF(MATCH($C1008,'Ajustes'!$A$5:$A$8,0)=4,$D1008/INDEX('Equipo'!$B$5:$B$29,MATCH($B1008,'Equipo'!$A$5:$A$29,0))+$E1008,0)),"")</f>
        <v/>
      </c>
      <c r="I1008" s="26">
        <f>IF($B1008='Perfil'!$B$3,COUNTIF($B$4:$B1008,'Perfil'!$B$3),"")</f>
        <v/>
      </c>
    </row>
    <row r="1009">
      <c r="A1009" s="22" t="n"/>
      <c r="B1009" s="23" t="n"/>
      <c r="C1009" s="23" t="n"/>
      <c r="D1009" s="24" t="n"/>
      <c r="E1009" s="24" t="n"/>
      <c r="F1009" s="23" t="n"/>
      <c r="G1009" s="19">
        <f>IFERROR(IF(OR($B1009="",$C1009=""),"",IF(MATCH($C1009,'Ajustes'!$A$5:$A$8,0)&lt;=2,$D1009*INDEX('Ajustes'!$C$5:$C$6,MATCH($C1009,'Ajustes'!$A$5:$A$8,0)),IF(MATCH($C1009,'Ajustes'!$A$5:$A$8,0)=3,-($D1009+$E1009*INDEX('Equipo'!$B$5:$B$29,MATCH($B1009,'Equipo'!$A$5:$A$29,0))),0))),"")</f>
        <v/>
      </c>
      <c r="H1009" s="25">
        <f>IFERROR(IF(OR($B1009="",$C1009=""),"",IF(MATCH($C1009,'Ajustes'!$A$5:$A$8,0)=4,$D1009/INDEX('Equipo'!$B$5:$B$29,MATCH($B1009,'Equipo'!$A$5:$A$29,0))+$E1009,0)),"")</f>
        <v/>
      </c>
      <c r="I1009" s="26">
        <f>IF($B1009='Perfil'!$B$3,COUNTIF($B$4:$B1009,'Perfil'!$B$3),"")</f>
        <v/>
      </c>
    </row>
    <row r="1010">
      <c r="A1010" s="22" t="n"/>
      <c r="B1010" s="23" t="n"/>
      <c r="C1010" s="23" t="n"/>
      <c r="D1010" s="24" t="n"/>
      <c r="E1010" s="24" t="n"/>
      <c r="F1010" s="23" t="n"/>
      <c r="G1010" s="19">
        <f>IFERROR(IF(OR($B1010="",$C1010=""),"",IF(MATCH($C1010,'Ajustes'!$A$5:$A$8,0)&lt;=2,$D1010*INDEX('Ajustes'!$C$5:$C$6,MATCH($C1010,'Ajustes'!$A$5:$A$8,0)),IF(MATCH($C1010,'Ajustes'!$A$5:$A$8,0)=3,-($D1010+$E1010*INDEX('Equipo'!$B$5:$B$29,MATCH($B1010,'Equipo'!$A$5:$A$29,0))),0))),"")</f>
        <v/>
      </c>
      <c r="H1010" s="25">
        <f>IFERROR(IF(OR($B1010="",$C1010=""),"",IF(MATCH($C1010,'Ajustes'!$A$5:$A$8,0)=4,$D1010/INDEX('Equipo'!$B$5:$B$29,MATCH($B1010,'Equipo'!$A$5:$A$29,0))+$E1010,0)),"")</f>
        <v/>
      </c>
      <c r="I1010" s="26">
        <f>IF($B1010='Perfil'!$B$3,COUNTIF($B$4:$B1010,'Perfil'!$B$3),"")</f>
        <v/>
      </c>
    </row>
    <row r="1011">
      <c r="A1011" s="22" t="n"/>
      <c r="B1011" s="23" t="n"/>
      <c r="C1011" s="23" t="n"/>
      <c r="D1011" s="24" t="n"/>
      <c r="E1011" s="24" t="n"/>
      <c r="F1011" s="23" t="n"/>
      <c r="G1011" s="19">
        <f>IFERROR(IF(OR($B1011="",$C1011=""),"",IF(MATCH($C1011,'Ajustes'!$A$5:$A$8,0)&lt;=2,$D1011*INDEX('Ajustes'!$C$5:$C$6,MATCH($C1011,'Ajustes'!$A$5:$A$8,0)),IF(MATCH($C1011,'Ajustes'!$A$5:$A$8,0)=3,-($D1011+$E1011*INDEX('Equipo'!$B$5:$B$29,MATCH($B1011,'Equipo'!$A$5:$A$29,0))),0))),"")</f>
        <v/>
      </c>
      <c r="H1011" s="25">
        <f>IFERROR(IF(OR($B1011="",$C1011=""),"",IF(MATCH($C1011,'Ajustes'!$A$5:$A$8,0)=4,$D1011/INDEX('Equipo'!$B$5:$B$29,MATCH($B1011,'Equipo'!$A$5:$A$29,0))+$E1011,0)),"")</f>
        <v/>
      </c>
      <c r="I1011" s="26">
        <f>IF($B1011='Perfil'!$B$3,COUNTIF($B$4:$B1011,'Perfil'!$B$3),"")</f>
        <v/>
      </c>
    </row>
    <row r="1012">
      <c r="A1012" s="22" t="n"/>
      <c r="B1012" s="23" t="n"/>
      <c r="C1012" s="23" t="n"/>
      <c r="D1012" s="24" t="n"/>
      <c r="E1012" s="24" t="n"/>
      <c r="F1012" s="23" t="n"/>
      <c r="G1012" s="19">
        <f>IFERROR(IF(OR($B1012="",$C1012=""),"",IF(MATCH($C1012,'Ajustes'!$A$5:$A$8,0)&lt;=2,$D1012*INDEX('Ajustes'!$C$5:$C$6,MATCH($C1012,'Ajustes'!$A$5:$A$8,0)),IF(MATCH($C1012,'Ajustes'!$A$5:$A$8,0)=3,-($D1012+$E1012*INDEX('Equipo'!$B$5:$B$29,MATCH($B1012,'Equipo'!$A$5:$A$29,0))),0))),"")</f>
        <v/>
      </c>
      <c r="H1012" s="25">
        <f>IFERROR(IF(OR($B1012="",$C1012=""),"",IF(MATCH($C1012,'Ajustes'!$A$5:$A$8,0)=4,$D1012/INDEX('Equipo'!$B$5:$B$29,MATCH($B1012,'Equipo'!$A$5:$A$29,0))+$E1012,0)),"")</f>
        <v/>
      </c>
      <c r="I1012" s="26">
        <f>IF($B1012='Perfil'!$B$3,COUNTIF($B$4:$B1012,'Perfil'!$B$3),"")</f>
        <v/>
      </c>
    </row>
    <row r="1013">
      <c r="A1013" s="22" t="n"/>
      <c r="B1013" s="23" t="n"/>
      <c r="C1013" s="23" t="n"/>
      <c r="D1013" s="24" t="n"/>
      <c r="E1013" s="24" t="n"/>
      <c r="F1013" s="23" t="n"/>
      <c r="G1013" s="19">
        <f>IFERROR(IF(OR($B1013="",$C1013=""),"",IF(MATCH($C1013,'Ajustes'!$A$5:$A$8,0)&lt;=2,$D1013*INDEX('Ajustes'!$C$5:$C$6,MATCH($C1013,'Ajustes'!$A$5:$A$8,0)),IF(MATCH($C1013,'Ajustes'!$A$5:$A$8,0)=3,-($D1013+$E1013*INDEX('Equipo'!$B$5:$B$29,MATCH($B1013,'Equipo'!$A$5:$A$29,0))),0))),"")</f>
        <v/>
      </c>
      <c r="H1013" s="25">
        <f>IFERROR(IF(OR($B1013="",$C1013=""),"",IF(MATCH($C1013,'Ajustes'!$A$5:$A$8,0)=4,$D1013/INDEX('Equipo'!$B$5:$B$29,MATCH($B1013,'Equipo'!$A$5:$A$29,0))+$E1013,0)),"")</f>
        <v/>
      </c>
      <c r="I1013" s="26">
        <f>IF($B1013='Perfil'!$B$3,COUNTIF($B$4:$B1013,'Perfil'!$B$3),"")</f>
        <v/>
      </c>
    </row>
    <row r="1014">
      <c r="A1014" s="22" t="n"/>
      <c r="B1014" s="23" t="n"/>
      <c r="C1014" s="23" t="n"/>
      <c r="D1014" s="24" t="n"/>
      <c r="E1014" s="24" t="n"/>
      <c r="F1014" s="23" t="n"/>
      <c r="G1014" s="19">
        <f>IFERROR(IF(OR($B1014="",$C1014=""),"",IF(MATCH($C1014,'Ajustes'!$A$5:$A$8,0)&lt;=2,$D1014*INDEX('Ajustes'!$C$5:$C$6,MATCH($C1014,'Ajustes'!$A$5:$A$8,0)),IF(MATCH($C1014,'Ajustes'!$A$5:$A$8,0)=3,-($D1014+$E1014*INDEX('Equipo'!$B$5:$B$29,MATCH($B1014,'Equipo'!$A$5:$A$29,0))),0))),"")</f>
        <v/>
      </c>
      <c r="H1014" s="25">
        <f>IFERROR(IF(OR($B1014="",$C1014=""),"",IF(MATCH($C1014,'Ajustes'!$A$5:$A$8,0)=4,$D1014/INDEX('Equipo'!$B$5:$B$29,MATCH($B1014,'Equipo'!$A$5:$A$29,0))+$E1014,0)),"")</f>
        <v/>
      </c>
      <c r="I1014" s="26">
        <f>IF($B1014='Perfil'!$B$3,COUNTIF($B$4:$B1014,'Perfil'!$B$3),"")</f>
        <v/>
      </c>
    </row>
    <row r="1015">
      <c r="A1015" s="22" t="n"/>
      <c r="B1015" s="23" t="n"/>
      <c r="C1015" s="23" t="n"/>
      <c r="D1015" s="24" t="n"/>
      <c r="E1015" s="24" t="n"/>
      <c r="F1015" s="23" t="n"/>
      <c r="G1015" s="19">
        <f>IFERROR(IF(OR($B1015="",$C1015=""),"",IF(MATCH($C1015,'Ajustes'!$A$5:$A$8,0)&lt;=2,$D1015*INDEX('Ajustes'!$C$5:$C$6,MATCH($C1015,'Ajustes'!$A$5:$A$8,0)),IF(MATCH($C1015,'Ajustes'!$A$5:$A$8,0)=3,-($D1015+$E1015*INDEX('Equipo'!$B$5:$B$29,MATCH($B1015,'Equipo'!$A$5:$A$29,0))),0))),"")</f>
        <v/>
      </c>
      <c r="H1015" s="25">
        <f>IFERROR(IF(OR($B1015="",$C1015=""),"",IF(MATCH($C1015,'Ajustes'!$A$5:$A$8,0)=4,$D1015/INDEX('Equipo'!$B$5:$B$29,MATCH($B1015,'Equipo'!$A$5:$A$29,0))+$E1015,0)),"")</f>
        <v/>
      </c>
      <c r="I1015" s="26">
        <f>IF($B1015='Perfil'!$B$3,COUNTIF($B$4:$B1015,'Perfil'!$B$3),"")</f>
        <v/>
      </c>
    </row>
    <row r="1016">
      <c r="A1016" s="22" t="n"/>
      <c r="B1016" s="23" t="n"/>
      <c r="C1016" s="23" t="n"/>
      <c r="D1016" s="24" t="n"/>
      <c r="E1016" s="24" t="n"/>
      <c r="F1016" s="23" t="n"/>
      <c r="G1016" s="19">
        <f>IFERROR(IF(OR($B1016="",$C1016=""),"",IF(MATCH($C1016,'Ajustes'!$A$5:$A$8,0)&lt;=2,$D1016*INDEX('Ajustes'!$C$5:$C$6,MATCH($C1016,'Ajustes'!$A$5:$A$8,0)),IF(MATCH($C1016,'Ajustes'!$A$5:$A$8,0)=3,-($D1016+$E1016*INDEX('Equipo'!$B$5:$B$29,MATCH($B1016,'Equipo'!$A$5:$A$29,0))),0))),"")</f>
        <v/>
      </c>
      <c r="H1016" s="25">
        <f>IFERROR(IF(OR($B1016="",$C1016=""),"",IF(MATCH($C1016,'Ajustes'!$A$5:$A$8,0)=4,$D1016/INDEX('Equipo'!$B$5:$B$29,MATCH($B1016,'Equipo'!$A$5:$A$29,0))+$E1016,0)),"")</f>
        <v/>
      </c>
      <c r="I1016" s="26">
        <f>IF($B1016='Perfil'!$B$3,COUNTIF($B$4:$B1016,'Perfil'!$B$3),"")</f>
        <v/>
      </c>
    </row>
    <row r="1017">
      <c r="A1017" s="22" t="n"/>
      <c r="B1017" s="23" t="n"/>
      <c r="C1017" s="23" t="n"/>
      <c r="D1017" s="24" t="n"/>
      <c r="E1017" s="24" t="n"/>
      <c r="F1017" s="23" t="n"/>
      <c r="G1017" s="19">
        <f>IFERROR(IF(OR($B1017="",$C1017=""),"",IF(MATCH($C1017,'Ajustes'!$A$5:$A$8,0)&lt;=2,$D1017*INDEX('Ajustes'!$C$5:$C$6,MATCH($C1017,'Ajustes'!$A$5:$A$8,0)),IF(MATCH($C1017,'Ajustes'!$A$5:$A$8,0)=3,-($D1017+$E1017*INDEX('Equipo'!$B$5:$B$29,MATCH($B1017,'Equipo'!$A$5:$A$29,0))),0))),"")</f>
        <v/>
      </c>
      <c r="H1017" s="25">
        <f>IFERROR(IF(OR($B1017="",$C1017=""),"",IF(MATCH($C1017,'Ajustes'!$A$5:$A$8,0)=4,$D1017/INDEX('Equipo'!$B$5:$B$29,MATCH($B1017,'Equipo'!$A$5:$A$29,0))+$E1017,0)),"")</f>
        <v/>
      </c>
      <c r="I1017" s="26">
        <f>IF($B1017='Perfil'!$B$3,COUNTIF($B$4:$B1017,'Perfil'!$B$3),"")</f>
        <v/>
      </c>
    </row>
    <row r="1018">
      <c r="A1018" s="22" t="n"/>
      <c r="B1018" s="23" t="n"/>
      <c r="C1018" s="23" t="n"/>
      <c r="D1018" s="24" t="n"/>
      <c r="E1018" s="24" t="n"/>
      <c r="F1018" s="23" t="n"/>
      <c r="G1018" s="19">
        <f>IFERROR(IF(OR($B1018="",$C1018=""),"",IF(MATCH($C1018,'Ajustes'!$A$5:$A$8,0)&lt;=2,$D1018*INDEX('Ajustes'!$C$5:$C$6,MATCH($C1018,'Ajustes'!$A$5:$A$8,0)),IF(MATCH($C1018,'Ajustes'!$A$5:$A$8,0)=3,-($D1018+$E1018*INDEX('Equipo'!$B$5:$B$29,MATCH($B1018,'Equipo'!$A$5:$A$29,0))),0))),"")</f>
        <v/>
      </c>
      <c r="H1018" s="25">
        <f>IFERROR(IF(OR($B1018="",$C1018=""),"",IF(MATCH($C1018,'Ajustes'!$A$5:$A$8,0)=4,$D1018/INDEX('Equipo'!$B$5:$B$29,MATCH($B1018,'Equipo'!$A$5:$A$29,0))+$E1018,0)),"")</f>
        <v/>
      </c>
      <c r="I1018" s="26">
        <f>IF($B1018='Perfil'!$B$3,COUNTIF($B$4:$B1018,'Perfil'!$B$3),"")</f>
        <v/>
      </c>
    </row>
    <row r="1019">
      <c r="A1019" s="22" t="n"/>
      <c r="B1019" s="23" t="n"/>
      <c r="C1019" s="23" t="n"/>
      <c r="D1019" s="24" t="n"/>
      <c r="E1019" s="24" t="n"/>
      <c r="F1019" s="23" t="n"/>
      <c r="G1019" s="19">
        <f>IFERROR(IF(OR($B1019="",$C1019=""),"",IF(MATCH($C1019,'Ajustes'!$A$5:$A$8,0)&lt;=2,$D1019*INDEX('Ajustes'!$C$5:$C$6,MATCH($C1019,'Ajustes'!$A$5:$A$8,0)),IF(MATCH($C1019,'Ajustes'!$A$5:$A$8,0)=3,-($D1019+$E1019*INDEX('Equipo'!$B$5:$B$29,MATCH($B1019,'Equipo'!$A$5:$A$29,0))),0))),"")</f>
        <v/>
      </c>
      <c r="H1019" s="25">
        <f>IFERROR(IF(OR($B1019="",$C1019=""),"",IF(MATCH($C1019,'Ajustes'!$A$5:$A$8,0)=4,$D1019/INDEX('Equipo'!$B$5:$B$29,MATCH($B1019,'Equipo'!$A$5:$A$29,0))+$E1019,0)),"")</f>
        <v/>
      </c>
      <c r="I1019" s="26">
        <f>IF($B1019='Perfil'!$B$3,COUNTIF($B$4:$B1019,'Perfil'!$B$3),"")</f>
        <v/>
      </c>
    </row>
    <row r="1020">
      <c r="A1020" s="22" t="n"/>
      <c r="B1020" s="23" t="n"/>
      <c r="C1020" s="23" t="n"/>
      <c r="D1020" s="24" t="n"/>
      <c r="E1020" s="24" t="n"/>
      <c r="F1020" s="23" t="n"/>
      <c r="G1020" s="19">
        <f>IFERROR(IF(OR($B1020="",$C1020=""),"",IF(MATCH($C1020,'Ajustes'!$A$5:$A$8,0)&lt;=2,$D1020*INDEX('Ajustes'!$C$5:$C$6,MATCH($C1020,'Ajustes'!$A$5:$A$8,0)),IF(MATCH($C1020,'Ajustes'!$A$5:$A$8,0)=3,-($D1020+$E1020*INDEX('Equipo'!$B$5:$B$29,MATCH($B1020,'Equipo'!$A$5:$A$29,0))),0))),"")</f>
        <v/>
      </c>
      <c r="H1020" s="25">
        <f>IFERROR(IF(OR($B1020="",$C1020=""),"",IF(MATCH($C1020,'Ajustes'!$A$5:$A$8,0)=4,$D1020/INDEX('Equipo'!$B$5:$B$29,MATCH($B1020,'Equipo'!$A$5:$A$29,0))+$E1020,0)),"")</f>
        <v/>
      </c>
      <c r="I1020" s="26">
        <f>IF($B1020='Perfil'!$B$3,COUNTIF($B$4:$B1020,'Perfil'!$B$3),"")</f>
        <v/>
      </c>
    </row>
    <row r="1021">
      <c r="A1021" s="22" t="n"/>
      <c r="B1021" s="23" t="n"/>
      <c r="C1021" s="23" t="n"/>
      <c r="D1021" s="24" t="n"/>
      <c r="E1021" s="24" t="n"/>
      <c r="F1021" s="23" t="n"/>
      <c r="G1021" s="19">
        <f>IFERROR(IF(OR($B1021="",$C1021=""),"",IF(MATCH($C1021,'Ajustes'!$A$5:$A$8,0)&lt;=2,$D1021*INDEX('Ajustes'!$C$5:$C$6,MATCH($C1021,'Ajustes'!$A$5:$A$8,0)),IF(MATCH($C1021,'Ajustes'!$A$5:$A$8,0)=3,-($D1021+$E1021*INDEX('Equipo'!$B$5:$B$29,MATCH($B1021,'Equipo'!$A$5:$A$29,0))),0))),"")</f>
        <v/>
      </c>
      <c r="H1021" s="25">
        <f>IFERROR(IF(OR($B1021="",$C1021=""),"",IF(MATCH($C1021,'Ajustes'!$A$5:$A$8,0)=4,$D1021/INDEX('Equipo'!$B$5:$B$29,MATCH($B1021,'Equipo'!$A$5:$A$29,0))+$E1021,0)),"")</f>
        <v/>
      </c>
      <c r="I1021" s="26">
        <f>IF($B1021='Perfil'!$B$3,COUNTIF($B$4:$B1021,'Perfil'!$B$3),"")</f>
        <v/>
      </c>
    </row>
    <row r="1022">
      <c r="A1022" s="22" t="n"/>
      <c r="B1022" s="23" t="n"/>
      <c r="C1022" s="23" t="n"/>
      <c r="D1022" s="24" t="n"/>
      <c r="E1022" s="24" t="n"/>
      <c r="F1022" s="23" t="n"/>
      <c r="G1022" s="19">
        <f>IFERROR(IF(OR($B1022="",$C1022=""),"",IF(MATCH($C1022,'Ajustes'!$A$5:$A$8,0)&lt;=2,$D1022*INDEX('Ajustes'!$C$5:$C$6,MATCH($C1022,'Ajustes'!$A$5:$A$8,0)),IF(MATCH($C1022,'Ajustes'!$A$5:$A$8,0)=3,-($D1022+$E1022*INDEX('Equipo'!$B$5:$B$29,MATCH($B1022,'Equipo'!$A$5:$A$29,0))),0))),"")</f>
        <v/>
      </c>
      <c r="H1022" s="25">
        <f>IFERROR(IF(OR($B1022="",$C1022=""),"",IF(MATCH($C1022,'Ajustes'!$A$5:$A$8,0)=4,$D1022/INDEX('Equipo'!$B$5:$B$29,MATCH($B1022,'Equipo'!$A$5:$A$29,0))+$E1022,0)),"")</f>
        <v/>
      </c>
      <c r="I1022" s="26">
        <f>IF($B1022='Perfil'!$B$3,COUNTIF($B$4:$B1022,'Perfil'!$B$3),"")</f>
        <v/>
      </c>
    </row>
    <row r="1023">
      <c r="A1023" s="22" t="n"/>
      <c r="B1023" s="23" t="n"/>
      <c r="C1023" s="23" t="n"/>
      <c r="D1023" s="24" t="n"/>
      <c r="E1023" s="24" t="n"/>
      <c r="F1023" s="23" t="n"/>
      <c r="G1023" s="19">
        <f>IFERROR(IF(OR($B1023="",$C1023=""),"",IF(MATCH($C1023,'Ajustes'!$A$5:$A$8,0)&lt;=2,$D1023*INDEX('Ajustes'!$C$5:$C$6,MATCH($C1023,'Ajustes'!$A$5:$A$8,0)),IF(MATCH($C1023,'Ajustes'!$A$5:$A$8,0)=3,-($D1023+$E1023*INDEX('Equipo'!$B$5:$B$29,MATCH($B1023,'Equipo'!$A$5:$A$29,0))),0))),"")</f>
        <v/>
      </c>
      <c r="H1023" s="25">
        <f>IFERROR(IF(OR($B1023="",$C1023=""),"",IF(MATCH($C1023,'Ajustes'!$A$5:$A$8,0)=4,$D1023/INDEX('Equipo'!$B$5:$B$29,MATCH($B1023,'Equipo'!$A$5:$A$29,0))+$E1023,0)),"")</f>
        <v/>
      </c>
      <c r="I1023" s="26">
        <f>IF($B1023='Perfil'!$B$3,COUNTIF($B$4:$B1023,'Perfil'!$B$3),"")</f>
        <v/>
      </c>
    </row>
    <row r="1024">
      <c r="A1024" s="22" t="n"/>
      <c r="B1024" s="23" t="n"/>
      <c r="C1024" s="23" t="n"/>
      <c r="D1024" s="24" t="n"/>
      <c r="E1024" s="24" t="n"/>
      <c r="F1024" s="23" t="n"/>
      <c r="G1024" s="19">
        <f>IFERROR(IF(OR($B1024="",$C1024=""),"",IF(MATCH($C1024,'Ajustes'!$A$5:$A$8,0)&lt;=2,$D1024*INDEX('Ajustes'!$C$5:$C$6,MATCH($C1024,'Ajustes'!$A$5:$A$8,0)),IF(MATCH($C1024,'Ajustes'!$A$5:$A$8,0)=3,-($D1024+$E1024*INDEX('Equipo'!$B$5:$B$29,MATCH($B1024,'Equipo'!$A$5:$A$29,0))),0))),"")</f>
        <v/>
      </c>
      <c r="H1024" s="25">
        <f>IFERROR(IF(OR($B1024="",$C1024=""),"",IF(MATCH($C1024,'Ajustes'!$A$5:$A$8,0)=4,$D1024/INDEX('Equipo'!$B$5:$B$29,MATCH($B1024,'Equipo'!$A$5:$A$29,0))+$E1024,0)),"")</f>
        <v/>
      </c>
      <c r="I1024" s="26">
        <f>IF($B1024='Perfil'!$B$3,COUNTIF($B$4:$B1024,'Perfil'!$B$3),"")</f>
        <v/>
      </c>
    </row>
    <row r="1025">
      <c r="A1025" s="22" t="n"/>
      <c r="B1025" s="23" t="n"/>
      <c r="C1025" s="23" t="n"/>
      <c r="D1025" s="24" t="n"/>
      <c r="E1025" s="24" t="n"/>
      <c r="F1025" s="23" t="n"/>
      <c r="G1025" s="19">
        <f>IFERROR(IF(OR($B1025="",$C1025=""),"",IF(MATCH($C1025,'Ajustes'!$A$5:$A$8,0)&lt;=2,$D1025*INDEX('Ajustes'!$C$5:$C$6,MATCH($C1025,'Ajustes'!$A$5:$A$8,0)),IF(MATCH($C1025,'Ajustes'!$A$5:$A$8,0)=3,-($D1025+$E1025*INDEX('Equipo'!$B$5:$B$29,MATCH($B1025,'Equipo'!$A$5:$A$29,0))),0))),"")</f>
        <v/>
      </c>
      <c r="H1025" s="25">
        <f>IFERROR(IF(OR($B1025="",$C1025=""),"",IF(MATCH($C1025,'Ajustes'!$A$5:$A$8,0)=4,$D1025/INDEX('Equipo'!$B$5:$B$29,MATCH($B1025,'Equipo'!$A$5:$A$29,0))+$E1025,0)),"")</f>
        <v/>
      </c>
      <c r="I1025" s="26">
        <f>IF($B1025='Perfil'!$B$3,COUNTIF($B$4:$B1025,'Perfil'!$B$3),"")</f>
        <v/>
      </c>
    </row>
    <row r="1026">
      <c r="A1026" s="22" t="n"/>
      <c r="B1026" s="23" t="n"/>
      <c r="C1026" s="23" t="n"/>
      <c r="D1026" s="24" t="n"/>
      <c r="E1026" s="24" t="n"/>
      <c r="F1026" s="23" t="n"/>
      <c r="G1026" s="19">
        <f>IFERROR(IF(OR($B1026="",$C1026=""),"",IF(MATCH($C1026,'Ajustes'!$A$5:$A$8,0)&lt;=2,$D1026*INDEX('Ajustes'!$C$5:$C$6,MATCH($C1026,'Ajustes'!$A$5:$A$8,0)),IF(MATCH($C1026,'Ajustes'!$A$5:$A$8,0)=3,-($D1026+$E1026*INDEX('Equipo'!$B$5:$B$29,MATCH($B1026,'Equipo'!$A$5:$A$29,0))),0))),"")</f>
        <v/>
      </c>
      <c r="H1026" s="25">
        <f>IFERROR(IF(OR($B1026="",$C1026=""),"",IF(MATCH($C1026,'Ajustes'!$A$5:$A$8,0)=4,$D1026/INDEX('Equipo'!$B$5:$B$29,MATCH($B1026,'Equipo'!$A$5:$A$29,0))+$E1026,0)),"")</f>
        <v/>
      </c>
      <c r="I1026" s="26">
        <f>IF($B1026='Perfil'!$B$3,COUNTIF($B$4:$B1026,'Perfil'!$B$3),"")</f>
        <v/>
      </c>
    </row>
    <row r="1027">
      <c r="A1027" s="22" t="n"/>
      <c r="B1027" s="23" t="n"/>
      <c r="C1027" s="23" t="n"/>
      <c r="D1027" s="24" t="n"/>
      <c r="E1027" s="24" t="n"/>
      <c r="F1027" s="23" t="n"/>
      <c r="G1027" s="19">
        <f>IFERROR(IF(OR($B1027="",$C1027=""),"",IF(MATCH($C1027,'Ajustes'!$A$5:$A$8,0)&lt;=2,$D1027*INDEX('Ajustes'!$C$5:$C$6,MATCH($C1027,'Ajustes'!$A$5:$A$8,0)),IF(MATCH($C1027,'Ajustes'!$A$5:$A$8,0)=3,-($D1027+$E1027*INDEX('Equipo'!$B$5:$B$29,MATCH($B1027,'Equipo'!$A$5:$A$29,0))),0))),"")</f>
        <v/>
      </c>
      <c r="H1027" s="25">
        <f>IFERROR(IF(OR($B1027="",$C1027=""),"",IF(MATCH($C1027,'Ajustes'!$A$5:$A$8,0)=4,$D1027/INDEX('Equipo'!$B$5:$B$29,MATCH($B1027,'Equipo'!$A$5:$A$29,0))+$E1027,0)),"")</f>
        <v/>
      </c>
      <c r="I1027" s="26">
        <f>IF($B1027='Perfil'!$B$3,COUNTIF($B$4:$B1027,'Perfil'!$B$3),"")</f>
        <v/>
      </c>
    </row>
    <row r="1028">
      <c r="A1028" s="22" t="n"/>
      <c r="B1028" s="23" t="n"/>
      <c r="C1028" s="23" t="n"/>
      <c r="D1028" s="24" t="n"/>
      <c r="E1028" s="24" t="n"/>
      <c r="F1028" s="23" t="n"/>
      <c r="G1028" s="19">
        <f>IFERROR(IF(OR($B1028="",$C1028=""),"",IF(MATCH($C1028,'Ajustes'!$A$5:$A$8,0)&lt;=2,$D1028*INDEX('Ajustes'!$C$5:$C$6,MATCH($C1028,'Ajustes'!$A$5:$A$8,0)),IF(MATCH($C1028,'Ajustes'!$A$5:$A$8,0)=3,-($D1028+$E1028*INDEX('Equipo'!$B$5:$B$29,MATCH($B1028,'Equipo'!$A$5:$A$29,0))),0))),"")</f>
        <v/>
      </c>
      <c r="H1028" s="25">
        <f>IFERROR(IF(OR($B1028="",$C1028=""),"",IF(MATCH($C1028,'Ajustes'!$A$5:$A$8,0)=4,$D1028/INDEX('Equipo'!$B$5:$B$29,MATCH($B1028,'Equipo'!$A$5:$A$29,0))+$E1028,0)),"")</f>
        <v/>
      </c>
      <c r="I1028" s="26">
        <f>IF($B1028='Perfil'!$B$3,COUNTIF($B$4:$B1028,'Perfil'!$B$3),"")</f>
        <v/>
      </c>
    </row>
    <row r="1029">
      <c r="A1029" s="22" t="n"/>
      <c r="B1029" s="23" t="n"/>
      <c r="C1029" s="23" t="n"/>
      <c r="D1029" s="24" t="n"/>
      <c r="E1029" s="24" t="n"/>
      <c r="F1029" s="23" t="n"/>
      <c r="G1029" s="19">
        <f>IFERROR(IF(OR($B1029="",$C1029=""),"",IF(MATCH($C1029,'Ajustes'!$A$5:$A$8,0)&lt;=2,$D1029*INDEX('Ajustes'!$C$5:$C$6,MATCH($C1029,'Ajustes'!$A$5:$A$8,0)),IF(MATCH($C1029,'Ajustes'!$A$5:$A$8,0)=3,-($D1029+$E1029*INDEX('Equipo'!$B$5:$B$29,MATCH($B1029,'Equipo'!$A$5:$A$29,0))),0))),"")</f>
        <v/>
      </c>
      <c r="H1029" s="25">
        <f>IFERROR(IF(OR($B1029="",$C1029=""),"",IF(MATCH($C1029,'Ajustes'!$A$5:$A$8,0)=4,$D1029/INDEX('Equipo'!$B$5:$B$29,MATCH($B1029,'Equipo'!$A$5:$A$29,0))+$E1029,0)),"")</f>
        <v/>
      </c>
      <c r="I1029" s="26">
        <f>IF($B1029='Perfil'!$B$3,COUNTIF($B$4:$B1029,'Perfil'!$B$3),"")</f>
        <v/>
      </c>
    </row>
    <row r="1030">
      <c r="A1030" s="22" t="n"/>
      <c r="B1030" s="23" t="n"/>
      <c r="C1030" s="23" t="n"/>
      <c r="D1030" s="24" t="n"/>
      <c r="E1030" s="24" t="n"/>
      <c r="F1030" s="23" t="n"/>
      <c r="G1030" s="19">
        <f>IFERROR(IF(OR($B1030="",$C1030=""),"",IF(MATCH($C1030,'Ajustes'!$A$5:$A$8,0)&lt;=2,$D1030*INDEX('Ajustes'!$C$5:$C$6,MATCH($C1030,'Ajustes'!$A$5:$A$8,0)),IF(MATCH($C1030,'Ajustes'!$A$5:$A$8,0)=3,-($D1030+$E1030*INDEX('Equipo'!$B$5:$B$29,MATCH($B1030,'Equipo'!$A$5:$A$29,0))),0))),"")</f>
        <v/>
      </c>
      <c r="H1030" s="25">
        <f>IFERROR(IF(OR($B1030="",$C1030=""),"",IF(MATCH($C1030,'Ajustes'!$A$5:$A$8,0)=4,$D1030/INDEX('Equipo'!$B$5:$B$29,MATCH($B1030,'Equipo'!$A$5:$A$29,0))+$E1030,0)),"")</f>
        <v/>
      </c>
      <c r="I1030" s="26">
        <f>IF($B1030='Perfil'!$B$3,COUNTIF($B$4:$B1030,'Perfil'!$B$3),"")</f>
        <v/>
      </c>
    </row>
    <row r="1031">
      <c r="A1031" s="22" t="n"/>
      <c r="B1031" s="23" t="n"/>
      <c r="C1031" s="23" t="n"/>
      <c r="D1031" s="24" t="n"/>
      <c r="E1031" s="24" t="n"/>
      <c r="F1031" s="23" t="n"/>
      <c r="G1031" s="19">
        <f>IFERROR(IF(OR($B1031="",$C1031=""),"",IF(MATCH($C1031,'Ajustes'!$A$5:$A$8,0)&lt;=2,$D1031*INDEX('Ajustes'!$C$5:$C$6,MATCH($C1031,'Ajustes'!$A$5:$A$8,0)),IF(MATCH($C1031,'Ajustes'!$A$5:$A$8,0)=3,-($D1031+$E1031*INDEX('Equipo'!$B$5:$B$29,MATCH($B1031,'Equipo'!$A$5:$A$29,0))),0))),"")</f>
        <v/>
      </c>
      <c r="H1031" s="25">
        <f>IFERROR(IF(OR($B1031="",$C1031=""),"",IF(MATCH($C1031,'Ajustes'!$A$5:$A$8,0)=4,$D1031/INDEX('Equipo'!$B$5:$B$29,MATCH($B1031,'Equipo'!$A$5:$A$29,0))+$E1031,0)),"")</f>
        <v/>
      </c>
      <c r="I1031" s="26">
        <f>IF($B1031='Perfil'!$B$3,COUNTIF($B$4:$B1031,'Perfil'!$B$3),"")</f>
        <v/>
      </c>
    </row>
    <row r="1032">
      <c r="A1032" s="22" t="n"/>
      <c r="B1032" s="23" t="n"/>
      <c r="C1032" s="23" t="n"/>
      <c r="D1032" s="24" t="n"/>
      <c r="E1032" s="24" t="n"/>
      <c r="F1032" s="23" t="n"/>
      <c r="G1032" s="19">
        <f>IFERROR(IF(OR($B1032="",$C1032=""),"",IF(MATCH($C1032,'Ajustes'!$A$5:$A$8,0)&lt;=2,$D1032*INDEX('Ajustes'!$C$5:$C$6,MATCH($C1032,'Ajustes'!$A$5:$A$8,0)),IF(MATCH($C1032,'Ajustes'!$A$5:$A$8,0)=3,-($D1032+$E1032*INDEX('Equipo'!$B$5:$B$29,MATCH($B1032,'Equipo'!$A$5:$A$29,0))),0))),"")</f>
        <v/>
      </c>
      <c r="H1032" s="25">
        <f>IFERROR(IF(OR($B1032="",$C1032=""),"",IF(MATCH($C1032,'Ajustes'!$A$5:$A$8,0)=4,$D1032/INDEX('Equipo'!$B$5:$B$29,MATCH($B1032,'Equipo'!$A$5:$A$29,0))+$E1032,0)),"")</f>
        <v/>
      </c>
      <c r="I1032" s="26">
        <f>IF($B1032='Perfil'!$B$3,COUNTIF($B$4:$B1032,'Perfil'!$B$3),"")</f>
        <v/>
      </c>
    </row>
    <row r="1033">
      <c r="A1033" s="22" t="n"/>
      <c r="B1033" s="23" t="n"/>
      <c r="C1033" s="23" t="n"/>
      <c r="D1033" s="24" t="n"/>
      <c r="E1033" s="24" t="n"/>
      <c r="F1033" s="23" t="n"/>
      <c r="G1033" s="19">
        <f>IFERROR(IF(OR($B1033="",$C1033=""),"",IF(MATCH($C1033,'Ajustes'!$A$5:$A$8,0)&lt;=2,$D1033*INDEX('Ajustes'!$C$5:$C$6,MATCH($C1033,'Ajustes'!$A$5:$A$8,0)),IF(MATCH($C1033,'Ajustes'!$A$5:$A$8,0)=3,-($D1033+$E1033*INDEX('Equipo'!$B$5:$B$29,MATCH($B1033,'Equipo'!$A$5:$A$29,0))),0))),"")</f>
        <v/>
      </c>
      <c r="H1033" s="25">
        <f>IFERROR(IF(OR($B1033="",$C1033=""),"",IF(MATCH($C1033,'Ajustes'!$A$5:$A$8,0)=4,$D1033/INDEX('Equipo'!$B$5:$B$29,MATCH($B1033,'Equipo'!$A$5:$A$29,0))+$E1033,0)),"")</f>
        <v/>
      </c>
      <c r="I1033" s="26">
        <f>IF($B1033='Perfil'!$B$3,COUNTIF($B$4:$B1033,'Perfil'!$B$3),"")</f>
        <v/>
      </c>
    </row>
    <row r="1034">
      <c r="A1034" s="22" t="n"/>
      <c r="B1034" s="23" t="n"/>
      <c r="C1034" s="23" t="n"/>
      <c r="D1034" s="24" t="n"/>
      <c r="E1034" s="24" t="n"/>
      <c r="F1034" s="23" t="n"/>
      <c r="G1034" s="19">
        <f>IFERROR(IF(OR($B1034="",$C1034=""),"",IF(MATCH($C1034,'Ajustes'!$A$5:$A$8,0)&lt;=2,$D1034*INDEX('Ajustes'!$C$5:$C$6,MATCH($C1034,'Ajustes'!$A$5:$A$8,0)),IF(MATCH($C1034,'Ajustes'!$A$5:$A$8,0)=3,-($D1034+$E1034*INDEX('Equipo'!$B$5:$B$29,MATCH($B1034,'Equipo'!$A$5:$A$29,0))),0))),"")</f>
        <v/>
      </c>
      <c r="H1034" s="25">
        <f>IFERROR(IF(OR($B1034="",$C1034=""),"",IF(MATCH($C1034,'Ajustes'!$A$5:$A$8,0)=4,$D1034/INDEX('Equipo'!$B$5:$B$29,MATCH($B1034,'Equipo'!$A$5:$A$29,0))+$E1034,0)),"")</f>
        <v/>
      </c>
      <c r="I1034" s="26">
        <f>IF($B1034='Perfil'!$B$3,COUNTIF($B$4:$B1034,'Perfil'!$B$3),"")</f>
        <v/>
      </c>
    </row>
    <row r="1035">
      <c r="A1035" s="22" t="n"/>
      <c r="B1035" s="23" t="n"/>
      <c r="C1035" s="23" t="n"/>
      <c r="D1035" s="24" t="n"/>
      <c r="E1035" s="24" t="n"/>
      <c r="F1035" s="23" t="n"/>
      <c r="G1035" s="19">
        <f>IFERROR(IF(OR($B1035="",$C1035=""),"",IF(MATCH($C1035,'Ajustes'!$A$5:$A$8,0)&lt;=2,$D1035*INDEX('Ajustes'!$C$5:$C$6,MATCH($C1035,'Ajustes'!$A$5:$A$8,0)),IF(MATCH($C1035,'Ajustes'!$A$5:$A$8,0)=3,-($D1035+$E1035*INDEX('Equipo'!$B$5:$B$29,MATCH($B1035,'Equipo'!$A$5:$A$29,0))),0))),"")</f>
        <v/>
      </c>
      <c r="H1035" s="25">
        <f>IFERROR(IF(OR($B1035="",$C1035=""),"",IF(MATCH($C1035,'Ajustes'!$A$5:$A$8,0)=4,$D1035/INDEX('Equipo'!$B$5:$B$29,MATCH($B1035,'Equipo'!$A$5:$A$29,0))+$E1035,0)),"")</f>
        <v/>
      </c>
      <c r="I1035" s="26">
        <f>IF($B1035='Perfil'!$B$3,COUNTIF($B$4:$B1035,'Perfil'!$B$3),"")</f>
        <v/>
      </c>
    </row>
    <row r="1036">
      <c r="A1036" s="22" t="n"/>
      <c r="B1036" s="23" t="n"/>
      <c r="C1036" s="23" t="n"/>
      <c r="D1036" s="24" t="n"/>
      <c r="E1036" s="24" t="n"/>
      <c r="F1036" s="23" t="n"/>
      <c r="G1036" s="19">
        <f>IFERROR(IF(OR($B1036="",$C1036=""),"",IF(MATCH($C1036,'Ajustes'!$A$5:$A$8,0)&lt;=2,$D1036*INDEX('Ajustes'!$C$5:$C$6,MATCH($C1036,'Ajustes'!$A$5:$A$8,0)),IF(MATCH($C1036,'Ajustes'!$A$5:$A$8,0)=3,-($D1036+$E1036*INDEX('Equipo'!$B$5:$B$29,MATCH($B1036,'Equipo'!$A$5:$A$29,0))),0))),"")</f>
        <v/>
      </c>
      <c r="H1036" s="25">
        <f>IFERROR(IF(OR($B1036="",$C1036=""),"",IF(MATCH($C1036,'Ajustes'!$A$5:$A$8,0)=4,$D1036/INDEX('Equipo'!$B$5:$B$29,MATCH($B1036,'Equipo'!$A$5:$A$29,0))+$E1036,0)),"")</f>
        <v/>
      </c>
      <c r="I1036" s="26">
        <f>IF($B1036='Perfil'!$B$3,COUNTIF($B$4:$B1036,'Perfil'!$B$3),"")</f>
        <v/>
      </c>
    </row>
    <row r="1037">
      <c r="A1037" s="22" t="n"/>
      <c r="B1037" s="23" t="n"/>
      <c r="C1037" s="23" t="n"/>
      <c r="D1037" s="24" t="n"/>
      <c r="E1037" s="24" t="n"/>
      <c r="F1037" s="23" t="n"/>
      <c r="G1037" s="19">
        <f>IFERROR(IF(OR($B1037="",$C1037=""),"",IF(MATCH($C1037,'Ajustes'!$A$5:$A$8,0)&lt;=2,$D1037*INDEX('Ajustes'!$C$5:$C$6,MATCH($C1037,'Ajustes'!$A$5:$A$8,0)),IF(MATCH($C1037,'Ajustes'!$A$5:$A$8,0)=3,-($D1037+$E1037*INDEX('Equipo'!$B$5:$B$29,MATCH($B1037,'Equipo'!$A$5:$A$29,0))),0))),"")</f>
        <v/>
      </c>
      <c r="H1037" s="25">
        <f>IFERROR(IF(OR($B1037="",$C1037=""),"",IF(MATCH($C1037,'Ajustes'!$A$5:$A$8,0)=4,$D1037/INDEX('Equipo'!$B$5:$B$29,MATCH($B1037,'Equipo'!$A$5:$A$29,0))+$E1037,0)),"")</f>
        <v/>
      </c>
      <c r="I1037" s="26">
        <f>IF($B1037='Perfil'!$B$3,COUNTIF($B$4:$B1037,'Perfil'!$B$3),"")</f>
        <v/>
      </c>
    </row>
    <row r="1038">
      <c r="A1038" s="22" t="n"/>
      <c r="B1038" s="23" t="n"/>
      <c r="C1038" s="23" t="n"/>
      <c r="D1038" s="24" t="n"/>
      <c r="E1038" s="24" t="n"/>
      <c r="F1038" s="23" t="n"/>
      <c r="G1038" s="19">
        <f>IFERROR(IF(OR($B1038="",$C1038=""),"",IF(MATCH($C1038,'Ajustes'!$A$5:$A$8,0)&lt;=2,$D1038*INDEX('Ajustes'!$C$5:$C$6,MATCH($C1038,'Ajustes'!$A$5:$A$8,0)),IF(MATCH($C1038,'Ajustes'!$A$5:$A$8,0)=3,-($D1038+$E1038*INDEX('Equipo'!$B$5:$B$29,MATCH($B1038,'Equipo'!$A$5:$A$29,0))),0))),"")</f>
        <v/>
      </c>
      <c r="H1038" s="25">
        <f>IFERROR(IF(OR($B1038="",$C1038=""),"",IF(MATCH($C1038,'Ajustes'!$A$5:$A$8,0)=4,$D1038/INDEX('Equipo'!$B$5:$B$29,MATCH($B1038,'Equipo'!$A$5:$A$29,0))+$E1038,0)),"")</f>
        <v/>
      </c>
      <c r="I1038" s="26">
        <f>IF($B1038='Perfil'!$B$3,COUNTIF($B$4:$B1038,'Perfil'!$B$3),"")</f>
        <v/>
      </c>
    </row>
    <row r="1039">
      <c r="A1039" s="22" t="n"/>
      <c r="B1039" s="23" t="n"/>
      <c r="C1039" s="23" t="n"/>
      <c r="D1039" s="24" t="n"/>
      <c r="E1039" s="24" t="n"/>
      <c r="F1039" s="23" t="n"/>
      <c r="G1039" s="19">
        <f>IFERROR(IF(OR($B1039="",$C1039=""),"",IF(MATCH($C1039,'Ajustes'!$A$5:$A$8,0)&lt;=2,$D1039*INDEX('Ajustes'!$C$5:$C$6,MATCH($C1039,'Ajustes'!$A$5:$A$8,0)),IF(MATCH($C1039,'Ajustes'!$A$5:$A$8,0)=3,-($D1039+$E1039*INDEX('Equipo'!$B$5:$B$29,MATCH($B1039,'Equipo'!$A$5:$A$29,0))),0))),"")</f>
        <v/>
      </c>
      <c r="H1039" s="25">
        <f>IFERROR(IF(OR($B1039="",$C1039=""),"",IF(MATCH($C1039,'Ajustes'!$A$5:$A$8,0)=4,$D1039/INDEX('Equipo'!$B$5:$B$29,MATCH($B1039,'Equipo'!$A$5:$A$29,0))+$E1039,0)),"")</f>
        <v/>
      </c>
      <c r="I1039" s="26">
        <f>IF($B1039='Perfil'!$B$3,COUNTIF($B$4:$B1039,'Perfil'!$B$3),"")</f>
        <v/>
      </c>
    </row>
    <row r="1040">
      <c r="A1040" s="22" t="n"/>
      <c r="B1040" s="23" t="n"/>
      <c r="C1040" s="23" t="n"/>
      <c r="D1040" s="24" t="n"/>
      <c r="E1040" s="24" t="n"/>
      <c r="F1040" s="23" t="n"/>
      <c r="G1040" s="19">
        <f>IFERROR(IF(OR($B1040="",$C1040=""),"",IF(MATCH($C1040,'Ajustes'!$A$5:$A$8,0)&lt;=2,$D1040*INDEX('Ajustes'!$C$5:$C$6,MATCH($C1040,'Ajustes'!$A$5:$A$8,0)),IF(MATCH($C1040,'Ajustes'!$A$5:$A$8,0)=3,-($D1040+$E1040*INDEX('Equipo'!$B$5:$B$29,MATCH($B1040,'Equipo'!$A$5:$A$29,0))),0))),"")</f>
        <v/>
      </c>
      <c r="H1040" s="25">
        <f>IFERROR(IF(OR($B1040="",$C1040=""),"",IF(MATCH($C1040,'Ajustes'!$A$5:$A$8,0)=4,$D1040/INDEX('Equipo'!$B$5:$B$29,MATCH($B1040,'Equipo'!$A$5:$A$29,0))+$E1040,0)),"")</f>
        <v/>
      </c>
      <c r="I1040" s="26">
        <f>IF($B1040='Perfil'!$B$3,COUNTIF($B$4:$B1040,'Perfil'!$B$3),"")</f>
        <v/>
      </c>
    </row>
    <row r="1041">
      <c r="A1041" s="22" t="n"/>
      <c r="B1041" s="23" t="n"/>
      <c r="C1041" s="23" t="n"/>
      <c r="D1041" s="24" t="n"/>
      <c r="E1041" s="24" t="n"/>
      <c r="F1041" s="23" t="n"/>
      <c r="G1041" s="19">
        <f>IFERROR(IF(OR($B1041="",$C1041=""),"",IF(MATCH($C1041,'Ajustes'!$A$5:$A$8,0)&lt;=2,$D1041*INDEX('Ajustes'!$C$5:$C$6,MATCH($C1041,'Ajustes'!$A$5:$A$8,0)),IF(MATCH($C1041,'Ajustes'!$A$5:$A$8,0)=3,-($D1041+$E1041*INDEX('Equipo'!$B$5:$B$29,MATCH($B1041,'Equipo'!$A$5:$A$29,0))),0))),"")</f>
        <v/>
      </c>
      <c r="H1041" s="25">
        <f>IFERROR(IF(OR($B1041="",$C1041=""),"",IF(MATCH($C1041,'Ajustes'!$A$5:$A$8,0)=4,$D1041/INDEX('Equipo'!$B$5:$B$29,MATCH($B1041,'Equipo'!$A$5:$A$29,0))+$E1041,0)),"")</f>
        <v/>
      </c>
      <c r="I1041" s="26">
        <f>IF($B1041='Perfil'!$B$3,COUNTIF($B$4:$B1041,'Perfil'!$B$3),"")</f>
        <v/>
      </c>
    </row>
    <row r="1042">
      <c r="A1042" s="22" t="n"/>
      <c r="B1042" s="23" t="n"/>
      <c r="C1042" s="23" t="n"/>
      <c r="D1042" s="24" t="n"/>
      <c r="E1042" s="24" t="n"/>
      <c r="F1042" s="23" t="n"/>
      <c r="G1042" s="19">
        <f>IFERROR(IF(OR($B1042="",$C1042=""),"",IF(MATCH($C1042,'Ajustes'!$A$5:$A$8,0)&lt;=2,$D1042*INDEX('Ajustes'!$C$5:$C$6,MATCH($C1042,'Ajustes'!$A$5:$A$8,0)),IF(MATCH($C1042,'Ajustes'!$A$5:$A$8,0)=3,-($D1042+$E1042*INDEX('Equipo'!$B$5:$B$29,MATCH($B1042,'Equipo'!$A$5:$A$29,0))),0))),"")</f>
        <v/>
      </c>
      <c r="H1042" s="25">
        <f>IFERROR(IF(OR($B1042="",$C1042=""),"",IF(MATCH($C1042,'Ajustes'!$A$5:$A$8,0)=4,$D1042/INDEX('Equipo'!$B$5:$B$29,MATCH($B1042,'Equipo'!$A$5:$A$29,0))+$E1042,0)),"")</f>
        <v/>
      </c>
      <c r="I1042" s="26">
        <f>IF($B1042='Perfil'!$B$3,COUNTIF($B$4:$B1042,'Perfil'!$B$3),"")</f>
        <v/>
      </c>
    </row>
    <row r="1043">
      <c r="A1043" s="22" t="n"/>
      <c r="B1043" s="23" t="n"/>
      <c r="C1043" s="23" t="n"/>
      <c r="D1043" s="24" t="n"/>
      <c r="E1043" s="24" t="n"/>
      <c r="F1043" s="23" t="n"/>
      <c r="G1043" s="19">
        <f>IFERROR(IF(OR($B1043="",$C1043=""),"",IF(MATCH($C1043,'Ajustes'!$A$5:$A$8,0)&lt;=2,$D1043*INDEX('Ajustes'!$C$5:$C$6,MATCH($C1043,'Ajustes'!$A$5:$A$8,0)),IF(MATCH($C1043,'Ajustes'!$A$5:$A$8,0)=3,-($D1043+$E1043*INDEX('Equipo'!$B$5:$B$29,MATCH($B1043,'Equipo'!$A$5:$A$29,0))),0))),"")</f>
        <v/>
      </c>
      <c r="H1043" s="25">
        <f>IFERROR(IF(OR($B1043="",$C1043=""),"",IF(MATCH($C1043,'Ajustes'!$A$5:$A$8,0)=4,$D1043/INDEX('Equipo'!$B$5:$B$29,MATCH($B1043,'Equipo'!$A$5:$A$29,0))+$E1043,0)),"")</f>
        <v/>
      </c>
      <c r="I1043" s="26">
        <f>IF($B1043='Perfil'!$B$3,COUNTIF($B$4:$B1043,'Perfil'!$B$3),"")</f>
        <v/>
      </c>
    </row>
    <row r="1044">
      <c r="A1044" s="22" t="n"/>
      <c r="B1044" s="23" t="n"/>
      <c r="C1044" s="23" t="n"/>
      <c r="D1044" s="24" t="n"/>
      <c r="E1044" s="24" t="n"/>
      <c r="F1044" s="23" t="n"/>
      <c r="G1044" s="19">
        <f>IFERROR(IF(OR($B1044="",$C1044=""),"",IF(MATCH($C1044,'Ajustes'!$A$5:$A$8,0)&lt;=2,$D1044*INDEX('Ajustes'!$C$5:$C$6,MATCH($C1044,'Ajustes'!$A$5:$A$8,0)),IF(MATCH($C1044,'Ajustes'!$A$5:$A$8,0)=3,-($D1044+$E1044*INDEX('Equipo'!$B$5:$B$29,MATCH($B1044,'Equipo'!$A$5:$A$29,0))),0))),"")</f>
        <v/>
      </c>
      <c r="H1044" s="25">
        <f>IFERROR(IF(OR($B1044="",$C1044=""),"",IF(MATCH($C1044,'Ajustes'!$A$5:$A$8,0)=4,$D1044/INDEX('Equipo'!$B$5:$B$29,MATCH($B1044,'Equipo'!$A$5:$A$29,0))+$E1044,0)),"")</f>
        <v/>
      </c>
      <c r="I1044" s="26">
        <f>IF($B1044='Perfil'!$B$3,COUNTIF($B$4:$B1044,'Perfil'!$B$3),"")</f>
        <v/>
      </c>
    </row>
    <row r="1045">
      <c r="A1045" s="22" t="n"/>
      <c r="B1045" s="23" t="n"/>
      <c r="C1045" s="23" t="n"/>
      <c r="D1045" s="24" t="n"/>
      <c r="E1045" s="24" t="n"/>
      <c r="F1045" s="23" t="n"/>
      <c r="G1045" s="19">
        <f>IFERROR(IF(OR($B1045="",$C1045=""),"",IF(MATCH($C1045,'Ajustes'!$A$5:$A$8,0)&lt;=2,$D1045*INDEX('Ajustes'!$C$5:$C$6,MATCH($C1045,'Ajustes'!$A$5:$A$8,0)),IF(MATCH($C1045,'Ajustes'!$A$5:$A$8,0)=3,-($D1045+$E1045*INDEX('Equipo'!$B$5:$B$29,MATCH($B1045,'Equipo'!$A$5:$A$29,0))),0))),"")</f>
        <v/>
      </c>
      <c r="H1045" s="25">
        <f>IFERROR(IF(OR($B1045="",$C1045=""),"",IF(MATCH($C1045,'Ajustes'!$A$5:$A$8,0)=4,$D1045/INDEX('Equipo'!$B$5:$B$29,MATCH($B1045,'Equipo'!$A$5:$A$29,0))+$E1045,0)),"")</f>
        <v/>
      </c>
      <c r="I1045" s="26">
        <f>IF($B1045='Perfil'!$B$3,COUNTIF($B$4:$B1045,'Perfil'!$B$3),"")</f>
        <v/>
      </c>
    </row>
    <row r="1046">
      <c r="A1046" s="22" t="n"/>
      <c r="B1046" s="23" t="n"/>
      <c r="C1046" s="23" t="n"/>
      <c r="D1046" s="24" t="n"/>
      <c r="E1046" s="24" t="n"/>
      <c r="F1046" s="23" t="n"/>
      <c r="G1046" s="19">
        <f>IFERROR(IF(OR($B1046="",$C1046=""),"",IF(MATCH($C1046,'Ajustes'!$A$5:$A$8,0)&lt;=2,$D1046*INDEX('Ajustes'!$C$5:$C$6,MATCH($C1046,'Ajustes'!$A$5:$A$8,0)),IF(MATCH($C1046,'Ajustes'!$A$5:$A$8,0)=3,-($D1046+$E1046*INDEX('Equipo'!$B$5:$B$29,MATCH($B1046,'Equipo'!$A$5:$A$29,0))),0))),"")</f>
        <v/>
      </c>
      <c r="H1046" s="25">
        <f>IFERROR(IF(OR($B1046="",$C1046=""),"",IF(MATCH($C1046,'Ajustes'!$A$5:$A$8,0)=4,$D1046/INDEX('Equipo'!$B$5:$B$29,MATCH($B1046,'Equipo'!$A$5:$A$29,0))+$E1046,0)),"")</f>
        <v/>
      </c>
      <c r="I1046" s="26">
        <f>IF($B1046='Perfil'!$B$3,COUNTIF($B$4:$B1046,'Perfil'!$B$3),"")</f>
        <v/>
      </c>
    </row>
    <row r="1047">
      <c r="A1047" s="22" t="n"/>
      <c r="B1047" s="23" t="n"/>
      <c r="C1047" s="23" t="n"/>
      <c r="D1047" s="24" t="n"/>
      <c r="E1047" s="24" t="n"/>
      <c r="F1047" s="23" t="n"/>
      <c r="G1047" s="19">
        <f>IFERROR(IF(OR($B1047="",$C1047=""),"",IF(MATCH($C1047,'Ajustes'!$A$5:$A$8,0)&lt;=2,$D1047*INDEX('Ajustes'!$C$5:$C$6,MATCH($C1047,'Ajustes'!$A$5:$A$8,0)),IF(MATCH($C1047,'Ajustes'!$A$5:$A$8,0)=3,-($D1047+$E1047*INDEX('Equipo'!$B$5:$B$29,MATCH($B1047,'Equipo'!$A$5:$A$29,0))),0))),"")</f>
        <v/>
      </c>
      <c r="H1047" s="25">
        <f>IFERROR(IF(OR($B1047="",$C1047=""),"",IF(MATCH($C1047,'Ajustes'!$A$5:$A$8,0)=4,$D1047/INDEX('Equipo'!$B$5:$B$29,MATCH($B1047,'Equipo'!$A$5:$A$29,0))+$E1047,0)),"")</f>
        <v/>
      </c>
      <c r="I1047" s="26">
        <f>IF($B1047='Perfil'!$B$3,COUNTIF($B$4:$B1047,'Perfil'!$B$3),"")</f>
        <v/>
      </c>
    </row>
    <row r="1048">
      <c r="A1048" s="22" t="n"/>
      <c r="B1048" s="23" t="n"/>
      <c r="C1048" s="23" t="n"/>
      <c r="D1048" s="24" t="n"/>
      <c r="E1048" s="24" t="n"/>
      <c r="F1048" s="23" t="n"/>
      <c r="G1048" s="19">
        <f>IFERROR(IF(OR($B1048="",$C1048=""),"",IF(MATCH($C1048,'Ajustes'!$A$5:$A$8,0)&lt;=2,$D1048*INDEX('Ajustes'!$C$5:$C$6,MATCH($C1048,'Ajustes'!$A$5:$A$8,0)),IF(MATCH($C1048,'Ajustes'!$A$5:$A$8,0)=3,-($D1048+$E1048*INDEX('Equipo'!$B$5:$B$29,MATCH($B1048,'Equipo'!$A$5:$A$29,0))),0))),"")</f>
        <v/>
      </c>
      <c r="H1048" s="25">
        <f>IFERROR(IF(OR($B1048="",$C1048=""),"",IF(MATCH($C1048,'Ajustes'!$A$5:$A$8,0)=4,$D1048/INDEX('Equipo'!$B$5:$B$29,MATCH($B1048,'Equipo'!$A$5:$A$29,0))+$E1048,0)),"")</f>
        <v/>
      </c>
      <c r="I1048" s="26">
        <f>IF($B1048='Perfil'!$B$3,COUNTIF($B$4:$B1048,'Perfil'!$B$3),"")</f>
        <v/>
      </c>
    </row>
    <row r="1049">
      <c r="A1049" s="22" t="n"/>
      <c r="B1049" s="23" t="n"/>
      <c r="C1049" s="23" t="n"/>
      <c r="D1049" s="24" t="n"/>
      <c r="E1049" s="24" t="n"/>
      <c r="F1049" s="23" t="n"/>
      <c r="G1049" s="19">
        <f>IFERROR(IF(OR($B1049="",$C1049=""),"",IF(MATCH($C1049,'Ajustes'!$A$5:$A$8,0)&lt;=2,$D1049*INDEX('Ajustes'!$C$5:$C$6,MATCH($C1049,'Ajustes'!$A$5:$A$8,0)),IF(MATCH($C1049,'Ajustes'!$A$5:$A$8,0)=3,-($D1049+$E1049*INDEX('Equipo'!$B$5:$B$29,MATCH($B1049,'Equipo'!$A$5:$A$29,0))),0))),"")</f>
        <v/>
      </c>
      <c r="H1049" s="25">
        <f>IFERROR(IF(OR($B1049="",$C1049=""),"",IF(MATCH($C1049,'Ajustes'!$A$5:$A$8,0)=4,$D1049/INDEX('Equipo'!$B$5:$B$29,MATCH($B1049,'Equipo'!$A$5:$A$29,0))+$E1049,0)),"")</f>
        <v/>
      </c>
      <c r="I1049" s="26">
        <f>IF($B1049='Perfil'!$B$3,COUNTIF($B$4:$B1049,'Perfil'!$B$3),"")</f>
        <v/>
      </c>
    </row>
    <row r="1050">
      <c r="A1050" s="22" t="n"/>
      <c r="B1050" s="23" t="n"/>
      <c r="C1050" s="23" t="n"/>
      <c r="D1050" s="24" t="n"/>
      <c r="E1050" s="24" t="n"/>
      <c r="F1050" s="23" t="n"/>
      <c r="G1050" s="19">
        <f>IFERROR(IF(OR($B1050="",$C1050=""),"",IF(MATCH($C1050,'Ajustes'!$A$5:$A$8,0)&lt;=2,$D1050*INDEX('Ajustes'!$C$5:$C$6,MATCH($C1050,'Ajustes'!$A$5:$A$8,0)),IF(MATCH($C1050,'Ajustes'!$A$5:$A$8,0)=3,-($D1050+$E1050*INDEX('Equipo'!$B$5:$B$29,MATCH($B1050,'Equipo'!$A$5:$A$29,0))),0))),"")</f>
        <v/>
      </c>
      <c r="H1050" s="25">
        <f>IFERROR(IF(OR($B1050="",$C1050=""),"",IF(MATCH($C1050,'Ajustes'!$A$5:$A$8,0)=4,$D1050/INDEX('Equipo'!$B$5:$B$29,MATCH($B1050,'Equipo'!$A$5:$A$29,0))+$E1050,0)),"")</f>
        <v/>
      </c>
      <c r="I1050" s="26">
        <f>IF($B1050='Perfil'!$B$3,COUNTIF($B$4:$B1050,'Perfil'!$B$3),"")</f>
        <v/>
      </c>
    </row>
    <row r="1051">
      <c r="A1051" s="22" t="n"/>
      <c r="B1051" s="23" t="n"/>
      <c r="C1051" s="23" t="n"/>
      <c r="D1051" s="24" t="n"/>
      <c r="E1051" s="24" t="n"/>
      <c r="F1051" s="23" t="n"/>
      <c r="G1051" s="19">
        <f>IFERROR(IF(OR($B1051="",$C1051=""),"",IF(MATCH($C1051,'Ajustes'!$A$5:$A$8,0)&lt;=2,$D1051*INDEX('Ajustes'!$C$5:$C$6,MATCH($C1051,'Ajustes'!$A$5:$A$8,0)),IF(MATCH($C1051,'Ajustes'!$A$5:$A$8,0)=3,-($D1051+$E1051*INDEX('Equipo'!$B$5:$B$29,MATCH($B1051,'Equipo'!$A$5:$A$29,0))),0))),"")</f>
        <v/>
      </c>
      <c r="H1051" s="25">
        <f>IFERROR(IF(OR($B1051="",$C1051=""),"",IF(MATCH($C1051,'Ajustes'!$A$5:$A$8,0)=4,$D1051/INDEX('Equipo'!$B$5:$B$29,MATCH($B1051,'Equipo'!$A$5:$A$29,0))+$E1051,0)),"")</f>
        <v/>
      </c>
      <c r="I1051" s="26">
        <f>IF($B1051='Perfil'!$B$3,COUNTIF($B$4:$B1051,'Perfil'!$B$3),"")</f>
        <v/>
      </c>
    </row>
    <row r="1052">
      <c r="A1052" s="22" t="n"/>
      <c r="B1052" s="23" t="n"/>
      <c r="C1052" s="23" t="n"/>
      <c r="D1052" s="24" t="n"/>
      <c r="E1052" s="24" t="n"/>
      <c r="F1052" s="23" t="n"/>
      <c r="G1052" s="19">
        <f>IFERROR(IF(OR($B1052="",$C1052=""),"",IF(MATCH($C1052,'Ajustes'!$A$5:$A$8,0)&lt;=2,$D1052*INDEX('Ajustes'!$C$5:$C$6,MATCH($C1052,'Ajustes'!$A$5:$A$8,0)),IF(MATCH($C1052,'Ajustes'!$A$5:$A$8,0)=3,-($D1052+$E1052*INDEX('Equipo'!$B$5:$B$29,MATCH($B1052,'Equipo'!$A$5:$A$29,0))),0))),"")</f>
        <v/>
      </c>
      <c r="H1052" s="25">
        <f>IFERROR(IF(OR($B1052="",$C1052=""),"",IF(MATCH($C1052,'Ajustes'!$A$5:$A$8,0)=4,$D1052/INDEX('Equipo'!$B$5:$B$29,MATCH($B1052,'Equipo'!$A$5:$A$29,0))+$E1052,0)),"")</f>
        <v/>
      </c>
      <c r="I1052" s="26">
        <f>IF($B1052='Perfil'!$B$3,COUNTIF($B$4:$B1052,'Perfil'!$B$3),"")</f>
        <v/>
      </c>
    </row>
    <row r="1053">
      <c r="A1053" s="22" t="n"/>
      <c r="B1053" s="23" t="n"/>
      <c r="C1053" s="23" t="n"/>
      <c r="D1053" s="24" t="n"/>
      <c r="E1053" s="24" t="n"/>
      <c r="F1053" s="23" t="n"/>
      <c r="G1053" s="19">
        <f>IFERROR(IF(OR($B1053="",$C1053=""),"",IF(MATCH($C1053,'Ajustes'!$A$5:$A$8,0)&lt;=2,$D1053*INDEX('Ajustes'!$C$5:$C$6,MATCH($C1053,'Ajustes'!$A$5:$A$8,0)),IF(MATCH($C1053,'Ajustes'!$A$5:$A$8,0)=3,-($D1053+$E1053*INDEX('Equipo'!$B$5:$B$29,MATCH($B1053,'Equipo'!$A$5:$A$29,0))),0))),"")</f>
        <v/>
      </c>
      <c r="H1053" s="25">
        <f>IFERROR(IF(OR($B1053="",$C1053=""),"",IF(MATCH($C1053,'Ajustes'!$A$5:$A$8,0)=4,$D1053/INDEX('Equipo'!$B$5:$B$29,MATCH($B1053,'Equipo'!$A$5:$A$29,0))+$E1053,0)),"")</f>
        <v/>
      </c>
      <c r="I1053" s="26">
        <f>IF($B1053='Perfil'!$B$3,COUNTIF($B$4:$B1053,'Perfil'!$B$3),"")</f>
        <v/>
      </c>
    </row>
    <row r="1054">
      <c r="A1054" s="22" t="n"/>
      <c r="B1054" s="23" t="n"/>
      <c r="C1054" s="23" t="n"/>
      <c r="D1054" s="24" t="n"/>
      <c r="E1054" s="24" t="n"/>
      <c r="F1054" s="23" t="n"/>
      <c r="G1054" s="19">
        <f>IFERROR(IF(OR($B1054="",$C1054=""),"",IF(MATCH($C1054,'Ajustes'!$A$5:$A$8,0)&lt;=2,$D1054*INDEX('Ajustes'!$C$5:$C$6,MATCH($C1054,'Ajustes'!$A$5:$A$8,0)),IF(MATCH($C1054,'Ajustes'!$A$5:$A$8,0)=3,-($D1054+$E1054*INDEX('Equipo'!$B$5:$B$29,MATCH($B1054,'Equipo'!$A$5:$A$29,0))),0))),"")</f>
        <v/>
      </c>
      <c r="H1054" s="25">
        <f>IFERROR(IF(OR($B1054="",$C1054=""),"",IF(MATCH($C1054,'Ajustes'!$A$5:$A$8,0)=4,$D1054/INDEX('Equipo'!$B$5:$B$29,MATCH($B1054,'Equipo'!$A$5:$A$29,0))+$E1054,0)),"")</f>
        <v/>
      </c>
      <c r="I1054" s="26">
        <f>IF($B1054='Perfil'!$B$3,COUNTIF($B$4:$B1054,'Perfil'!$B$3),"")</f>
        <v/>
      </c>
    </row>
    <row r="1055">
      <c r="A1055" s="22" t="n"/>
      <c r="B1055" s="23" t="n"/>
      <c r="C1055" s="23" t="n"/>
      <c r="D1055" s="24" t="n"/>
      <c r="E1055" s="24" t="n"/>
      <c r="F1055" s="23" t="n"/>
      <c r="G1055" s="19">
        <f>IFERROR(IF(OR($B1055="",$C1055=""),"",IF(MATCH($C1055,'Ajustes'!$A$5:$A$8,0)&lt;=2,$D1055*INDEX('Ajustes'!$C$5:$C$6,MATCH($C1055,'Ajustes'!$A$5:$A$8,0)),IF(MATCH($C1055,'Ajustes'!$A$5:$A$8,0)=3,-($D1055+$E1055*INDEX('Equipo'!$B$5:$B$29,MATCH($B1055,'Equipo'!$A$5:$A$29,0))),0))),"")</f>
        <v/>
      </c>
      <c r="H1055" s="25">
        <f>IFERROR(IF(OR($B1055="",$C1055=""),"",IF(MATCH($C1055,'Ajustes'!$A$5:$A$8,0)=4,$D1055/INDEX('Equipo'!$B$5:$B$29,MATCH($B1055,'Equipo'!$A$5:$A$29,0))+$E1055,0)),"")</f>
        <v/>
      </c>
      <c r="I1055" s="26">
        <f>IF($B1055='Perfil'!$B$3,COUNTIF($B$4:$B1055,'Perfil'!$B$3),"")</f>
        <v/>
      </c>
    </row>
    <row r="1056">
      <c r="A1056" s="22" t="n"/>
      <c r="B1056" s="23" t="n"/>
      <c r="C1056" s="23" t="n"/>
      <c r="D1056" s="24" t="n"/>
      <c r="E1056" s="24" t="n"/>
      <c r="F1056" s="23" t="n"/>
      <c r="G1056" s="19">
        <f>IFERROR(IF(OR($B1056="",$C1056=""),"",IF(MATCH($C1056,'Ajustes'!$A$5:$A$8,0)&lt;=2,$D1056*INDEX('Ajustes'!$C$5:$C$6,MATCH($C1056,'Ajustes'!$A$5:$A$8,0)),IF(MATCH($C1056,'Ajustes'!$A$5:$A$8,0)=3,-($D1056+$E1056*INDEX('Equipo'!$B$5:$B$29,MATCH($B1056,'Equipo'!$A$5:$A$29,0))),0))),"")</f>
        <v/>
      </c>
      <c r="H1056" s="25">
        <f>IFERROR(IF(OR($B1056="",$C1056=""),"",IF(MATCH($C1056,'Ajustes'!$A$5:$A$8,0)=4,$D1056/INDEX('Equipo'!$B$5:$B$29,MATCH($B1056,'Equipo'!$A$5:$A$29,0))+$E1056,0)),"")</f>
        <v/>
      </c>
      <c r="I1056" s="26">
        <f>IF($B1056='Perfil'!$B$3,COUNTIF($B$4:$B1056,'Perfil'!$B$3),"")</f>
        <v/>
      </c>
    </row>
    <row r="1057">
      <c r="A1057" s="22" t="n"/>
      <c r="B1057" s="23" t="n"/>
      <c r="C1057" s="23" t="n"/>
      <c r="D1057" s="24" t="n"/>
      <c r="E1057" s="24" t="n"/>
      <c r="F1057" s="23" t="n"/>
      <c r="G1057" s="19">
        <f>IFERROR(IF(OR($B1057="",$C1057=""),"",IF(MATCH($C1057,'Ajustes'!$A$5:$A$8,0)&lt;=2,$D1057*INDEX('Ajustes'!$C$5:$C$6,MATCH($C1057,'Ajustes'!$A$5:$A$8,0)),IF(MATCH($C1057,'Ajustes'!$A$5:$A$8,0)=3,-($D1057+$E1057*INDEX('Equipo'!$B$5:$B$29,MATCH($B1057,'Equipo'!$A$5:$A$29,0))),0))),"")</f>
        <v/>
      </c>
      <c r="H1057" s="25">
        <f>IFERROR(IF(OR($B1057="",$C1057=""),"",IF(MATCH($C1057,'Ajustes'!$A$5:$A$8,0)=4,$D1057/INDEX('Equipo'!$B$5:$B$29,MATCH($B1057,'Equipo'!$A$5:$A$29,0))+$E1057,0)),"")</f>
        <v/>
      </c>
      <c r="I1057" s="26">
        <f>IF($B1057='Perfil'!$B$3,COUNTIF($B$4:$B1057,'Perfil'!$B$3),"")</f>
        <v/>
      </c>
    </row>
    <row r="1058">
      <c r="A1058" s="22" t="n"/>
      <c r="B1058" s="23" t="n"/>
      <c r="C1058" s="23" t="n"/>
      <c r="D1058" s="24" t="n"/>
      <c r="E1058" s="24" t="n"/>
      <c r="F1058" s="23" t="n"/>
      <c r="G1058" s="19">
        <f>IFERROR(IF(OR($B1058="",$C1058=""),"",IF(MATCH($C1058,'Ajustes'!$A$5:$A$8,0)&lt;=2,$D1058*INDEX('Ajustes'!$C$5:$C$6,MATCH($C1058,'Ajustes'!$A$5:$A$8,0)),IF(MATCH($C1058,'Ajustes'!$A$5:$A$8,0)=3,-($D1058+$E1058*INDEX('Equipo'!$B$5:$B$29,MATCH($B1058,'Equipo'!$A$5:$A$29,0))),0))),"")</f>
        <v/>
      </c>
      <c r="H1058" s="25">
        <f>IFERROR(IF(OR($B1058="",$C1058=""),"",IF(MATCH($C1058,'Ajustes'!$A$5:$A$8,0)=4,$D1058/INDEX('Equipo'!$B$5:$B$29,MATCH($B1058,'Equipo'!$A$5:$A$29,0))+$E1058,0)),"")</f>
        <v/>
      </c>
      <c r="I1058" s="26">
        <f>IF($B1058='Perfil'!$B$3,COUNTIF($B$4:$B1058,'Perfil'!$B$3),"")</f>
        <v/>
      </c>
    </row>
    <row r="1059">
      <c r="A1059" s="22" t="n"/>
      <c r="B1059" s="23" t="n"/>
      <c r="C1059" s="23" t="n"/>
      <c r="D1059" s="24" t="n"/>
      <c r="E1059" s="24" t="n"/>
      <c r="F1059" s="23" t="n"/>
      <c r="G1059" s="19">
        <f>IFERROR(IF(OR($B1059="",$C1059=""),"",IF(MATCH($C1059,'Ajustes'!$A$5:$A$8,0)&lt;=2,$D1059*INDEX('Ajustes'!$C$5:$C$6,MATCH($C1059,'Ajustes'!$A$5:$A$8,0)),IF(MATCH($C1059,'Ajustes'!$A$5:$A$8,0)=3,-($D1059+$E1059*INDEX('Equipo'!$B$5:$B$29,MATCH($B1059,'Equipo'!$A$5:$A$29,0))),0))),"")</f>
        <v/>
      </c>
      <c r="H1059" s="25">
        <f>IFERROR(IF(OR($B1059="",$C1059=""),"",IF(MATCH($C1059,'Ajustes'!$A$5:$A$8,0)=4,$D1059/INDEX('Equipo'!$B$5:$B$29,MATCH($B1059,'Equipo'!$A$5:$A$29,0))+$E1059,0)),"")</f>
        <v/>
      </c>
      <c r="I1059" s="26">
        <f>IF($B1059='Perfil'!$B$3,COUNTIF($B$4:$B1059,'Perfil'!$B$3),"")</f>
        <v/>
      </c>
    </row>
    <row r="1060">
      <c r="A1060" s="22" t="n"/>
      <c r="B1060" s="23" t="n"/>
      <c r="C1060" s="23" t="n"/>
      <c r="D1060" s="24" t="n"/>
      <c r="E1060" s="24" t="n"/>
      <c r="F1060" s="23" t="n"/>
      <c r="G1060" s="19">
        <f>IFERROR(IF(OR($B1060="",$C1060=""),"",IF(MATCH($C1060,'Ajustes'!$A$5:$A$8,0)&lt;=2,$D1060*INDEX('Ajustes'!$C$5:$C$6,MATCH($C1060,'Ajustes'!$A$5:$A$8,0)),IF(MATCH($C1060,'Ajustes'!$A$5:$A$8,0)=3,-($D1060+$E1060*INDEX('Equipo'!$B$5:$B$29,MATCH($B1060,'Equipo'!$A$5:$A$29,0))),0))),"")</f>
        <v/>
      </c>
      <c r="H1060" s="25">
        <f>IFERROR(IF(OR($B1060="",$C1060=""),"",IF(MATCH($C1060,'Ajustes'!$A$5:$A$8,0)=4,$D1060/INDEX('Equipo'!$B$5:$B$29,MATCH($B1060,'Equipo'!$A$5:$A$29,0))+$E1060,0)),"")</f>
        <v/>
      </c>
      <c r="I1060" s="26">
        <f>IF($B1060='Perfil'!$B$3,COUNTIF($B$4:$B1060,'Perfil'!$B$3),"")</f>
        <v/>
      </c>
    </row>
    <row r="1061">
      <c r="A1061" s="22" t="n"/>
      <c r="B1061" s="23" t="n"/>
      <c r="C1061" s="23" t="n"/>
      <c r="D1061" s="24" t="n"/>
      <c r="E1061" s="24" t="n"/>
      <c r="F1061" s="23" t="n"/>
      <c r="G1061" s="19">
        <f>IFERROR(IF(OR($B1061="",$C1061=""),"",IF(MATCH($C1061,'Ajustes'!$A$5:$A$8,0)&lt;=2,$D1061*INDEX('Ajustes'!$C$5:$C$6,MATCH($C1061,'Ajustes'!$A$5:$A$8,0)),IF(MATCH($C1061,'Ajustes'!$A$5:$A$8,0)=3,-($D1061+$E1061*INDEX('Equipo'!$B$5:$B$29,MATCH($B1061,'Equipo'!$A$5:$A$29,0))),0))),"")</f>
        <v/>
      </c>
      <c r="H1061" s="25">
        <f>IFERROR(IF(OR($B1061="",$C1061=""),"",IF(MATCH($C1061,'Ajustes'!$A$5:$A$8,0)=4,$D1061/INDEX('Equipo'!$B$5:$B$29,MATCH($B1061,'Equipo'!$A$5:$A$29,0))+$E1061,0)),"")</f>
        <v/>
      </c>
      <c r="I1061" s="26">
        <f>IF($B1061='Perfil'!$B$3,COUNTIF($B$4:$B1061,'Perfil'!$B$3),"")</f>
        <v/>
      </c>
    </row>
    <row r="1062">
      <c r="A1062" s="22" t="n"/>
      <c r="B1062" s="23" t="n"/>
      <c r="C1062" s="23" t="n"/>
      <c r="D1062" s="24" t="n"/>
      <c r="E1062" s="24" t="n"/>
      <c r="F1062" s="23" t="n"/>
      <c r="G1062" s="19">
        <f>IFERROR(IF(OR($B1062="",$C1062=""),"",IF(MATCH($C1062,'Ajustes'!$A$5:$A$8,0)&lt;=2,$D1062*INDEX('Ajustes'!$C$5:$C$6,MATCH($C1062,'Ajustes'!$A$5:$A$8,0)),IF(MATCH($C1062,'Ajustes'!$A$5:$A$8,0)=3,-($D1062+$E1062*INDEX('Equipo'!$B$5:$B$29,MATCH($B1062,'Equipo'!$A$5:$A$29,0))),0))),"")</f>
        <v/>
      </c>
      <c r="H1062" s="25">
        <f>IFERROR(IF(OR($B1062="",$C1062=""),"",IF(MATCH($C1062,'Ajustes'!$A$5:$A$8,0)=4,$D1062/INDEX('Equipo'!$B$5:$B$29,MATCH($B1062,'Equipo'!$A$5:$A$29,0))+$E1062,0)),"")</f>
        <v/>
      </c>
      <c r="I1062" s="26">
        <f>IF($B1062='Perfil'!$B$3,COUNTIF($B$4:$B1062,'Perfil'!$B$3),"")</f>
        <v/>
      </c>
    </row>
    <row r="1063">
      <c r="A1063" s="22" t="n"/>
      <c r="B1063" s="23" t="n"/>
      <c r="C1063" s="23" t="n"/>
      <c r="D1063" s="24" t="n"/>
      <c r="E1063" s="24" t="n"/>
      <c r="F1063" s="23" t="n"/>
      <c r="G1063" s="19">
        <f>IFERROR(IF(OR($B1063="",$C1063=""),"",IF(MATCH($C1063,'Ajustes'!$A$5:$A$8,0)&lt;=2,$D1063*INDEX('Ajustes'!$C$5:$C$6,MATCH($C1063,'Ajustes'!$A$5:$A$8,0)),IF(MATCH($C1063,'Ajustes'!$A$5:$A$8,0)=3,-($D1063+$E1063*INDEX('Equipo'!$B$5:$B$29,MATCH($B1063,'Equipo'!$A$5:$A$29,0))),0))),"")</f>
        <v/>
      </c>
      <c r="H1063" s="25">
        <f>IFERROR(IF(OR($B1063="",$C1063=""),"",IF(MATCH($C1063,'Ajustes'!$A$5:$A$8,0)=4,$D1063/INDEX('Equipo'!$B$5:$B$29,MATCH($B1063,'Equipo'!$A$5:$A$29,0))+$E1063,0)),"")</f>
        <v/>
      </c>
      <c r="I1063" s="26">
        <f>IF($B1063='Perfil'!$B$3,COUNTIF($B$4:$B1063,'Perfil'!$B$3),"")</f>
        <v/>
      </c>
    </row>
    <row r="1064">
      <c r="A1064" s="22" t="n"/>
      <c r="B1064" s="23" t="n"/>
      <c r="C1064" s="23" t="n"/>
      <c r="D1064" s="24" t="n"/>
      <c r="E1064" s="24" t="n"/>
      <c r="F1064" s="23" t="n"/>
      <c r="G1064" s="19">
        <f>IFERROR(IF(OR($B1064="",$C1064=""),"",IF(MATCH($C1064,'Ajustes'!$A$5:$A$8,0)&lt;=2,$D1064*INDEX('Ajustes'!$C$5:$C$6,MATCH($C1064,'Ajustes'!$A$5:$A$8,0)),IF(MATCH($C1064,'Ajustes'!$A$5:$A$8,0)=3,-($D1064+$E1064*INDEX('Equipo'!$B$5:$B$29,MATCH($B1064,'Equipo'!$A$5:$A$29,0))),0))),"")</f>
        <v/>
      </c>
      <c r="H1064" s="25">
        <f>IFERROR(IF(OR($B1064="",$C1064=""),"",IF(MATCH($C1064,'Ajustes'!$A$5:$A$8,0)=4,$D1064/INDEX('Equipo'!$B$5:$B$29,MATCH($B1064,'Equipo'!$A$5:$A$29,0))+$E1064,0)),"")</f>
        <v/>
      </c>
      <c r="I1064" s="26">
        <f>IF($B1064='Perfil'!$B$3,COUNTIF($B$4:$B1064,'Perfil'!$B$3),"")</f>
        <v/>
      </c>
    </row>
    <row r="1065">
      <c r="A1065" s="22" t="n"/>
      <c r="B1065" s="23" t="n"/>
      <c r="C1065" s="23" t="n"/>
      <c r="D1065" s="24" t="n"/>
      <c r="E1065" s="24" t="n"/>
      <c r="F1065" s="23" t="n"/>
      <c r="G1065" s="19">
        <f>IFERROR(IF(OR($B1065="",$C1065=""),"",IF(MATCH($C1065,'Ajustes'!$A$5:$A$8,0)&lt;=2,$D1065*INDEX('Ajustes'!$C$5:$C$6,MATCH($C1065,'Ajustes'!$A$5:$A$8,0)),IF(MATCH($C1065,'Ajustes'!$A$5:$A$8,0)=3,-($D1065+$E1065*INDEX('Equipo'!$B$5:$B$29,MATCH($B1065,'Equipo'!$A$5:$A$29,0))),0))),"")</f>
        <v/>
      </c>
      <c r="H1065" s="25">
        <f>IFERROR(IF(OR($B1065="",$C1065=""),"",IF(MATCH($C1065,'Ajustes'!$A$5:$A$8,0)=4,$D1065/INDEX('Equipo'!$B$5:$B$29,MATCH($B1065,'Equipo'!$A$5:$A$29,0))+$E1065,0)),"")</f>
        <v/>
      </c>
      <c r="I1065" s="26">
        <f>IF($B1065='Perfil'!$B$3,COUNTIF($B$4:$B1065,'Perfil'!$B$3),"")</f>
        <v/>
      </c>
    </row>
    <row r="1066">
      <c r="A1066" s="22" t="n"/>
      <c r="B1066" s="23" t="n"/>
      <c r="C1066" s="23" t="n"/>
      <c r="D1066" s="24" t="n"/>
      <c r="E1066" s="24" t="n"/>
      <c r="F1066" s="23" t="n"/>
      <c r="G1066" s="19">
        <f>IFERROR(IF(OR($B1066="",$C1066=""),"",IF(MATCH($C1066,'Ajustes'!$A$5:$A$8,0)&lt;=2,$D1066*INDEX('Ajustes'!$C$5:$C$6,MATCH($C1066,'Ajustes'!$A$5:$A$8,0)),IF(MATCH($C1066,'Ajustes'!$A$5:$A$8,0)=3,-($D1066+$E1066*INDEX('Equipo'!$B$5:$B$29,MATCH($B1066,'Equipo'!$A$5:$A$29,0))),0))),"")</f>
        <v/>
      </c>
      <c r="H1066" s="25">
        <f>IFERROR(IF(OR($B1066="",$C1066=""),"",IF(MATCH($C1066,'Ajustes'!$A$5:$A$8,0)=4,$D1066/INDEX('Equipo'!$B$5:$B$29,MATCH($B1066,'Equipo'!$A$5:$A$29,0))+$E1066,0)),"")</f>
        <v/>
      </c>
      <c r="I1066" s="26">
        <f>IF($B1066='Perfil'!$B$3,COUNTIF($B$4:$B1066,'Perfil'!$B$3),"")</f>
        <v/>
      </c>
    </row>
    <row r="1067">
      <c r="A1067" s="22" t="n"/>
      <c r="B1067" s="23" t="n"/>
      <c r="C1067" s="23" t="n"/>
      <c r="D1067" s="24" t="n"/>
      <c r="E1067" s="24" t="n"/>
      <c r="F1067" s="23" t="n"/>
      <c r="G1067" s="19">
        <f>IFERROR(IF(OR($B1067="",$C1067=""),"",IF(MATCH($C1067,'Ajustes'!$A$5:$A$8,0)&lt;=2,$D1067*INDEX('Ajustes'!$C$5:$C$6,MATCH($C1067,'Ajustes'!$A$5:$A$8,0)),IF(MATCH($C1067,'Ajustes'!$A$5:$A$8,0)=3,-($D1067+$E1067*INDEX('Equipo'!$B$5:$B$29,MATCH($B1067,'Equipo'!$A$5:$A$29,0))),0))),"")</f>
        <v/>
      </c>
      <c r="H1067" s="25">
        <f>IFERROR(IF(OR($B1067="",$C1067=""),"",IF(MATCH($C1067,'Ajustes'!$A$5:$A$8,0)=4,$D1067/INDEX('Equipo'!$B$5:$B$29,MATCH($B1067,'Equipo'!$A$5:$A$29,0))+$E1067,0)),"")</f>
        <v/>
      </c>
      <c r="I1067" s="26">
        <f>IF($B1067='Perfil'!$B$3,COUNTIF($B$4:$B1067,'Perfil'!$B$3),"")</f>
        <v/>
      </c>
    </row>
    <row r="1068">
      <c r="A1068" s="22" t="n"/>
      <c r="B1068" s="23" t="n"/>
      <c r="C1068" s="23" t="n"/>
      <c r="D1068" s="24" t="n"/>
      <c r="E1068" s="24" t="n"/>
      <c r="F1068" s="23" t="n"/>
      <c r="G1068" s="19">
        <f>IFERROR(IF(OR($B1068="",$C1068=""),"",IF(MATCH($C1068,'Ajustes'!$A$5:$A$8,0)&lt;=2,$D1068*INDEX('Ajustes'!$C$5:$C$6,MATCH($C1068,'Ajustes'!$A$5:$A$8,0)),IF(MATCH($C1068,'Ajustes'!$A$5:$A$8,0)=3,-($D1068+$E1068*INDEX('Equipo'!$B$5:$B$29,MATCH($B1068,'Equipo'!$A$5:$A$29,0))),0))),"")</f>
        <v/>
      </c>
      <c r="H1068" s="25">
        <f>IFERROR(IF(OR($B1068="",$C1068=""),"",IF(MATCH($C1068,'Ajustes'!$A$5:$A$8,0)=4,$D1068/INDEX('Equipo'!$B$5:$B$29,MATCH($B1068,'Equipo'!$A$5:$A$29,0))+$E1068,0)),"")</f>
        <v/>
      </c>
      <c r="I1068" s="26">
        <f>IF($B1068='Perfil'!$B$3,COUNTIF($B$4:$B1068,'Perfil'!$B$3),"")</f>
        <v/>
      </c>
    </row>
    <row r="1069">
      <c r="A1069" s="22" t="n"/>
      <c r="B1069" s="23" t="n"/>
      <c r="C1069" s="23" t="n"/>
      <c r="D1069" s="24" t="n"/>
      <c r="E1069" s="24" t="n"/>
      <c r="F1069" s="23" t="n"/>
      <c r="G1069" s="19">
        <f>IFERROR(IF(OR($B1069="",$C1069=""),"",IF(MATCH($C1069,'Ajustes'!$A$5:$A$8,0)&lt;=2,$D1069*INDEX('Ajustes'!$C$5:$C$6,MATCH($C1069,'Ajustes'!$A$5:$A$8,0)),IF(MATCH($C1069,'Ajustes'!$A$5:$A$8,0)=3,-($D1069+$E1069*INDEX('Equipo'!$B$5:$B$29,MATCH($B1069,'Equipo'!$A$5:$A$29,0))),0))),"")</f>
        <v/>
      </c>
      <c r="H1069" s="25">
        <f>IFERROR(IF(OR($B1069="",$C1069=""),"",IF(MATCH($C1069,'Ajustes'!$A$5:$A$8,0)=4,$D1069/INDEX('Equipo'!$B$5:$B$29,MATCH($B1069,'Equipo'!$A$5:$A$29,0))+$E1069,0)),"")</f>
        <v/>
      </c>
      <c r="I1069" s="26">
        <f>IF($B1069='Perfil'!$B$3,COUNTIF($B$4:$B1069,'Perfil'!$B$3),"")</f>
        <v/>
      </c>
    </row>
    <row r="1070">
      <c r="A1070" s="22" t="n"/>
      <c r="B1070" s="23" t="n"/>
      <c r="C1070" s="23" t="n"/>
      <c r="D1070" s="24" t="n"/>
      <c r="E1070" s="24" t="n"/>
      <c r="F1070" s="23" t="n"/>
      <c r="G1070" s="19">
        <f>IFERROR(IF(OR($B1070="",$C1070=""),"",IF(MATCH($C1070,'Ajustes'!$A$5:$A$8,0)&lt;=2,$D1070*INDEX('Ajustes'!$C$5:$C$6,MATCH($C1070,'Ajustes'!$A$5:$A$8,0)),IF(MATCH($C1070,'Ajustes'!$A$5:$A$8,0)=3,-($D1070+$E1070*INDEX('Equipo'!$B$5:$B$29,MATCH($B1070,'Equipo'!$A$5:$A$29,0))),0))),"")</f>
        <v/>
      </c>
      <c r="H1070" s="25">
        <f>IFERROR(IF(OR($B1070="",$C1070=""),"",IF(MATCH($C1070,'Ajustes'!$A$5:$A$8,0)=4,$D1070/INDEX('Equipo'!$B$5:$B$29,MATCH($B1070,'Equipo'!$A$5:$A$29,0))+$E1070,0)),"")</f>
        <v/>
      </c>
      <c r="I1070" s="26">
        <f>IF($B1070='Perfil'!$B$3,COUNTIF($B$4:$B1070,'Perfil'!$B$3),"")</f>
        <v/>
      </c>
    </row>
    <row r="1071">
      <c r="A1071" s="22" t="n"/>
      <c r="B1071" s="23" t="n"/>
      <c r="C1071" s="23" t="n"/>
      <c r="D1071" s="24" t="n"/>
      <c r="E1071" s="24" t="n"/>
      <c r="F1071" s="23" t="n"/>
      <c r="G1071" s="19">
        <f>IFERROR(IF(OR($B1071="",$C1071=""),"",IF(MATCH($C1071,'Ajustes'!$A$5:$A$8,0)&lt;=2,$D1071*INDEX('Ajustes'!$C$5:$C$6,MATCH($C1071,'Ajustes'!$A$5:$A$8,0)),IF(MATCH($C1071,'Ajustes'!$A$5:$A$8,0)=3,-($D1071+$E1071*INDEX('Equipo'!$B$5:$B$29,MATCH($B1071,'Equipo'!$A$5:$A$29,0))),0))),"")</f>
        <v/>
      </c>
      <c r="H1071" s="25">
        <f>IFERROR(IF(OR($B1071="",$C1071=""),"",IF(MATCH($C1071,'Ajustes'!$A$5:$A$8,0)=4,$D1071/INDEX('Equipo'!$B$5:$B$29,MATCH($B1071,'Equipo'!$A$5:$A$29,0))+$E1071,0)),"")</f>
        <v/>
      </c>
      <c r="I1071" s="26">
        <f>IF($B1071='Perfil'!$B$3,COUNTIF($B$4:$B1071,'Perfil'!$B$3),"")</f>
        <v/>
      </c>
    </row>
    <row r="1072">
      <c r="A1072" s="22" t="n"/>
      <c r="B1072" s="23" t="n"/>
      <c r="C1072" s="23" t="n"/>
      <c r="D1072" s="24" t="n"/>
      <c r="E1072" s="24" t="n"/>
      <c r="F1072" s="23" t="n"/>
      <c r="G1072" s="19">
        <f>IFERROR(IF(OR($B1072="",$C1072=""),"",IF(MATCH($C1072,'Ajustes'!$A$5:$A$8,0)&lt;=2,$D1072*INDEX('Ajustes'!$C$5:$C$6,MATCH($C1072,'Ajustes'!$A$5:$A$8,0)),IF(MATCH($C1072,'Ajustes'!$A$5:$A$8,0)=3,-($D1072+$E1072*INDEX('Equipo'!$B$5:$B$29,MATCH($B1072,'Equipo'!$A$5:$A$29,0))),0))),"")</f>
        <v/>
      </c>
      <c r="H1072" s="25">
        <f>IFERROR(IF(OR($B1072="",$C1072=""),"",IF(MATCH($C1072,'Ajustes'!$A$5:$A$8,0)=4,$D1072/INDEX('Equipo'!$B$5:$B$29,MATCH($B1072,'Equipo'!$A$5:$A$29,0))+$E1072,0)),"")</f>
        <v/>
      </c>
      <c r="I1072" s="26">
        <f>IF($B1072='Perfil'!$B$3,COUNTIF($B$4:$B1072,'Perfil'!$B$3),"")</f>
        <v/>
      </c>
    </row>
    <row r="1073">
      <c r="A1073" s="22" t="n"/>
      <c r="B1073" s="23" t="n"/>
      <c r="C1073" s="23" t="n"/>
      <c r="D1073" s="24" t="n"/>
      <c r="E1073" s="24" t="n"/>
      <c r="F1073" s="23" t="n"/>
      <c r="G1073" s="19">
        <f>IFERROR(IF(OR($B1073="",$C1073=""),"",IF(MATCH($C1073,'Ajustes'!$A$5:$A$8,0)&lt;=2,$D1073*INDEX('Ajustes'!$C$5:$C$6,MATCH($C1073,'Ajustes'!$A$5:$A$8,0)),IF(MATCH($C1073,'Ajustes'!$A$5:$A$8,0)=3,-($D1073+$E1073*INDEX('Equipo'!$B$5:$B$29,MATCH($B1073,'Equipo'!$A$5:$A$29,0))),0))),"")</f>
        <v/>
      </c>
      <c r="H1073" s="25">
        <f>IFERROR(IF(OR($B1073="",$C1073=""),"",IF(MATCH($C1073,'Ajustes'!$A$5:$A$8,0)=4,$D1073/INDEX('Equipo'!$B$5:$B$29,MATCH($B1073,'Equipo'!$A$5:$A$29,0))+$E1073,0)),"")</f>
        <v/>
      </c>
      <c r="I1073" s="26">
        <f>IF($B1073='Perfil'!$B$3,COUNTIF($B$4:$B1073,'Perfil'!$B$3),"")</f>
        <v/>
      </c>
    </row>
    <row r="1074">
      <c r="A1074" s="22" t="n"/>
      <c r="B1074" s="23" t="n"/>
      <c r="C1074" s="23" t="n"/>
      <c r="D1074" s="24" t="n"/>
      <c r="E1074" s="24" t="n"/>
      <c r="F1074" s="23" t="n"/>
      <c r="G1074" s="19">
        <f>IFERROR(IF(OR($B1074="",$C1074=""),"",IF(MATCH($C1074,'Ajustes'!$A$5:$A$8,0)&lt;=2,$D1074*INDEX('Ajustes'!$C$5:$C$6,MATCH($C1074,'Ajustes'!$A$5:$A$8,0)),IF(MATCH($C1074,'Ajustes'!$A$5:$A$8,0)=3,-($D1074+$E1074*INDEX('Equipo'!$B$5:$B$29,MATCH($B1074,'Equipo'!$A$5:$A$29,0))),0))),"")</f>
        <v/>
      </c>
      <c r="H1074" s="25">
        <f>IFERROR(IF(OR($B1074="",$C1074=""),"",IF(MATCH($C1074,'Ajustes'!$A$5:$A$8,0)=4,$D1074/INDEX('Equipo'!$B$5:$B$29,MATCH($B1074,'Equipo'!$A$5:$A$29,0))+$E1074,0)),"")</f>
        <v/>
      </c>
      <c r="I1074" s="26">
        <f>IF($B1074='Perfil'!$B$3,COUNTIF($B$4:$B1074,'Perfil'!$B$3),"")</f>
        <v/>
      </c>
    </row>
    <row r="1075">
      <c r="A1075" s="22" t="n"/>
      <c r="B1075" s="23" t="n"/>
      <c r="C1075" s="23" t="n"/>
      <c r="D1075" s="24" t="n"/>
      <c r="E1075" s="24" t="n"/>
      <c r="F1075" s="23" t="n"/>
      <c r="G1075" s="19">
        <f>IFERROR(IF(OR($B1075="",$C1075=""),"",IF(MATCH($C1075,'Ajustes'!$A$5:$A$8,0)&lt;=2,$D1075*INDEX('Ajustes'!$C$5:$C$6,MATCH($C1075,'Ajustes'!$A$5:$A$8,0)),IF(MATCH($C1075,'Ajustes'!$A$5:$A$8,0)=3,-($D1075+$E1075*INDEX('Equipo'!$B$5:$B$29,MATCH($B1075,'Equipo'!$A$5:$A$29,0))),0))),"")</f>
        <v/>
      </c>
      <c r="H1075" s="25">
        <f>IFERROR(IF(OR($B1075="",$C1075=""),"",IF(MATCH($C1075,'Ajustes'!$A$5:$A$8,0)=4,$D1075/INDEX('Equipo'!$B$5:$B$29,MATCH($B1075,'Equipo'!$A$5:$A$29,0))+$E1075,0)),"")</f>
        <v/>
      </c>
      <c r="I1075" s="26">
        <f>IF($B1075='Perfil'!$B$3,COUNTIF($B$4:$B1075,'Perfil'!$B$3),"")</f>
        <v/>
      </c>
    </row>
    <row r="1076">
      <c r="A1076" s="22" t="n"/>
      <c r="B1076" s="23" t="n"/>
      <c r="C1076" s="23" t="n"/>
      <c r="D1076" s="24" t="n"/>
      <c r="E1076" s="24" t="n"/>
      <c r="F1076" s="23" t="n"/>
      <c r="G1076" s="19">
        <f>IFERROR(IF(OR($B1076="",$C1076=""),"",IF(MATCH($C1076,'Ajustes'!$A$5:$A$8,0)&lt;=2,$D1076*INDEX('Ajustes'!$C$5:$C$6,MATCH($C1076,'Ajustes'!$A$5:$A$8,0)),IF(MATCH($C1076,'Ajustes'!$A$5:$A$8,0)=3,-($D1076+$E1076*INDEX('Equipo'!$B$5:$B$29,MATCH($B1076,'Equipo'!$A$5:$A$29,0))),0))),"")</f>
        <v/>
      </c>
      <c r="H1076" s="25">
        <f>IFERROR(IF(OR($B1076="",$C1076=""),"",IF(MATCH($C1076,'Ajustes'!$A$5:$A$8,0)=4,$D1076/INDEX('Equipo'!$B$5:$B$29,MATCH($B1076,'Equipo'!$A$5:$A$29,0))+$E1076,0)),"")</f>
        <v/>
      </c>
      <c r="I1076" s="26">
        <f>IF($B1076='Perfil'!$B$3,COUNTIF($B$4:$B1076,'Perfil'!$B$3),"")</f>
        <v/>
      </c>
    </row>
    <row r="1077">
      <c r="A1077" s="22" t="n"/>
      <c r="B1077" s="23" t="n"/>
      <c r="C1077" s="23" t="n"/>
      <c r="D1077" s="24" t="n"/>
      <c r="E1077" s="24" t="n"/>
      <c r="F1077" s="23" t="n"/>
      <c r="G1077" s="19">
        <f>IFERROR(IF(OR($B1077="",$C1077=""),"",IF(MATCH($C1077,'Ajustes'!$A$5:$A$8,0)&lt;=2,$D1077*INDEX('Ajustes'!$C$5:$C$6,MATCH($C1077,'Ajustes'!$A$5:$A$8,0)),IF(MATCH($C1077,'Ajustes'!$A$5:$A$8,0)=3,-($D1077+$E1077*INDEX('Equipo'!$B$5:$B$29,MATCH($B1077,'Equipo'!$A$5:$A$29,0))),0))),"")</f>
        <v/>
      </c>
      <c r="H1077" s="25">
        <f>IFERROR(IF(OR($B1077="",$C1077=""),"",IF(MATCH($C1077,'Ajustes'!$A$5:$A$8,0)=4,$D1077/INDEX('Equipo'!$B$5:$B$29,MATCH($B1077,'Equipo'!$A$5:$A$29,0))+$E1077,0)),"")</f>
        <v/>
      </c>
      <c r="I1077" s="26">
        <f>IF($B1077='Perfil'!$B$3,COUNTIF($B$4:$B1077,'Perfil'!$B$3),"")</f>
        <v/>
      </c>
    </row>
    <row r="1078">
      <c r="A1078" s="22" t="n"/>
      <c r="B1078" s="23" t="n"/>
      <c r="C1078" s="23" t="n"/>
      <c r="D1078" s="24" t="n"/>
      <c r="E1078" s="24" t="n"/>
      <c r="F1078" s="23" t="n"/>
      <c r="G1078" s="19">
        <f>IFERROR(IF(OR($B1078="",$C1078=""),"",IF(MATCH($C1078,'Ajustes'!$A$5:$A$8,0)&lt;=2,$D1078*INDEX('Ajustes'!$C$5:$C$6,MATCH($C1078,'Ajustes'!$A$5:$A$8,0)),IF(MATCH($C1078,'Ajustes'!$A$5:$A$8,0)=3,-($D1078+$E1078*INDEX('Equipo'!$B$5:$B$29,MATCH($B1078,'Equipo'!$A$5:$A$29,0))),0))),"")</f>
        <v/>
      </c>
      <c r="H1078" s="25">
        <f>IFERROR(IF(OR($B1078="",$C1078=""),"",IF(MATCH($C1078,'Ajustes'!$A$5:$A$8,0)=4,$D1078/INDEX('Equipo'!$B$5:$B$29,MATCH($B1078,'Equipo'!$A$5:$A$29,0))+$E1078,0)),"")</f>
        <v/>
      </c>
      <c r="I1078" s="26">
        <f>IF($B1078='Perfil'!$B$3,COUNTIF($B$4:$B1078,'Perfil'!$B$3),"")</f>
        <v/>
      </c>
    </row>
    <row r="1079">
      <c r="A1079" s="22" t="n"/>
      <c r="B1079" s="23" t="n"/>
      <c r="C1079" s="23" t="n"/>
      <c r="D1079" s="24" t="n"/>
      <c r="E1079" s="24" t="n"/>
      <c r="F1079" s="23" t="n"/>
      <c r="G1079" s="19">
        <f>IFERROR(IF(OR($B1079="",$C1079=""),"",IF(MATCH($C1079,'Ajustes'!$A$5:$A$8,0)&lt;=2,$D1079*INDEX('Ajustes'!$C$5:$C$6,MATCH($C1079,'Ajustes'!$A$5:$A$8,0)),IF(MATCH($C1079,'Ajustes'!$A$5:$A$8,0)=3,-($D1079+$E1079*INDEX('Equipo'!$B$5:$B$29,MATCH($B1079,'Equipo'!$A$5:$A$29,0))),0))),"")</f>
        <v/>
      </c>
      <c r="H1079" s="25">
        <f>IFERROR(IF(OR($B1079="",$C1079=""),"",IF(MATCH($C1079,'Ajustes'!$A$5:$A$8,0)=4,$D1079/INDEX('Equipo'!$B$5:$B$29,MATCH($B1079,'Equipo'!$A$5:$A$29,0))+$E1079,0)),"")</f>
        <v/>
      </c>
      <c r="I1079" s="26">
        <f>IF($B1079='Perfil'!$B$3,COUNTIF($B$4:$B1079,'Perfil'!$B$3),"")</f>
        <v/>
      </c>
    </row>
    <row r="1080">
      <c r="A1080" s="22" t="n"/>
      <c r="B1080" s="23" t="n"/>
      <c r="C1080" s="23" t="n"/>
      <c r="D1080" s="24" t="n"/>
      <c r="E1080" s="24" t="n"/>
      <c r="F1080" s="23" t="n"/>
      <c r="G1080" s="19">
        <f>IFERROR(IF(OR($B1080="",$C1080=""),"",IF(MATCH($C1080,'Ajustes'!$A$5:$A$8,0)&lt;=2,$D1080*INDEX('Ajustes'!$C$5:$C$6,MATCH($C1080,'Ajustes'!$A$5:$A$8,0)),IF(MATCH($C1080,'Ajustes'!$A$5:$A$8,0)=3,-($D1080+$E1080*INDEX('Equipo'!$B$5:$B$29,MATCH($B1080,'Equipo'!$A$5:$A$29,0))),0))),"")</f>
        <v/>
      </c>
      <c r="H1080" s="25">
        <f>IFERROR(IF(OR($B1080="",$C1080=""),"",IF(MATCH($C1080,'Ajustes'!$A$5:$A$8,0)=4,$D1080/INDEX('Equipo'!$B$5:$B$29,MATCH($B1080,'Equipo'!$A$5:$A$29,0))+$E1080,0)),"")</f>
        <v/>
      </c>
      <c r="I1080" s="26">
        <f>IF($B1080='Perfil'!$B$3,COUNTIF($B$4:$B1080,'Perfil'!$B$3),"")</f>
        <v/>
      </c>
    </row>
    <row r="1081">
      <c r="A1081" s="22" t="n"/>
      <c r="B1081" s="23" t="n"/>
      <c r="C1081" s="23" t="n"/>
      <c r="D1081" s="24" t="n"/>
      <c r="E1081" s="24" t="n"/>
      <c r="F1081" s="23" t="n"/>
      <c r="G1081" s="19">
        <f>IFERROR(IF(OR($B1081="",$C1081=""),"",IF(MATCH($C1081,'Ajustes'!$A$5:$A$8,0)&lt;=2,$D1081*INDEX('Ajustes'!$C$5:$C$6,MATCH($C1081,'Ajustes'!$A$5:$A$8,0)),IF(MATCH($C1081,'Ajustes'!$A$5:$A$8,0)=3,-($D1081+$E1081*INDEX('Equipo'!$B$5:$B$29,MATCH($B1081,'Equipo'!$A$5:$A$29,0))),0))),"")</f>
        <v/>
      </c>
      <c r="H1081" s="25">
        <f>IFERROR(IF(OR($B1081="",$C1081=""),"",IF(MATCH($C1081,'Ajustes'!$A$5:$A$8,0)=4,$D1081/INDEX('Equipo'!$B$5:$B$29,MATCH($B1081,'Equipo'!$A$5:$A$29,0))+$E1081,0)),"")</f>
        <v/>
      </c>
      <c r="I1081" s="26">
        <f>IF($B1081='Perfil'!$B$3,COUNTIF($B$4:$B1081,'Perfil'!$B$3),"")</f>
        <v/>
      </c>
    </row>
    <row r="1082">
      <c r="A1082" s="22" t="n"/>
      <c r="B1082" s="23" t="n"/>
      <c r="C1082" s="23" t="n"/>
      <c r="D1082" s="24" t="n"/>
      <c r="E1082" s="24" t="n"/>
      <c r="F1082" s="23" t="n"/>
      <c r="G1082" s="19">
        <f>IFERROR(IF(OR($B1082="",$C1082=""),"",IF(MATCH($C1082,'Ajustes'!$A$5:$A$8,0)&lt;=2,$D1082*INDEX('Ajustes'!$C$5:$C$6,MATCH($C1082,'Ajustes'!$A$5:$A$8,0)),IF(MATCH($C1082,'Ajustes'!$A$5:$A$8,0)=3,-($D1082+$E1082*INDEX('Equipo'!$B$5:$B$29,MATCH($B1082,'Equipo'!$A$5:$A$29,0))),0))),"")</f>
        <v/>
      </c>
      <c r="H1082" s="25">
        <f>IFERROR(IF(OR($B1082="",$C1082=""),"",IF(MATCH($C1082,'Ajustes'!$A$5:$A$8,0)=4,$D1082/INDEX('Equipo'!$B$5:$B$29,MATCH($B1082,'Equipo'!$A$5:$A$29,0))+$E1082,0)),"")</f>
        <v/>
      </c>
      <c r="I1082" s="26">
        <f>IF($B1082='Perfil'!$B$3,COUNTIF($B$4:$B1082,'Perfil'!$B$3),"")</f>
        <v/>
      </c>
    </row>
    <row r="1083">
      <c r="A1083" s="22" t="n"/>
      <c r="B1083" s="23" t="n"/>
      <c r="C1083" s="23" t="n"/>
      <c r="D1083" s="24" t="n"/>
      <c r="E1083" s="24" t="n"/>
      <c r="F1083" s="23" t="n"/>
      <c r="G1083" s="19">
        <f>IFERROR(IF(OR($B1083="",$C1083=""),"",IF(MATCH($C1083,'Ajustes'!$A$5:$A$8,0)&lt;=2,$D1083*INDEX('Ajustes'!$C$5:$C$6,MATCH($C1083,'Ajustes'!$A$5:$A$8,0)),IF(MATCH($C1083,'Ajustes'!$A$5:$A$8,0)=3,-($D1083+$E1083*INDEX('Equipo'!$B$5:$B$29,MATCH($B1083,'Equipo'!$A$5:$A$29,0))),0))),"")</f>
        <v/>
      </c>
      <c r="H1083" s="25">
        <f>IFERROR(IF(OR($B1083="",$C1083=""),"",IF(MATCH($C1083,'Ajustes'!$A$5:$A$8,0)=4,$D1083/INDEX('Equipo'!$B$5:$B$29,MATCH($B1083,'Equipo'!$A$5:$A$29,0))+$E1083,0)),"")</f>
        <v/>
      </c>
      <c r="I1083" s="26">
        <f>IF($B1083='Perfil'!$B$3,COUNTIF($B$4:$B1083,'Perfil'!$B$3),"")</f>
        <v/>
      </c>
    </row>
    <row r="1084">
      <c r="A1084" s="22" t="n"/>
      <c r="B1084" s="23" t="n"/>
      <c r="C1084" s="23" t="n"/>
      <c r="D1084" s="24" t="n"/>
      <c r="E1084" s="24" t="n"/>
      <c r="F1084" s="23" t="n"/>
      <c r="G1084" s="19">
        <f>IFERROR(IF(OR($B1084="",$C1084=""),"",IF(MATCH($C1084,'Ajustes'!$A$5:$A$8,0)&lt;=2,$D1084*INDEX('Ajustes'!$C$5:$C$6,MATCH($C1084,'Ajustes'!$A$5:$A$8,0)),IF(MATCH($C1084,'Ajustes'!$A$5:$A$8,0)=3,-($D1084+$E1084*INDEX('Equipo'!$B$5:$B$29,MATCH($B1084,'Equipo'!$A$5:$A$29,0))),0))),"")</f>
        <v/>
      </c>
      <c r="H1084" s="25">
        <f>IFERROR(IF(OR($B1084="",$C1084=""),"",IF(MATCH($C1084,'Ajustes'!$A$5:$A$8,0)=4,$D1084/INDEX('Equipo'!$B$5:$B$29,MATCH($B1084,'Equipo'!$A$5:$A$29,0))+$E1084,0)),"")</f>
        <v/>
      </c>
      <c r="I1084" s="26">
        <f>IF($B1084='Perfil'!$B$3,COUNTIF($B$4:$B1084,'Perfil'!$B$3),"")</f>
        <v/>
      </c>
    </row>
    <row r="1085">
      <c r="A1085" s="22" t="n"/>
      <c r="B1085" s="23" t="n"/>
      <c r="C1085" s="23" t="n"/>
      <c r="D1085" s="24" t="n"/>
      <c r="E1085" s="24" t="n"/>
      <c r="F1085" s="23" t="n"/>
      <c r="G1085" s="19">
        <f>IFERROR(IF(OR($B1085="",$C1085=""),"",IF(MATCH($C1085,'Ajustes'!$A$5:$A$8,0)&lt;=2,$D1085*INDEX('Ajustes'!$C$5:$C$6,MATCH($C1085,'Ajustes'!$A$5:$A$8,0)),IF(MATCH($C1085,'Ajustes'!$A$5:$A$8,0)=3,-($D1085+$E1085*INDEX('Equipo'!$B$5:$B$29,MATCH($B1085,'Equipo'!$A$5:$A$29,0))),0))),"")</f>
        <v/>
      </c>
      <c r="H1085" s="25">
        <f>IFERROR(IF(OR($B1085="",$C1085=""),"",IF(MATCH($C1085,'Ajustes'!$A$5:$A$8,0)=4,$D1085/INDEX('Equipo'!$B$5:$B$29,MATCH($B1085,'Equipo'!$A$5:$A$29,0))+$E1085,0)),"")</f>
        <v/>
      </c>
      <c r="I1085" s="26">
        <f>IF($B1085='Perfil'!$B$3,COUNTIF($B$4:$B1085,'Perfil'!$B$3),"")</f>
        <v/>
      </c>
    </row>
    <row r="1086">
      <c r="A1086" s="22" t="n"/>
      <c r="B1086" s="23" t="n"/>
      <c r="C1086" s="23" t="n"/>
      <c r="D1086" s="24" t="n"/>
      <c r="E1086" s="24" t="n"/>
      <c r="F1086" s="23" t="n"/>
      <c r="G1086" s="19">
        <f>IFERROR(IF(OR($B1086="",$C1086=""),"",IF(MATCH($C1086,'Ajustes'!$A$5:$A$8,0)&lt;=2,$D1086*INDEX('Ajustes'!$C$5:$C$6,MATCH($C1086,'Ajustes'!$A$5:$A$8,0)),IF(MATCH($C1086,'Ajustes'!$A$5:$A$8,0)=3,-($D1086+$E1086*INDEX('Equipo'!$B$5:$B$29,MATCH($B1086,'Equipo'!$A$5:$A$29,0))),0))),"")</f>
        <v/>
      </c>
      <c r="H1086" s="25">
        <f>IFERROR(IF(OR($B1086="",$C1086=""),"",IF(MATCH($C1086,'Ajustes'!$A$5:$A$8,0)=4,$D1086/INDEX('Equipo'!$B$5:$B$29,MATCH($B1086,'Equipo'!$A$5:$A$29,0))+$E1086,0)),"")</f>
        <v/>
      </c>
      <c r="I1086" s="26">
        <f>IF($B1086='Perfil'!$B$3,COUNTIF($B$4:$B1086,'Perfil'!$B$3),"")</f>
        <v/>
      </c>
    </row>
    <row r="1087">
      <c r="A1087" s="22" t="n"/>
      <c r="B1087" s="23" t="n"/>
      <c r="C1087" s="23" t="n"/>
      <c r="D1087" s="24" t="n"/>
      <c r="E1087" s="24" t="n"/>
      <c r="F1087" s="23" t="n"/>
      <c r="G1087" s="19">
        <f>IFERROR(IF(OR($B1087="",$C1087=""),"",IF(MATCH($C1087,'Ajustes'!$A$5:$A$8,0)&lt;=2,$D1087*INDEX('Ajustes'!$C$5:$C$6,MATCH($C1087,'Ajustes'!$A$5:$A$8,0)),IF(MATCH($C1087,'Ajustes'!$A$5:$A$8,0)=3,-($D1087+$E1087*INDEX('Equipo'!$B$5:$B$29,MATCH($B1087,'Equipo'!$A$5:$A$29,0))),0))),"")</f>
        <v/>
      </c>
      <c r="H1087" s="25">
        <f>IFERROR(IF(OR($B1087="",$C1087=""),"",IF(MATCH($C1087,'Ajustes'!$A$5:$A$8,0)=4,$D1087/INDEX('Equipo'!$B$5:$B$29,MATCH($B1087,'Equipo'!$A$5:$A$29,0))+$E1087,0)),"")</f>
        <v/>
      </c>
      <c r="I1087" s="26">
        <f>IF($B1087='Perfil'!$B$3,COUNTIF($B$4:$B1087,'Perfil'!$B$3),"")</f>
        <v/>
      </c>
    </row>
    <row r="1088">
      <c r="A1088" s="22" t="n"/>
      <c r="B1088" s="23" t="n"/>
      <c r="C1088" s="23" t="n"/>
      <c r="D1088" s="24" t="n"/>
      <c r="E1088" s="24" t="n"/>
      <c r="F1088" s="23" t="n"/>
      <c r="G1088" s="19">
        <f>IFERROR(IF(OR($B1088="",$C1088=""),"",IF(MATCH($C1088,'Ajustes'!$A$5:$A$8,0)&lt;=2,$D1088*INDEX('Ajustes'!$C$5:$C$6,MATCH($C1088,'Ajustes'!$A$5:$A$8,0)),IF(MATCH($C1088,'Ajustes'!$A$5:$A$8,0)=3,-($D1088+$E1088*INDEX('Equipo'!$B$5:$B$29,MATCH($B1088,'Equipo'!$A$5:$A$29,0))),0))),"")</f>
        <v/>
      </c>
      <c r="H1088" s="25">
        <f>IFERROR(IF(OR($B1088="",$C1088=""),"",IF(MATCH($C1088,'Ajustes'!$A$5:$A$8,0)=4,$D1088/INDEX('Equipo'!$B$5:$B$29,MATCH($B1088,'Equipo'!$A$5:$A$29,0))+$E1088,0)),"")</f>
        <v/>
      </c>
      <c r="I1088" s="26">
        <f>IF($B1088='Perfil'!$B$3,COUNTIF($B$4:$B1088,'Perfil'!$B$3),"")</f>
        <v/>
      </c>
    </row>
    <row r="1089">
      <c r="A1089" s="22" t="n"/>
      <c r="B1089" s="23" t="n"/>
      <c r="C1089" s="23" t="n"/>
      <c r="D1089" s="24" t="n"/>
      <c r="E1089" s="24" t="n"/>
      <c r="F1089" s="23" t="n"/>
      <c r="G1089" s="19">
        <f>IFERROR(IF(OR($B1089="",$C1089=""),"",IF(MATCH($C1089,'Ajustes'!$A$5:$A$8,0)&lt;=2,$D1089*INDEX('Ajustes'!$C$5:$C$6,MATCH($C1089,'Ajustes'!$A$5:$A$8,0)),IF(MATCH($C1089,'Ajustes'!$A$5:$A$8,0)=3,-($D1089+$E1089*INDEX('Equipo'!$B$5:$B$29,MATCH($B1089,'Equipo'!$A$5:$A$29,0))),0))),"")</f>
        <v/>
      </c>
      <c r="H1089" s="25">
        <f>IFERROR(IF(OR($B1089="",$C1089=""),"",IF(MATCH($C1089,'Ajustes'!$A$5:$A$8,0)=4,$D1089/INDEX('Equipo'!$B$5:$B$29,MATCH($B1089,'Equipo'!$A$5:$A$29,0))+$E1089,0)),"")</f>
        <v/>
      </c>
      <c r="I1089" s="26">
        <f>IF($B1089='Perfil'!$B$3,COUNTIF($B$4:$B1089,'Perfil'!$B$3),"")</f>
        <v/>
      </c>
    </row>
    <row r="1090">
      <c r="A1090" s="22" t="n"/>
      <c r="B1090" s="23" t="n"/>
      <c r="C1090" s="23" t="n"/>
      <c r="D1090" s="24" t="n"/>
      <c r="E1090" s="24" t="n"/>
      <c r="F1090" s="23" t="n"/>
      <c r="G1090" s="19">
        <f>IFERROR(IF(OR($B1090="",$C1090=""),"",IF(MATCH($C1090,'Ajustes'!$A$5:$A$8,0)&lt;=2,$D1090*INDEX('Ajustes'!$C$5:$C$6,MATCH($C1090,'Ajustes'!$A$5:$A$8,0)),IF(MATCH($C1090,'Ajustes'!$A$5:$A$8,0)=3,-($D1090+$E1090*INDEX('Equipo'!$B$5:$B$29,MATCH($B1090,'Equipo'!$A$5:$A$29,0))),0))),"")</f>
        <v/>
      </c>
      <c r="H1090" s="25">
        <f>IFERROR(IF(OR($B1090="",$C1090=""),"",IF(MATCH($C1090,'Ajustes'!$A$5:$A$8,0)=4,$D1090/INDEX('Equipo'!$B$5:$B$29,MATCH($B1090,'Equipo'!$A$5:$A$29,0))+$E1090,0)),"")</f>
        <v/>
      </c>
      <c r="I1090" s="26">
        <f>IF($B1090='Perfil'!$B$3,COUNTIF($B$4:$B1090,'Perfil'!$B$3),"")</f>
        <v/>
      </c>
    </row>
    <row r="1091">
      <c r="A1091" s="22" t="n"/>
      <c r="B1091" s="23" t="n"/>
      <c r="C1091" s="23" t="n"/>
      <c r="D1091" s="24" t="n"/>
      <c r="E1091" s="24" t="n"/>
      <c r="F1091" s="23" t="n"/>
      <c r="G1091" s="19">
        <f>IFERROR(IF(OR($B1091="",$C1091=""),"",IF(MATCH($C1091,'Ajustes'!$A$5:$A$8,0)&lt;=2,$D1091*INDEX('Ajustes'!$C$5:$C$6,MATCH($C1091,'Ajustes'!$A$5:$A$8,0)),IF(MATCH($C1091,'Ajustes'!$A$5:$A$8,0)=3,-($D1091+$E1091*INDEX('Equipo'!$B$5:$B$29,MATCH($B1091,'Equipo'!$A$5:$A$29,0))),0))),"")</f>
        <v/>
      </c>
      <c r="H1091" s="25">
        <f>IFERROR(IF(OR($B1091="",$C1091=""),"",IF(MATCH($C1091,'Ajustes'!$A$5:$A$8,0)=4,$D1091/INDEX('Equipo'!$B$5:$B$29,MATCH($B1091,'Equipo'!$A$5:$A$29,0))+$E1091,0)),"")</f>
        <v/>
      </c>
      <c r="I1091" s="26">
        <f>IF($B1091='Perfil'!$B$3,COUNTIF($B$4:$B1091,'Perfil'!$B$3),"")</f>
        <v/>
      </c>
    </row>
    <row r="1092">
      <c r="A1092" s="22" t="n"/>
      <c r="B1092" s="23" t="n"/>
      <c r="C1092" s="23" t="n"/>
      <c r="D1092" s="24" t="n"/>
      <c r="E1092" s="24" t="n"/>
      <c r="F1092" s="23" t="n"/>
      <c r="G1092" s="19">
        <f>IFERROR(IF(OR($B1092="",$C1092=""),"",IF(MATCH($C1092,'Ajustes'!$A$5:$A$8,0)&lt;=2,$D1092*INDEX('Ajustes'!$C$5:$C$6,MATCH($C1092,'Ajustes'!$A$5:$A$8,0)),IF(MATCH($C1092,'Ajustes'!$A$5:$A$8,0)=3,-($D1092+$E1092*INDEX('Equipo'!$B$5:$B$29,MATCH($B1092,'Equipo'!$A$5:$A$29,0))),0))),"")</f>
        <v/>
      </c>
      <c r="H1092" s="25">
        <f>IFERROR(IF(OR($B1092="",$C1092=""),"",IF(MATCH($C1092,'Ajustes'!$A$5:$A$8,0)=4,$D1092/INDEX('Equipo'!$B$5:$B$29,MATCH($B1092,'Equipo'!$A$5:$A$29,0))+$E1092,0)),"")</f>
        <v/>
      </c>
      <c r="I1092" s="26">
        <f>IF($B1092='Perfil'!$B$3,COUNTIF($B$4:$B1092,'Perfil'!$B$3),"")</f>
        <v/>
      </c>
    </row>
    <row r="1093">
      <c r="A1093" s="22" t="n"/>
      <c r="B1093" s="23" t="n"/>
      <c r="C1093" s="23" t="n"/>
      <c r="D1093" s="24" t="n"/>
      <c r="E1093" s="24" t="n"/>
      <c r="F1093" s="23" t="n"/>
      <c r="G1093" s="19">
        <f>IFERROR(IF(OR($B1093="",$C1093=""),"",IF(MATCH($C1093,'Ajustes'!$A$5:$A$8,0)&lt;=2,$D1093*INDEX('Ajustes'!$C$5:$C$6,MATCH($C1093,'Ajustes'!$A$5:$A$8,0)),IF(MATCH($C1093,'Ajustes'!$A$5:$A$8,0)=3,-($D1093+$E1093*INDEX('Equipo'!$B$5:$B$29,MATCH($B1093,'Equipo'!$A$5:$A$29,0))),0))),"")</f>
        <v/>
      </c>
      <c r="H1093" s="25">
        <f>IFERROR(IF(OR($B1093="",$C1093=""),"",IF(MATCH($C1093,'Ajustes'!$A$5:$A$8,0)=4,$D1093/INDEX('Equipo'!$B$5:$B$29,MATCH($B1093,'Equipo'!$A$5:$A$29,0))+$E1093,0)),"")</f>
        <v/>
      </c>
      <c r="I1093" s="26">
        <f>IF($B1093='Perfil'!$B$3,COUNTIF($B$4:$B1093,'Perfil'!$B$3),"")</f>
        <v/>
      </c>
    </row>
    <row r="1094">
      <c r="A1094" s="22" t="n"/>
      <c r="B1094" s="23" t="n"/>
      <c r="C1094" s="23" t="n"/>
      <c r="D1094" s="24" t="n"/>
      <c r="E1094" s="24" t="n"/>
      <c r="F1094" s="23" t="n"/>
      <c r="G1094" s="19">
        <f>IFERROR(IF(OR($B1094="",$C1094=""),"",IF(MATCH($C1094,'Ajustes'!$A$5:$A$8,0)&lt;=2,$D1094*INDEX('Ajustes'!$C$5:$C$6,MATCH($C1094,'Ajustes'!$A$5:$A$8,0)),IF(MATCH($C1094,'Ajustes'!$A$5:$A$8,0)=3,-($D1094+$E1094*INDEX('Equipo'!$B$5:$B$29,MATCH($B1094,'Equipo'!$A$5:$A$29,0))),0))),"")</f>
        <v/>
      </c>
      <c r="H1094" s="25">
        <f>IFERROR(IF(OR($B1094="",$C1094=""),"",IF(MATCH($C1094,'Ajustes'!$A$5:$A$8,0)=4,$D1094/INDEX('Equipo'!$B$5:$B$29,MATCH($B1094,'Equipo'!$A$5:$A$29,0))+$E1094,0)),"")</f>
        <v/>
      </c>
      <c r="I1094" s="26">
        <f>IF($B1094='Perfil'!$B$3,COUNTIF($B$4:$B1094,'Perfil'!$B$3),"")</f>
        <v/>
      </c>
    </row>
    <row r="1095">
      <c r="A1095" s="22" t="n"/>
      <c r="B1095" s="23" t="n"/>
      <c r="C1095" s="23" t="n"/>
      <c r="D1095" s="24" t="n"/>
      <c r="E1095" s="24" t="n"/>
      <c r="F1095" s="23" t="n"/>
      <c r="G1095" s="19">
        <f>IFERROR(IF(OR($B1095="",$C1095=""),"",IF(MATCH($C1095,'Ajustes'!$A$5:$A$8,0)&lt;=2,$D1095*INDEX('Ajustes'!$C$5:$C$6,MATCH($C1095,'Ajustes'!$A$5:$A$8,0)),IF(MATCH($C1095,'Ajustes'!$A$5:$A$8,0)=3,-($D1095+$E1095*INDEX('Equipo'!$B$5:$B$29,MATCH($B1095,'Equipo'!$A$5:$A$29,0))),0))),"")</f>
        <v/>
      </c>
      <c r="H1095" s="25">
        <f>IFERROR(IF(OR($B1095="",$C1095=""),"",IF(MATCH($C1095,'Ajustes'!$A$5:$A$8,0)=4,$D1095/INDEX('Equipo'!$B$5:$B$29,MATCH($B1095,'Equipo'!$A$5:$A$29,0))+$E1095,0)),"")</f>
        <v/>
      </c>
      <c r="I1095" s="26">
        <f>IF($B1095='Perfil'!$B$3,COUNTIF($B$4:$B1095,'Perfil'!$B$3),"")</f>
        <v/>
      </c>
    </row>
    <row r="1096">
      <c r="A1096" s="22" t="n"/>
      <c r="B1096" s="23" t="n"/>
      <c r="C1096" s="23" t="n"/>
      <c r="D1096" s="24" t="n"/>
      <c r="E1096" s="24" t="n"/>
      <c r="F1096" s="23" t="n"/>
      <c r="G1096" s="19">
        <f>IFERROR(IF(OR($B1096="",$C1096=""),"",IF(MATCH($C1096,'Ajustes'!$A$5:$A$8,0)&lt;=2,$D1096*INDEX('Ajustes'!$C$5:$C$6,MATCH($C1096,'Ajustes'!$A$5:$A$8,0)),IF(MATCH($C1096,'Ajustes'!$A$5:$A$8,0)=3,-($D1096+$E1096*INDEX('Equipo'!$B$5:$B$29,MATCH($B1096,'Equipo'!$A$5:$A$29,0))),0))),"")</f>
        <v/>
      </c>
      <c r="H1096" s="25">
        <f>IFERROR(IF(OR($B1096="",$C1096=""),"",IF(MATCH($C1096,'Ajustes'!$A$5:$A$8,0)=4,$D1096/INDEX('Equipo'!$B$5:$B$29,MATCH($B1096,'Equipo'!$A$5:$A$29,0))+$E1096,0)),"")</f>
        <v/>
      </c>
      <c r="I1096" s="26">
        <f>IF($B1096='Perfil'!$B$3,COUNTIF($B$4:$B1096,'Perfil'!$B$3),"")</f>
        <v/>
      </c>
    </row>
    <row r="1097">
      <c r="A1097" s="22" t="n"/>
      <c r="B1097" s="23" t="n"/>
      <c r="C1097" s="23" t="n"/>
      <c r="D1097" s="24" t="n"/>
      <c r="E1097" s="24" t="n"/>
      <c r="F1097" s="23" t="n"/>
      <c r="G1097" s="19">
        <f>IFERROR(IF(OR($B1097="",$C1097=""),"",IF(MATCH($C1097,'Ajustes'!$A$5:$A$8,0)&lt;=2,$D1097*INDEX('Ajustes'!$C$5:$C$6,MATCH($C1097,'Ajustes'!$A$5:$A$8,0)),IF(MATCH($C1097,'Ajustes'!$A$5:$A$8,0)=3,-($D1097+$E1097*INDEX('Equipo'!$B$5:$B$29,MATCH($B1097,'Equipo'!$A$5:$A$29,0))),0))),"")</f>
        <v/>
      </c>
      <c r="H1097" s="25">
        <f>IFERROR(IF(OR($B1097="",$C1097=""),"",IF(MATCH($C1097,'Ajustes'!$A$5:$A$8,0)=4,$D1097/INDEX('Equipo'!$B$5:$B$29,MATCH($B1097,'Equipo'!$A$5:$A$29,0))+$E1097,0)),"")</f>
        <v/>
      </c>
      <c r="I1097" s="26">
        <f>IF($B1097='Perfil'!$B$3,COUNTIF($B$4:$B1097,'Perfil'!$B$3),"")</f>
        <v/>
      </c>
    </row>
    <row r="1098">
      <c r="A1098" s="22" t="n"/>
      <c r="B1098" s="23" t="n"/>
      <c r="C1098" s="23" t="n"/>
      <c r="D1098" s="24" t="n"/>
      <c r="E1098" s="24" t="n"/>
      <c r="F1098" s="23" t="n"/>
      <c r="G1098" s="19">
        <f>IFERROR(IF(OR($B1098="",$C1098=""),"",IF(MATCH($C1098,'Ajustes'!$A$5:$A$8,0)&lt;=2,$D1098*INDEX('Ajustes'!$C$5:$C$6,MATCH($C1098,'Ajustes'!$A$5:$A$8,0)),IF(MATCH($C1098,'Ajustes'!$A$5:$A$8,0)=3,-($D1098+$E1098*INDEX('Equipo'!$B$5:$B$29,MATCH($B1098,'Equipo'!$A$5:$A$29,0))),0))),"")</f>
        <v/>
      </c>
      <c r="H1098" s="25">
        <f>IFERROR(IF(OR($B1098="",$C1098=""),"",IF(MATCH($C1098,'Ajustes'!$A$5:$A$8,0)=4,$D1098/INDEX('Equipo'!$B$5:$B$29,MATCH($B1098,'Equipo'!$A$5:$A$29,0))+$E1098,0)),"")</f>
        <v/>
      </c>
      <c r="I1098" s="26">
        <f>IF($B1098='Perfil'!$B$3,COUNTIF($B$4:$B1098,'Perfil'!$B$3),"")</f>
        <v/>
      </c>
    </row>
    <row r="1099">
      <c r="A1099" s="22" t="n"/>
      <c r="B1099" s="23" t="n"/>
      <c r="C1099" s="23" t="n"/>
      <c r="D1099" s="24" t="n"/>
      <c r="E1099" s="24" t="n"/>
      <c r="F1099" s="23" t="n"/>
      <c r="G1099" s="19">
        <f>IFERROR(IF(OR($B1099="",$C1099=""),"",IF(MATCH($C1099,'Ajustes'!$A$5:$A$8,0)&lt;=2,$D1099*INDEX('Ajustes'!$C$5:$C$6,MATCH($C1099,'Ajustes'!$A$5:$A$8,0)),IF(MATCH($C1099,'Ajustes'!$A$5:$A$8,0)=3,-($D1099+$E1099*INDEX('Equipo'!$B$5:$B$29,MATCH($B1099,'Equipo'!$A$5:$A$29,0))),0))),"")</f>
        <v/>
      </c>
      <c r="H1099" s="25">
        <f>IFERROR(IF(OR($B1099="",$C1099=""),"",IF(MATCH($C1099,'Ajustes'!$A$5:$A$8,0)=4,$D1099/INDEX('Equipo'!$B$5:$B$29,MATCH($B1099,'Equipo'!$A$5:$A$29,0))+$E1099,0)),"")</f>
        <v/>
      </c>
      <c r="I1099" s="26">
        <f>IF($B1099='Perfil'!$B$3,COUNTIF($B$4:$B1099,'Perfil'!$B$3),"")</f>
        <v/>
      </c>
    </row>
    <row r="1100">
      <c r="A1100" s="22" t="n"/>
      <c r="B1100" s="23" t="n"/>
      <c r="C1100" s="23" t="n"/>
      <c r="D1100" s="24" t="n"/>
      <c r="E1100" s="24" t="n"/>
      <c r="F1100" s="23" t="n"/>
      <c r="G1100" s="19">
        <f>IFERROR(IF(OR($B1100="",$C1100=""),"",IF(MATCH($C1100,'Ajustes'!$A$5:$A$8,0)&lt;=2,$D1100*INDEX('Ajustes'!$C$5:$C$6,MATCH($C1100,'Ajustes'!$A$5:$A$8,0)),IF(MATCH($C1100,'Ajustes'!$A$5:$A$8,0)=3,-($D1100+$E1100*INDEX('Equipo'!$B$5:$B$29,MATCH($B1100,'Equipo'!$A$5:$A$29,0))),0))),"")</f>
        <v/>
      </c>
      <c r="H1100" s="25">
        <f>IFERROR(IF(OR($B1100="",$C1100=""),"",IF(MATCH($C1100,'Ajustes'!$A$5:$A$8,0)=4,$D1100/INDEX('Equipo'!$B$5:$B$29,MATCH($B1100,'Equipo'!$A$5:$A$29,0))+$E1100,0)),"")</f>
        <v/>
      </c>
      <c r="I1100" s="26">
        <f>IF($B1100='Perfil'!$B$3,COUNTIF($B$4:$B1100,'Perfil'!$B$3),"")</f>
        <v/>
      </c>
    </row>
    <row r="1101">
      <c r="A1101" s="22" t="n"/>
      <c r="B1101" s="23" t="n"/>
      <c r="C1101" s="23" t="n"/>
      <c r="D1101" s="24" t="n"/>
      <c r="E1101" s="24" t="n"/>
      <c r="F1101" s="23" t="n"/>
      <c r="G1101" s="19">
        <f>IFERROR(IF(OR($B1101="",$C1101=""),"",IF(MATCH($C1101,'Ajustes'!$A$5:$A$8,0)&lt;=2,$D1101*INDEX('Ajustes'!$C$5:$C$6,MATCH($C1101,'Ajustes'!$A$5:$A$8,0)),IF(MATCH($C1101,'Ajustes'!$A$5:$A$8,0)=3,-($D1101+$E1101*INDEX('Equipo'!$B$5:$B$29,MATCH($B1101,'Equipo'!$A$5:$A$29,0))),0))),"")</f>
        <v/>
      </c>
      <c r="H1101" s="25">
        <f>IFERROR(IF(OR($B1101="",$C1101=""),"",IF(MATCH($C1101,'Ajustes'!$A$5:$A$8,0)=4,$D1101/INDEX('Equipo'!$B$5:$B$29,MATCH($B1101,'Equipo'!$A$5:$A$29,0))+$E1101,0)),"")</f>
        <v/>
      </c>
      <c r="I1101" s="26">
        <f>IF($B1101='Perfil'!$B$3,COUNTIF($B$4:$B1101,'Perfil'!$B$3),"")</f>
        <v/>
      </c>
    </row>
    <row r="1102">
      <c r="A1102" s="22" t="n"/>
      <c r="B1102" s="23" t="n"/>
      <c r="C1102" s="23" t="n"/>
      <c r="D1102" s="24" t="n"/>
      <c r="E1102" s="24" t="n"/>
      <c r="F1102" s="23" t="n"/>
      <c r="G1102" s="19">
        <f>IFERROR(IF(OR($B1102="",$C1102=""),"",IF(MATCH($C1102,'Ajustes'!$A$5:$A$8,0)&lt;=2,$D1102*INDEX('Ajustes'!$C$5:$C$6,MATCH($C1102,'Ajustes'!$A$5:$A$8,0)),IF(MATCH($C1102,'Ajustes'!$A$5:$A$8,0)=3,-($D1102+$E1102*INDEX('Equipo'!$B$5:$B$29,MATCH($B1102,'Equipo'!$A$5:$A$29,0))),0))),"")</f>
        <v/>
      </c>
      <c r="H1102" s="25">
        <f>IFERROR(IF(OR($B1102="",$C1102=""),"",IF(MATCH($C1102,'Ajustes'!$A$5:$A$8,0)=4,$D1102/INDEX('Equipo'!$B$5:$B$29,MATCH($B1102,'Equipo'!$A$5:$A$29,0))+$E1102,0)),"")</f>
        <v/>
      </c>
      <c r="I1102" s="26">
        <f>IF($B1102='Perfil'!$B$3,COUNTIF($B$4:$B1102,'Perfil'!$B$3),"")</f>
        <v/>
      </c>
    </row>
    <row r="1103">
      <c r="A1103" s="22" t="n"/>
      <c r="B1103" s="23" t="n"/>
      <c r="C1103" s="23" t="n"/>
      <c r="D1103" s="24" t="n"/>
      <c r="E1103" s="24" t="n"/>
      <c r="F1103" s="23" t="n"/>
      <c r="G1103" s="19">
        <f>IFERROR(IF(OR($B1103="",$C1103=""),"",IF(MATCH($C1103,'Ajustes'!$A$5:$A$8,0)&lt;=2,$D1103*INDEX('Ajustes'!$C$5:$C$6,MATCH($C1103,'Ajustes'!$A$5:$A$8,0)),IF(MATCH($C1103,'Ajustes'!$A$5:$A$8,0)=3,-($D1103+$E1103*INDEX('Equipo'!$B$5:$B$29,MATCH($B1103,'Equipo'!$A$5:$A$29,0))),0))),"")</f>
        <v/>
      </c>
      <c r="H1103" s="25">
        <f>IFERROR(IF(OR($B1103="",$C1103=""),"",IF(MATCH($C1103,'Ajustes'!$A$5:$A$8,0)=4,$D1103/INDEX('Equipo'!$B$5:$B$29,MATCH($B1103,'Equipo'!$A$5:$A$29,0))+$E1103,0)),"")</f>
        <v/>
      </c>
      <c r="I1103" s="26">
        <f>IF($B1103='Perfil'!$B$3,COUNTIF($B$4:$B1103,'Perfil'!$B$3),"")</f>
        <v/>
      </c>
    </row>
    <row r="1104">
      <c r="A1104" s="22" t="n"/>
      <c r="B1104" s="23" t="n"/>
      <c r="C1104" s="23" t="n"/>
      <c r="D1104" s="24" t="n"/>
      <c r="E1104" s="24" t="n"/>
      <c r="F1104" s="23" t="n"/>
      <c r="G1104" s="19">
        <f>IFERROR(IF(OR($B1104="",$C1104=""),"",IF(MATCH($C1104,'Ajustes'!$A$5:$A$8,0)&lt;=2,$D1104*INDEX('Ajustes'!$C$5:$C$6,MATCH($C1104,'Ajustes'!$A$5:$A$8,0)),IF(MATCH($C1104,'Ajustes'!$A$5:$A$8,0)=3,-($D1104+$E1104*INDEX('Equipo'!$B$5:$B$29,MATCH($B1104,'Equipo'!$A$5:$A$29,0))),0))),"")</f>
        <v/>
      </c>
      <c r="H1104" s="25">
        <f>IFERROR(IF(OR($B1104="",$C1104=""),"",IF(MATCH($C1104,'Ajustes'!$A$5:$A$8,0)=4,$D1104/INDEX('Equipo'!$B$5:$B$29,MATCH($B1104,'Equipo'!$A$5:$A$29,0))+$E1104,0)),"")</f>
        <v/>
      </c>
      <c r="I1104" s="26">
        <f>IF($B1104='Perfil'!$B$3,COUNTIF($B$4:$B1104,'Perfil'!$B$3),"")</f>
        <v/>
      </c>
    </row>
    <row r="1105">
      <c r="A1105" s="22" t="n"/>
      <c r="B1105" s="23" t="n"/>
      <c r="C1105" s="23" t="n"/>
      <c r="D1105" s="24" t="n"/>
      <c r="E1105" s="24" t="n"/>
      <c r="F1105" s="23" t="n"/>
      <c r="G1105" s="19">
        <f>IFERROR(IF(OR($B1105="",$C1105=""),"",IF(MATCH($C1105,'Ajustes'!$A$5:$A$8,0)&lt;=2,$D1105*INDEX('Ajustes'!$C$5:$C$6,MATCH($C1105,'Ajustes'!$A$5:$A$8,0)),IF(MATCH($C1105,'Ajustes'!$A$5:$A$8,0)=3,-($D1105+$E1105*INDEX('Equipo'!$B$5:$B$29,MATCH($B1105,'Equipo'!$A$5:$A$29,0))),0))),"")</f>
        <v/>
      </c>
      <c r="H1105" s="25">
        <f>IFERROR(IF(OR($B1105="",$C1105=""),"",IF(MATCH($C1105,'Ajustes'!$A$5:$A$8,0)=4,$D1105/INDEX('Equipo'!$B$5:$B$29,MATCH($B1105,'Equipo'!$A$5:$A$29,0))+$E1105,0)),"")</f>
        <v/>
      </c>
      <c r="I1105" s="26">
        <f>IF($B1105='Perfil'!$B$3,COUNTIF($B$4:$B1105,'Perfil'!$B$3),"")</f>
        <v/>
      </c>
    </row>
    <row r="1106">
      <c r="A1106" s="22" t="n"/>
      <c r="B1106" s="23" t="n"/>
      <c r="C1106" s="23" t="n"/>
      <c r="D1106" s="24" t="n"/>
      <c r="E1106" s="24" t="n"/>
      <c r="F1106" s="23" t="n"/>
      <c r="G1106" s="19">
        <f>IFERROR(IF(OR($B1106="",$C1106=""),"",IF(MATCH($C1106,'Ajustes'!$A$5:$A$8,0)&lt;=2,$D1106*INDEX('Ajustes'!$C$5:$C$6,MATCH($C1106,'Ajustes'!$A$5:$A$8,0)),IF(MATCH($C1106,'Ajustes'!$A$5:$A$8,0)=3,-($D1106+$E1106*INDEX('Equipo'!$B$5:$B$29,MATCH($B1106,'Equipo'!$A$5:$A$29,0))),0))),"")</f>
        <v/>
      </c>
      <c r="H1106" s="25">
        <f>IFERROR(IF(OR($B1106="",$C1106=""),"",IF(MATCH($C1106,'Ajustes'!$A$5:$A$8,0)=4,$D1106/INDEX('Equipo'!$B$5:$B$29,MATCH($B1106,'Equipo'!$A$5:$A$29,0))+$E1106,0)),"")</f>
        <v/>
      </c>
      <c r="I1106" s="26">
        <f>IF($B1106='Perfil'!$B$3,COUNTIF($B$4:$B1106,'Perfil'!$B$3),"")</f>
        <v/>
      </c>
    </row>
    <row r="1107">
      <c r="A1107" s="22" t="n"/>
      <c r="B1107" s="23" t="n"/>
      <c r="C1107" s="23" t="n"/>
      <c r="D1107" s="24" t="n"/>
      <c r="E1107" s="24" t="n"/>
      <c r="F1107" s="23" t="n"/>
      <c r="G1107" s="19">
        <f>IFERROR(IF(OR($B1107="",$C1107=""),"",IF(MATCH($C1107,'Ajustes'!$A$5:$A$8,0)&lt;=2,$D1107*INDEX('Ajustes'!$C$5:$C$6,MATCH($C1107,'Ajustes'!$A$5:$A$8,0)),IF(MATCH($C1107,'Ajustes'!$A$5:$A$8,0)=3,-($D1107+$E1107*INDEX('Equipo'!$B$5:$B$29,MATCH($B1107,'Equipo'!$A$5:$A$29,0))),0))),"")</f>
        <v/>
      </c>
      <c r="H1107" s="25">
        <f>IFERROR(IF(OR($B1107="",$C1107=""),"",IF(MATCH($C1107,'Ajustes'!$A$5:$A$8,0)=4,$D1107/INDEX('Equipo'!$B$5:$B$29,MATCH($B1107,'Equipo'!$A$5:$A$29,0))+$E1107,0)),"")</f>
        <v/>
      </c>
      <c r="I1107" s="26">
        <f>IF($B1107='Perfil'!$B$3,COUNTIF($B$4:$B1107,'Perfil'!$B$3),"")</f>
        <v/>
      </c>
    </row>
    <row r="1108">
      <c r="A1108" s="22" t="n"/>
      <c r="B1108" s="23" t="n"/>
      <c r="C1108" s="23" t="n"/>
      <c r="D1108" s="24" t="n"/>
      <c r="E1108" s="24" t="n"/>
      <c r="F1108" s="23" t="n"/>
      <c r="G1108" s="19">
        <f>IFERROR(IF(OR($B1108="",$C1108=""),"",IF(MATCH($C1108,'Ajustes'!$A$5:$A$8,0)&lt;=2,$D1108*INDEX('Ajustes'!$C$5:$C$6,MATCH($C1108,'Ajustes'!$A$5:$A$8,0)),IF(MATCH($C1108,'Ajustes'!$A$5:$A$8,0)=3,-($D1108+$E1108*INDEX('Equipo'!$B$5:$B$29,MATCH($B1108,'Equipo'!$A$5:$A$29,0))),0))),"")</f>
        <v/>
      </c>
      <c r="H1108" s="25">
        <f>IFERROR(IF(OR($B1108="",$C1108=""),"",IF(MATCH($C1108,'Ajustes'!$A$5:$A$8,0)=4,$D1108/INDEX('Equipo'!$B$5:$B$29,MATCH($B1108,'Equipo'!$A$5:$A$29,0))+$E1108,0)),"")</f>
        <v/>
      </c>
      <c r="I1108" s="26">
        <f>IF($B1108='Perfil'!$B$3,COUNTIF($B$4:$B1108,'Perfil'!$B$3),"")</f>
        <v/>
      </c>
    </row>
    <row r="1109">
      <c r="A1109" s="22" t="n"/>
      <c r="B1109" s="23" t="n"/>
      <c r="C1109" s="23" t="n"/>
      <c r="D1109" s="24" t="n"/>
      <c r="E1109" s="24" t="n"/>
      <c r="F1109" s="23" t="n"/>
      <c r="G1109" s="19">
        <f>IFERROR(IF(OR($B1109="",$C1109=""),"",IF(MATCH($C1109,'Ajustes'!$A$5:$A$8,0)&lt;=2,$D1109*INDEX('Ajustes'!$C$5:$C$6,MATCH($C1109,'Ajustes'!$A$5:$A$8,0)),IF(MATCH($C1109,'Ajustes'!$A$5:$A$8,0)=3,-($D1109+$E1109*INDEX('Equipo'!$B$5:$B$29,MATCH($B1109,'Equipo'!$A$5:$A$29,0))),0))),"")</f>
        <v/>
      </c>
      <c r="H1109" s="25">
        <f>IFERROR(IF(OR($B1109="",$C1109=""),"",IF(MATCH($C1109,'Ajustes'!$A$5:$A$8,0)=4,$D1109/INDEX('Equipo'!$B$5:$B$29,MATCH($B1109,'Equipo'!$A$5:$A$29,0))+$E1109,0)),"")</f>
        <v/>
      </c>
      <c r="I1109" s="26">
        <f>IF($B1109='Perfil'!$B$3,COUNTIF($B$4:$B1109,'Perfil'!$B$3),"")</f>
        <v/>
      </c>
    </row>
    <row r="1110">
      <c r="A1110" s="22" t="n"/>
      <c r="B1110" s="23" t="n"/>
      <c r="C1110" s="23" t="n"/>
      <c r="D1110" s="24" t="n"/>
      <c r="E1110" s="24" t="n"/>
      <c r="F1110" s="23" t="n"/>
      <c r="G1110" s="19">
        <f>IFERROR(IF(OR($B1110="",$C1110=""),"",IF(MATCH($C1110,'Ajustes'!$A$5:$A$8,0)&lt;=2,$D1110*INDEX('Ajustes'!$C$5:$C$6,MATCH($C1110,'Ajustes'!$A$5:$A$8,0)),IF(MATCH($C1110,'Ajustes'!$A$5:$A$8,0)=3,-($D1110+$E1110*INDEX('Equipo'!$B$5:$B$29,MATCH($B1110,'Equipo'!$A$5:$A$29,0))),0))),"")</f>
        <v/>
      </c>
      <c r="H1110" s="25">
        <f>IFERROR(IF(OR($B1110="",$C1110=""),"",IF(MATCH($C1110,'Ajustes'!$A$5:$A$8,0)=4,$D1110/INDEX('Equipo'!$B$5:$B$29,MATCH($B1110,'Equipo'!$A$5:$A$29,0))+$E1110,0)),"")</f>
        <v/>
      </c>
      <c r="I1110" s="26">
        <f>IF($B1110='Perfil'!$B$3,COUNTIF($B$4:$B1110,'Perfil'!$B$3),"")</f>
        <v/>
      </c>
    </row>
    <row r="1111">
      <c r="A1111" s="22" t="n"/>
      <c r="B1111" s="23" t="n"/>
      <c r="C1111" s="23" t="n"/>
      <c r="D1111" s="24" t="n"/>
      <c r="E1111" s="24" t="n"/>
      <c r="F1111" s="23" t="n"/>
      <c r="G1111" s="19">
        <f>IFERROR(IF(OR($B1111="",$C1111=""),"",IF(MATCH($C1111,'Ajustes'!$A$5:$A$8,0)&lt;=2,$D1111*INDEX('Ajustes'!$C$5:$C$6,MATCH($C1111,'Ajustes'!$A$5:$A$8,0)),IF(MATCH($C1111,'Ajustes'!$A$5:$A$8,0)=3,-($D1111+$E1111*INDEX('Equipo'!$B$5:$B$29,MATCH($B1111,'Equipo'!$A$5:$A$29,0))),0))),"")</f>
        <v/>
      </c>
      <c r="H1111" s="25">
        <f>IFERROR(IF(OR($B1111="",$C1111=""),"",IF(MATCH($C1111,'Ajustes'!$A$5:$A$8,0)=4,$D1111/INDEX('Equipo'!$B$5:$B$29,MATCH($B1111,'Equipo'!$A$5:$A$29,0))+$E1111,0)),"")</f>
        <v/>
      </c>
      <c r="I1111" s="26">
        <f>IF($B1111='Perfil'!$B$3,COUNTIF($B$4:$B1111,'Perfil'!$B$3),"")</f>
        <v/>
      </c>
    </row>
    <row r="1112">
      <c r="A1112" s="22" t="n"/>
      <c r="B1112" s="23" t="n"/>
      <c r="C1112" s="23" t="n"/>
      <c r="D1112" s="24" t="n"/>
      <c r="E1112" s="24" t="n"/>
      <c r="F1112" s="23" t="n"/>
      <c r="G1112" s="19">
        <f>IFERROR(IF(OR($B1112="",$C1112=""),"",IF(MATCH($C1112,'Ajustes'!$A$5:$A$8,0)&lt;=2,$D1112*INDEX('Ajustes'!$C$5:$C$6,MATCH($C1112,'Ajustes'!$A$5:$A$8,0)),IF(MATCH($C1112,'Ajustes'!$A$5:$A$8,0)=3,-($D1112+$E1112*INDEX('Equipo'!$B$5:$B$29,MATCH($B1112,'Equipo'!$A$5:$A$29,0))),0))),"")</f>
        <v/>
      </c>
      <c r="H1112" s="25">
        <f>IFERROR(IF(OR($B1112="",$C1112=""),"",IF(MATCH($C1112,'Ajustes'!$A$5:$A$8,0)=4,$D1112/INDEX('Equipo'!$B$5:$B$29,MATCH($B1112,'Equipo'!$A$5:$A$29,0))+$E1112,0)),"")</f>
        <v/>
      </c>
      <c r="I1112" s="26">
        <f>IF($B1112='Perfil'!$B$3,COUNTIF($B$4:$B1112,'Perfil'!$B$3),"")</f>
        <v/>
      </c>
    </row>
    <row r="1113">
      <c r="A1113" s="22" t="n"/>
      <c r="B1113" s="23" t="n"/>
      <c r="C1113" s="23" t="n"/>
      <c r="D1113" s="24" t="n"/>
      <c r="E1113" s="24" t="n"/>
      <c r="F1113" s="23" t="n"/>
      <c r="G1113" s="19">
        <f>IFERROR(IF(OR($B1113="",$C1113=""),"",IF(MATCH($C1113,'Ajustes'!$A$5:$A$8,0)&lt;=2,$D1113*INDEX('Ajustes'!$C$5:$C$6,MATCH($C1113,'Ajustes'!$A$5:$A$8,0)),IF(MATCH($C1113,'Ajustes'!$A$5:$A$8,0)=3,-($D1113+$E1113*INDEX('Equipo'!$B$5:$B$29,MATCH($B1113,'Equipo'!$A$5:$A$29,0))),0))),"")</f>
        <v/>
      </c>
      <c r="H1113" s="25">
        <f>IFERROR(IF(OR($B1113="",$C1113=""),"",IF(MATCH($C1113,'Ajustes'!$A$5:$A$8,0)=4,$D1113/INDEX('Equipo'!$B$5:$B$29,MATCH($B1113,'Equipo'!$A$5:$A$29,0))+$E1113,0)),"")</f>
        <v/>
      </c>
      <c r="I1113" s="26">
        <f>IF($B1113='Perfil'!$B$3,COUNTIF($B$4:$B1113,'Perfil'!$B$3),"")</f>
        <v/>
      </c>
    </row>
    <row r="1114">
      <c r="A1114" s="22" t="n"/>
      <c r="B1114" s="23" t="n"/>
      <c r="C1114" s="23" t="n"/>
      <c r="D1114" s="24" t="n"/>
      <c r="E1114" s="24" t="n"/>
      <c r="F1114" s="23" t="n"/>
      <c r="G1114" s="19">
        <f>IFERROR(IF(OR($B1114="",$C1114=""),"",IF(MATCH($C1114,'Ajustes'!$A$5:$A$8,0)&lt;=2,$D1114*INDEX('Ajustes'!$C$5:$C$6,MATCH($C1114,'Ajustes'!$A$5:$A$8,0)),IF(MATCH($C1114,'Ajustes'!$A$5:$A$8,0)=3,-($D1114+$E1114*INDEX('Equipo'!$B$5:$B$29,MATCH($B1114,'Equipo'!$A$5:$A$29,0))),0))),"")</f>
        <v/>
      </c>
      <c r="H1114" s="25">
        <f>IFERROR(IF(OR($B1114="",$C1114=""),"",IF(MATCH($C1114,'Ajustes'!$A$5:$A$8,0)=4,$D1114/INDEX('Equipo'!$B$5:$B$29,MATCH($B1114,'Equipo'!$A$5:$A$29,0))+$E1114,0)),"")</f>
        <v/>
      </c>
      <c r="I1114" s="26">
        <f>IF($B1114='Perfil'!$B$3,COUNTIF($B$4:$B1114,'Perfil'!$B$3),"")</f>
        <v/>
      </c>
    </row>
    <row r="1115">
      <c r="A1115" s="22" t="n"/>
      <c r="B1115" s="23" t="n"/>
      <c r="C1115" s="23" t="n"/>
      <c r="D1115" s="24" t="n"/>
      <c r="E1115" s="24" t="n"/>
      <c r="F1115" s="23" t="n"/>
      <c r="G1115" s="19">
        <f>IFERROR(IF(OR($B1115="",$C1115=""),"",IF(MATCH($C1115,'Ajustes'!$A$5:$A$8,0)&lt;=2,$D1115*INDEX('Ajustes'!$C$5:$C$6,MATCH($C1115,'Ajustes'!$A$5:$A$8,0)),IF(MATCH($C1115,'Ajustes'!$A$5:$A$8,0)=3,-($D1115+$E1115*INDEX('Equipo'!$B$5:$B$29,MATCH($B1115,'Equipo'!$A$5:$A$29,0))),0))),"")</f>
        <v/>
      </c>
      <c r="H1115" s="25">
        <f>IFERROR(IF(OR($B1115="",$C1115=""),"",IF(MATCH($C1115,'Ajustes'!$A$5:$A$8,0)=4,$D1115/INDEX('Equipo'!$B$5:$B$29,MATCH($B1115,'Equipo'!$A$5:$A$29,0))+$E1115,0)),"")</f>
        <v/>
      </c>
      <c r="I1115" s="26">
        <f>IF($B1115='Perfil'!$B$3,COUNTIF($B$4:$B1115,'Perfil'!$B$3),"")</f>
        <v/>
      </c>
    </row>
    <row r="1116">
      <c r="A1116" s="22" t="n"/>
      <c r="B1116" s="23" t="n"/>
      <c r="C1116" s="23" t="n"/>
      <c r="D1116" s="24" t="n"/>
      <c r="E1116" s="24" t="n"/>
      <c r="F1116" s="23" t="n"/>
      <c r="G1116" s="19">
        <f>IFERROR(IF(OR($B1116="",$C1116=""),"",IF(MATCH($C1116,'Ajustes'!$A$5:$A$8,0)&lt;=2,$D1116*INDEX('Ajustes'!$C$5:$C$6,MATCH($C1116,'Ajustes'!$A$5:$A$8,0)),IF(MATCH($C1116,'Ajustes'!$A$5:$A$8,0)=3,-($D1116+$E1116*INDEX('Equipo'!$B$5:$B$29,MATCH($B1116,'Equipo'!$A$5:$A$29,0))),0))),"")</f>
        <v/>
      </c>
      <c r="H1116" s="25">
        <f>IFERROR(IF(OR($B1116="",$C1116=""),"",IF(MATCH($C1116,'Ajustes'!$A$5:$A$8,0)=4,$D1116/INDEX('Equipo'!$B$5:$B$29,MATCH($B1116,'Equipo'!$A$5:$A$29,0))+$E1116,0)),"")</f>
        <v/>
      </c>
      <c r="I1116" s="26">
        <f>IF($B1116='Perfil'!$B$3,COUNTIF($B$4:$B1116,'Perfil'!$B$3),"")</f>
        <v/>
      </c>
    </row>
    <row r="1117">
      <c r="A1117" s="22" t="n"/>
      <c r="B1117" s="23" t="n"/>
      <c r="C1117" s="23" t="n"/>
      <c r="D1117" s="24" t="n"/>
      <c r="E1117" s="24" t="n"/>
      <c r="F1117" s="23" t="n"/>
      <c r="G1117" s="19">
        <f>IFERROR(IF(OR($B1117="",$C1117=""),"",IF(MATCH($C1117,'Ajustes'!$A$5:$A$8,0)&lt;=2,$D1117*INDEX('Ajustes'!$C$5:$C$6,MATCH($C1117,'Ajustes'!$A$5:$A$8,0)),IF(MATCH($C1117,'Ajustes'!$A$5:$A$8,0)=3,-($D1117+$E1117*INDEX('Equipo'!$B$5:$B$29,MATCH($B1117,'Equipo'!$A$5:$A$29,0))),0))),"")</f>
        <v/>
      </c>
      <c r="H1117" s="25">
        <f>IFERROR(IF(OR($B1117="",$C1117=""),"",IF(MATCH($C1117,'Ajustes'!$A$5:$A$8,0)=4,$D1117/INDEX('Equipo'!$B$5:$B$29,MATCH($B1117,'Equipo'!$A$5:$A$29,0))+$E1117,0)),"")</f>
        <v/>
      </c>
      <c r="I1117" s="26">
        <f>IF($B1117='Perfil'!$B$3,COUNTIF($B$4:$B1117,'Perfil'!$B$3),"")</f>
        <v/>
      </c>
    </row>
    <row r="1118">
      <c r="A1118" s="22" t="n"/>
      <c r="B1118" s="23" t="n"/>
      <c r="C1118" s="23" t="n"/>
      <c r="D1118" s="24" t="n"/>
      <c r="E1118" s="24" t="n"/>
      <c r="F1118" s="23" t="n"/>
      <c r="G1118" s="19">
        <f>IFERROR(IF(OR($B1118="",$C1118=""),"",IF(MATCH($C1118,'Ajustes'!$A$5:$A$8,0)&lt;=2,$D1118*INDEX('Ajustes'!$C$5:$C$6,MATCH($C1118,'Ajustes'!$A$5:$A$8,0)),IF(MATCH($C1118,'Ajustes'!$A$5:$A$8,0)=3,-($D1118+$E1118*INDEX('Equipo'!$B$5:$B$29,MATCH($B1118,'Equipo'!$A$5:$A$29,0))),0))),"")</f>
        <v/>
      </c>
      <c r="H1118" s="25">
        <f>IFERROR(IF(OR($B1118="",$C1118=""),"",IF(MATCH($C1118,'Ajustes'!$A$5:$A$8,0)=4,$D1118/INDEX('Equipo'!$B$5:$B$29,MATCH($B1118,'Equipo'!$A$5:$A$29,0))+$E1118,0)),"")</f>
        <v/>
      </c>
      <c r="I1118" s="26">
        <f>IF($B1118='Perfil'!$B$3,COUNTIF($B$4:$B1118,'Perfil'!$B$3),"")</f>
        <v/>
      </c>
    </row>
    <row r="1119">
      <c r="A1119" s="22" t="n"/>
      <c r="B1119" s="23" t="n"/>
      <c r="C1119" s="23" t="n"/>
      <c r="D1119" s="24" t="n"/>
      <c r="E1119" s="24" t="n"/>
      <c r="F1119" s="23" t="n"/>
      <c r="G1119" s="19">
        <f>IFERROR(IF(OR($B1119="",$C1119=""),"",IF(MATCH($C1119,'Ajustes'!$A$5:$A$8,0)&lt;=2,$D1119*INDEX('Ajustes'!$C$5:$C$6,MATCH($C1119,'Ajustes'!$A$5:$A$8,0)),IF(MATCH($C1119,'Ajustes'!$A$5:$A$8,0)=3,-($D1119+$E1119*INDEX('Equipo'!$B$5:$B$29,MATCH($B1119,'Equipo'!$A$5:$A$29,0))),0))),"")</f>
        <v/>
      </c>
      <c r="H1119" s="25">
        <f>IFERROR(IF(OR($B1119="",$C1119=""),"",IF(MATCH($C1119,'Ajustes'!$A$5:$A$8,0)=4,$D1119/INDEX('Equipo'!$B$5:$B$29,MATCH($B1119,'Equipo'!$A$5:$A$29,0))+$E1119,0)),"")</f>
        <v/>
      </c>
      <c r="I1119" s="26">
        <f>IF($B1119='Perfil'!$B$3,COUNTIF($B$4:$B1119,'Perfil'!$B$3),"")</f>
        <v/>
      </c>
    </row>
    <row r="1120">
      <c r="A1120" s="22" t="n"/>
      <c r="B1120" s="23" t="n"/>
      <c r="C1120" s="23" t="n"/>
      <c r="D1120" s="24" t="n"/>
      <c r="E1120" s="24" t="n"/>
      <c r="F1120" s="23" t="n"/>
      <c r="G1120" s="19">
        <f>IFERROR(IF(OR($B1120="",$C1120=""),"",IF(MATCH($C1120,'Ajustes'!$A$5:$A$8,0)&lt;=2,$D1120*INDEX('Ajustes'!$C$5:$C$6,MATCH($C1120,'Ajustes'!$A$5:$A$8,0)),IF(MATCH($C1120,'Ajustes'!$A$5:$A$8,0)=3,-($D1120+$E1120*INDEX('Equipo'!$B$5:$B$29,MATCH($B1120,'Equipo'!$A$5:$A$29,0))),0))),"")</f>
        <v/>
      </c>
      <c r="H1120" s="25">
        <f>IFERROR(IF(OR($B1120="",$C1120=""),"",IF(MATCH($C1120,'Ajustes'!$A$5:$A$8,0)=4,$D1120/INDEX('Equipo'!$B$5:$B$29,MATCH($B1120,'Equipo'!$A$5:$A$29,0))+$E1120,0)),"")</f>
        <v/>
      </c>
      <c r="I1120" s="26">
        <f>IF($B1120='Perfil'!$B$3,COUNTIF($B$4:$B1120,'Perfil'!$B$3),"")</f>
        <v/>
      </c>
    </row>
    <row r="1121">
      <c r="A1121" s="22" t="n"/>
      <c r="B1121" s="23" t="n"/>
      <c r="C1121" s="23" t="n"/>
      <c r="D1121" s="24" t="n"/>
      <c r="E1121" s="24" t="n"/>
      <c r="F1121" s="23" t="n"/>
      <c r="G1121" s="19">
        <f>IFERROR(IF(OR($B1121="",$C1121=""),"",IF(MATCH($C1121,'Ajustes'!$A$5:$A$8,0)&lt;=2,$D1121*INDEX('Ajustes'!$C$5:$C$6,MATCH($C1121,'Ajustes'!$A$5:$A$8,0)),IF(MATCH($C1121,'Ajustes'!$A$5:$A$8,0)=3,-($D1121+$E1121*INDEX('Equipo'!$B$5:$B$29,MATCH($B1121,'Equipo'!$A$5:$A$29,0))),0))),"")</f>
        <v/>
      </c>
      <c r="H1121" s="25">
        <f>IFERROR(IF(OR($B1121="",$C1121=""),"",IF(MATCH($C1121,'Ajustes'!$A$5:$A$8,0)=4,$D1121/INDEX('Equipo'!$B$5:$B$29,MATCH($B1121,'Equipo'!$A$5:$A$29,0))+$E1121,0)),"")</f>
        <v/>
      </c>
      <c r="I1121" s="26">
        <f>IF($B1121='Perfil'!$B$3,COUNTIF($B$4:$B1121,'Perfil'!$B$3),"")</f>
        <v/>
      </c>
    </row>
    <row r="1122">
      <c r="A1122" s="22" t="n"/>
      <c r="B1122" s="23" t="n"/>
      <c r="C1122" s="23" t="n"/>
      <c r="D1122" s="24" t="n"/>
      <c r="E1122" s="24" t="n"/>
      <c r="F1122" s="23" t="n"/>
      <c r="G1122" s="19">
        <f>IFERROR(IF(OR($B1122="",$C1122=""),"",IF(MATCH($C1122,'Ajustes'!$A$5:$A$8,0)&lt;=2,$D1122*INDEX('Ajustes'!$C$5:$C$6,MATCH($C1122,'Ajustes'!$A$5:$A$8,0)),IF(MATCH($C1122,'Ajustes'!$A$5:$A$8,0)=3,-($D1122+$E1122*INDEX('Equipo'!$B$5:$B$29,MATCH($B1122,'Equipo'!$A$5:$A$29,0))),0))),"")</f>
        <v/>
      </c>
      <c r="H1122" s="25">
        <f>IFERROR(IF(OR($B1122="",$C1122=""),"",IF(MATCH($C1122,'Ajustes'!$A$5:$A$8,0)=4,$D1122/INDEX('Equipo'!$B$5:$B$29,MATCH($B1122,'Equipo'!$A$5:$A$29,0))+$E1122,0)),"")</f>
        <v/>
      </c>
      <c r="I1122" s="26">
        <f>IF($B1122='Perfil'!$B$3,COUNTIF($B$4:$B1122,'Perfil'!$B$3),"")</f>
        <v/>
      </c>
    </row>
    <row r="1123">
      <c r="A1123" s="22" t="n"/>
      <c r="B1123" s="23" t="n"/>
      <c r="C1123" s="23" t="n"/>
      <c r="D1123" s="24" t="n"/>
      <c r="E1123" s="24" t="n"/>
      <c r="F1123" s="23" t="n"/>
      <c r="G1123" s="19">
        <f>IFERROR(IF(OR($B1123="",$C1123=""),"",IF(MATCH($C1123,'Ajustes'!$A$5:$A$8,0)&lt;=2,$D1123*INDEX('Ajustes'!$C$5:$C$6,MATCH($C1123,'Ajustes'!$A$5:$A$8,0)),IF(MATCH($C1123,'Ajustes'!$A$5:$A$8,0)=3,-($D1123+$E1123*INDEX('Equipo'!$B$5:$B$29,MATCH($B1123,'Equipo'!$A$5:$A$29,0))),0))),"")</f>
        <v/>
      </c>
      <c r="H1123" s="25">
        <f>IFERROR(IF(OR($B1123="",$C1123=""),"",IF(MATCH($C1123,'Ajustes'!$A$5:$A$8,0)=4,$D1123/INDEX('Equipo'!$B$5:$B$29,MATCH($B1123,'Equipo'!$A$5:$A$29,0))+$E1123,0)),"")</f>
        <v/>
      </c>
      <c r="I1123" s="26">
        <f>IF($B1123='Perfil'!$B$3,COUNTIF($B$4:$B1123,'Perfil'!$B$3),"")</f>
        <v/>
      </c>
    </row>
    <row r="1124">
      <c r="A1124" s="22" t="n"/>
      <c r="B1124" s="23" t="n"/>
      <c r="C1124" s="23" t="n"/>
      <c r="D1124" s="24" t="n"/>
      <c r="E1124" s="24" t="n"/>
      <c r="F1124" s="23" t="n"/>
      <c r="G1124" s="19">
        <f>IFERROR(IF(OR($B1124="",$C1124=""),"",IF(MATCH($C1124,'Ajustes'!$A$5:$A$8,0)&lt;=2,$D1124*INDEX('Ajustes'!$C$5:$C$6,MATCH($C1124,'Ajustes'!$A$5:$A$8,0)),IF(MATCH($C1124,'Ajustes'!$A$5:$A$8,0)=3,-($D1124+$E1124*INDEX('Equipo'!$B$5:$B$29,MATCH($B1124,'Equipo'!$A$5:$A$29,0))),0))),"")</f>
        <v/>
      </c>
      <c r="H1124" s="25">
        <f>IFERROR(IF(OR($B1124="",$C1124=""),"",IF(MATCH($C1124,'Ajustes'!$A$5:$A$8,0)=4,$D1124/INDEX('Equipo'!$B$5:$B$29,MATCH($B1124,'Equipo'!$A$5:$A$29,0))+$E1124,0)),"")</f>
        <v/>
      </c>
      <c r="I1124" s="26">
        <f>IF($B1124='Perfil'!$B$3,COUNTIF($B$4:$B1124,'Perfil'!$B$3),"")</f>
        <v/>
      </c>
    </row>
    <row r="1125">
      <c r="A1125" s="22" t="n"/>
      <c r="B1125" s="23" t="n"/>
      <c r="C1125" s="23" t="n"/>
      <c r="D1125" s="24" t="n"/>
      <c r="E1125" s="24" t="n"/>
      <c r="F1125" s="23" t="n"/>
      <c r="G1125" s="19">
        <f>IFERROR(IF(OR($B1125="",$C1125=""),"",IF(MATCH($C1125,'Ajustes'!$A$5:$A$8,0)&lt;=2,$D1125*INDEX('Ajustes'!$C$5:$C$6,MATCH($C1125,'Ajustes'!$A$5:$A$8,0)),IF(MATCH($C1125,'Ajustes'!$A$5:$A$8,0)=3,-($D1125+$E1125*INDEX('Equipo'!$B$5:$B$29,MATCH($B1125,'Equipo'!$A$5:$A$29,0))),0))),"")</f>
        <v/>
      </c>
      <c r="H1125" s="25">
        <f>IFERROR(IF(OR($B1125="",$C1125=""),"",IF(MATCH($C1125,'Ajustes'!$A$5:$A$8,0)=4,$D1125/INDEX('Equipo'!$B$5:$B$29,MATCH($B1125,'Equipo'!$A$5:$A$29,0))+$E1125,0)),"")</f>
        <v/>
      </c>
      <c r="I1125" s="26">
        <f>IF($B1125='Perfil'!$B$3,COUNTIF($B$4:$B1125,'Perfil'!$B$3),"")</f>
        <v/>
      </c>
    </row>
    <row r="1126">
      <c r="A1126" s="22" t="n"/>
      <c r="B1126" s="23" t="n"/>
      <c r="C1126" s="23" t="n"/>
      <c r="D1126" s="24" t="n"/>
      <c r="E1126" s="24" t="n"/>
      <c r="F1126" s="23" t="n"/>
      <c r="G1126" s="19">
        <f>IFERROR(IF(OR($B1126="",$C1126=""),"",IF(MATCH($C1126,'Ajustes'!$A$5:$A$8,0)&lt;=2,$D1126*INDEX('Ajustes'!$C$5:$C$6,MATCH($C1126,'Ajustes'!$A$5:$A$8,0)),IF(MATCH($C1126,'Ajustes'!$A$5:$A$8,0)=3,-($D1126+$E1126*INDEX('Equipo'!$B$5:$B$29,MATCH($B1126,'Equipo'!$A$5:$A$29,0))),0))),"")</f>
        <v/>
      </c>
      <c r="H1126" s="25">
        <f>IFERROR(IF(OR($B1126="",$C1126=""),"",IF(MATCH($C1126,'Ajustes'!$A$5:$A$8,0)=4,$D1126/INDEX('Equipo'!$B$5:$B$29,MATCH($B1126,'Equipo'!$A$5:$A$29,0))+$E1126,0)),"")</f>
        <v/>
      </c>
      <c r="I1126" s="26">
        <f>IF($B1126='Perfil'!$B$3,COUNTIF($B$4:$B1126,'Perfil'!$B$3),"")</f>
        <v/>
      </c>
    </row>
    <row r="1127">
      <c r="A1127" s="22" t="n"/>
      <c r="B1127" s="23" t="n"/>
      <c r="C1127" s="23" t="n"/>
      <c r="D1127" s="24" t="n"/>
      <c r="E1127" s="24" t="n"/>
      <c r="F1127" s="23" t="n"/>
      <c r="G1127" s="19">
        <f>IFERROR(IF(OR($B1127="",$C1127=""),"",IF(MATCH($C1127,'Ajustes'!$A$5:$A$8,0)&lt;=2,$D1127*INDEX('Ajustes'!$C$5:$C$6,MATCH($C1127,'Ajustes'!$A$5:$A$8,0)),IF(MATCH($C1127,'Ajustes'!$A$5:$A$8,0)=3,-($D1127+$E1127*INDEX('Equipo'!$B$5:$B$29,MATCH($B1127,'Equipo'!$A$5:$A$29,0))),0))),"")</f>
        <v/>
      </c>
      <c r="H1127" s="25">
        <f>IFERROR(IF(OR($B1127="",$C1127=""),"",IF(MATCH($C1127,'Ajustes'!$A$5:$A$8,0)=4,$D1127/INDEX('Equipo'!$B$5:$B$29,MATCH($B1127,'Equipo'!$A$5:$A$29,0))+$E1127,0)),"")</f>
        <v/>
      </c>
      <c r="I1127" s="26">
        <f>IF($B1127='Perfil'!$B$3,COUNTIF($B$4:$B1127,'Perfil'!$B$3),"")</f>
        <v/>
      </c>
    </row>
    <row r="1128">
      <c r="A1128" s="22" t="n"/>
      <c r="B1128" s="23" t="n"/>
      <c r="C1128" s="23" t="n"/>
      <c r="D1128" s="24" t="n"/>
      <c r="E1128" s="24" t="n"/>
      <c r="F1128" s="23" t="n"/>
      <c r="G1128" s="19">
        <f>IFERROR(IF(OR($B1128="",$C1128=""),"",IF(MATCH($C1128,'Ajustes'!$A$5:$A$8,0)&lt;=2,$D1128*INDEX('Ajustes'!$C$5:$C$6,MATCH($C1128,'Ajustes'!$A$5:$A$8,0)),IF(MATCH($C1128,'Ajustes'!$A$5:$A$8,0)=3,-($D1128+$E1128*INDEX('Equipo'!$B$5:$B$29,MATCH($B1128,'Equipo'!$A$5:$A$29,0))),0))),"")</f>
        <v/>
      </c>
      <c r="H1128" s="25">
        <f>IFERROR(IF(OR($B1128="",$C1128=""),"",IF(MATCH($C1128,'Ajustes'!$A$5:$A$8,0)=4,$D1128/INDEX('Equipo'!$B$5:$B$29,MATCH($B1128,'Equipo'!$A$5:$A$29,0))+$E1128,0)),"")</f>
        <v/>
      </c>
      <c r="I1128" s="26">
        <f>IF($B1128='Perfil'!$B$3,COUNTIF($B$4:$B1128,'Perfil'!$B$3),"")</f>
        <v/>
      </c>
    </row>
    <row r="1129">
      <c r="A1129" s="22" t="n"/>
      <c r="B1129" s="23" t="n"/>
      <c r="C1129" s="23" t="n"/>
      <c r="D1129" s="24" t="n"/>
      <c r="E1129" s="24" t="n"/>
      <c r="F1129" s="23" t="n"/>
      <c r="G1129" s="19">
        <f>IFERROR(IF(OR($B1129="",$C1129=""),"",IF(MATCH($C1129,'Ajustes'!$A$5:$A$8,0)&lt;=2,$D1129*INDEX('Ajustes'!$C$5:$C$6,MATCH($C1129,'Ajustes'!$A$5:$A$8,0)),IF(MATCH($C1129,'Ajustes'!$A$5:$A$8,0)=3,-($D1129+$E1129*INDEX('Equipo'!$B$5:$B$29,MATCH($B1129,'Equipo'!$A$5:$A$29,0))),0))),"")</f>
        <v/>
      </c>
      <c r="H1129" s="25">
        <f>IFERROR(IF(OR($B1129="",$C1129=""),"",IF(MATCH($C1129,'Ajustes'!$A$5:$A$8,0)=4,$D1129/INDEX('Equipo'!$B$5:$B$29,MATCH($B1129,'Equipo'!$A$5:$A$29,0))+$E1129,0)),"")</f>
        <v/>
      </c>
      <c r="I1129" s="26">
        <f>IF($B1129='Perfil'!$B$3,COUNTIF($B$4:$B1129,'Perfil'!$B$3),"")</f>
        <v/>
      </c>
    </row>
    <row r="1130">
      <c r="A1130" s="22" t="n"/>
      <c r="B1130" s="23" t="n"/>
      <c r="C1130" s="23" t="n"/>
      <c r="D1130" s="24" t="n"/>
      <c r="E1130" s="24" t="n"/>
      <c r="F1130" s="23" t="n"/>
      <c r="G1130" s="19">
        <f>IFERROR(IF(OR($B1130="",$C1130=""),"",IF(MATCH($C1130,'Ajustes'!$A$5:$A$8,0)&lt;=2,$D1130*INDEX('Ajustes'!$C$5:$C$6,MATCH($C1130,'Ajustes'!$A$5:$A$8,0)),IF(MATCH($C1130,'Ajustes'!$A$5:$A$8,0)=3,-($D1130+$E1130*INDEX('Equipo'!$B$5:$B$29,MATCH($B1130,'Equipo'!$A$5:$A$29,0))),0))),"")</f>
        <v/>
      </c>
      <c r="H1130" s="25">
        <f>IFERROR(IF(OR($B1130="",$C1130=""),"",IF(MATCH($C1130,'Ajustes'!$A$5:$A$8,0)=4,$D1130/INDEX('Equipo'!$B$5:$B$29,MATCH($B1130,'Equipo'!$A$5:$A$29,0))+$E1130,0)),"")</f>
        <v/>
      </c>
      <c r="I1130" s="26">
        <f>IF($B1130='Perfil'!$B$3,COUNTIF($B$4:$B1130,'Perfil'!$B$3),"")</f>
        <v/>
      </c>
    </row>
    <row r="1131">
      <c r="A1131" s="22" t="n"/>
      <c r="B1131" s="23" t="n"/>
      <c r="C1131" s="23" t="n"/>
      <c r="D1131" s="24" t="n"/>
      <c r="E1131" s="24" t="n"/>
      <c r="F1131" s="23" t="n"/>
      <c r="G1131" s="19">
        <f>IFERROR(IF(OR($B1131="",$C1131=""),"",IF(MATCH($C1131,'Ajustes'!$A$5:$A$8,0)&lt;=2,$D1131*INDEX('Ajustes'!$C$5:$C$6,MATCH($C1131,'Ajustes'!$A$5:$A$8,0)),IF(MATCH($C1131,'Ajustes'!$A$5:$A$8,0)=3,-($D1131+$E1131*INDEX('Equipo'!$B$5:$B$29,MATCH($B1131,'Equipo'!$A$5:$A$29,0))),0))),"")</f>
        <v/>
      </c>
      <c r="H1131" s="25">
        <f>IFERROR(IF(OR($B1131="",$C1131=""),"",IF(MATCH($C1131,'Ajustes'!$A$5:$A$8,0)=4,$D1131/INDEX('Equipo'!$B$5:$B$29,MATCH($B1131,'Equipo'!$A$5:$A$29,0))+$E1131,0)),"")</f>
        <v/>
      </c>
      <c r="I1131" s="26">
        <f>IF($B1131='Perfil'!$B$3,COUNTIF($B$4:$B1131,'Perfil'!$B$3),"")</f>
        <v/>
      </c>
    </row>
    <row r="1132">
      <c r="A1132" s="22" t="n"/>
      <c r="B1132" s="23" t="n"/>
      <c r="C1132" s="23" t="n"/>
      <c r="D1132" s="24" t="n"/>
      <c r="E1132" s="24" t="n"/>
      <c r="F1132" s="23" t="n"/>
      <c r="G1132" s="19">
        <f>IFERROR(IF(OR($B1132="",$C1132=""),"",IF(MATCH($C1132,'Ajustes'!$A$5:$A$8,0)&lt;=2,$D1132*INDEX('Ajustes'!$C$5:$C$6,MATCH($C1132,'Ajustes'!$A$5:$A$8,0)),IF(MATCH($C1132,'Ajustes'!$A$5:$A$8,0)=3,-($D1132+$E1132*INDEX('Equipo'!$B$5:$B$29,MATCH($B1132,'Equipo'!$A$5:$A$29,0))),0))),"")</f>
        <v/>
      </c>
      <c r="H1132" s="25">
        <f>IFERROR(IF(OR($B1132="",$C1132=""),"",IF(MATCH($C1132,'Ajustes'!$A$5:$A$8,0)=4,$D1132/INDEX('Equipo'!$B$5:$B$29,MATCH($B1132,'Equipo'!$A$5:$A$29,0))+$E1132,0)),"")</f>
        <v/>
      </c>
      <c r="I1132" s="26">
        <f>IF($B1132='Perfil'!$B$3,COUNTIF($B$4:$B1132,'Perfil'!$B$3),"")</f>
        <v/>
      </c>
    </row>
    <row r="1133">
      <c r="A1133" s="22" t="n"/>
      <c r="B1133" s="23" t="n"/>
      <c r="C1133" s="23" t="n"/>
      <c r="D1133" s="24" t="n"/>
      <c r="E1133" s="24" t="n"/>
      <c r="F1133" s="23" t="n"/>
      <c r="G1133" s="19">
        <f>IFERROR(IF(OR($B1133="",$C1133=""),"",IF(MATCH($C1133,'Ajustes'!$A$5:$A$8,0)&lt;=2,$D1133*INDEX('Ajustes'!$C$5:$C$6,MATCH($C1133,'Ajustes'!$A$5:$A$8,0)),IF(MATCH($C1133,'Ajustes'!$A$5:$A$8,0)=3,-($D1133+$E1133*INDEX('Equipo'!$B$5:$B$29,MATCH($B1133,'Equipo'!$A$5:$A$29,0))),0))),"")</f>
        <v/>
      </c>
      <c r="H1133" s="25">
        <f>IFERROR(IF(OR($B1133="",$C1133=""),"",IF(MATCH($C1133,'Ajustes'!$A$5:$A$8,0)=4,$D1133/INDEX('Equipo'!$B$5:$B$29,MATCH($B1133,'Equipo'!$A$5:$A$29,0))+$E1133,0)),"")</f>
        <v/>
      </c>
      <c r="I1133" s="26">
        <f>IF($B1133='Perfil'!$B$3,COUNTIF($B$4:$B1133,'Perfil'!$B$3),"")</f>
        <v/>
      </c>
    </row>
    <row r="1134">
      <c r="A1134" s="22" t="n"/>
      <c r="B1134" s="23" t="n"/>
      <c r="C1134" s="23" t="n"/>
      <c r="D1134" s="24" t="n"/>
      <c r="E1134" s="24" t="n"/>
      <c r="F1134" s="23" t="n"/>
      <c r="G1134" s="19">
        <f>IFERROR(IF(OR($B1134="",$C1134=""),"",IF(MATCH($C1134,'Ajustes'!$A$5:$A$8,0)&lt;=2,$D1134*INDEX('Ajustes'!$C$5:$C$6,MATCH($C1134,'Ajustes'!$A$5:$A$8,0)),IF(MATCH($C1134,'Ajustes'!$A$5:$A$8,0)=3,-($D1134+$E1134*INDEX('Equipo'!$B$5:$B$29,MATCH($B1134,'Equipo'!$A$5:$A$29,0))),0))),"")</f>
        <v/>
      </c>
      <c r="H1134" s="25">
        <f>IFERROR(IF(OR($B1134="",$C1134=""),"",IF(MATCH($C1134,'Ajustes'!$A$5:$A$8,0)=4,$D1134/INDEX('Equipo'!$B$5:$B$29,MATCH($B1134,'Equipo'!$A$5:$A$29,0))+$E1134,0)),"")</f>
        <v/>
      </c>
      <c r="I1134" s="26">
        <f>IF($B1134='Perfil'!$B$3,COUNTIF($B$4:$B1134,'Perfil'!$B$3),"")</f>
        <v/>
      </c>
    </row>
    <row r="1135">
      <c r="A1135" s="22" t="n"/>
      <c r="B1135" s="23" t="n"/>
      <c r="C1135" s="23" t="n"/>
      <c r="D1135" s="24" t="n"/>
      <c r="E1135" s="24" t="n"/>
      <c r="F1135" s="23" t="n"/>
      <c r="G1135" s="19">
        <f>IFERROR(IF(OR($B1135="",$C1135=""),"",IF(MATCH($C1135,'Ajustes'!$A$5:$A$8,0)&lt;=2,$D1135*INDEX('Ajustes'!$C$5:$C$6,MATCH($C1135,'Ajustes'!$A$5:$A$8,0)),IF(MATCH($C1135,'Ajustes'!$A$5:$A$8,0)=3,-($D1135+$E1135*INDEX('Equipo'!$B$5:$B$29,MATCH($B1135,'Equipo'!$A$5:$A$29,0))),0))),"")</f>
        <v/>
      </c>
      <c r="H1135" s="25">
        <f>IFERROR(IF(OR($B1135="",$C1135=""),"",IF(MATCH($C1135,'Ajustes'!$A$5:$A$8,0)=4,$D1135/INDEX('Equipo'!$B$5:$B$29,MATCH($B1135,'Equipo'!$A$5:$A$29,0))+$E1135,0)),"")</f>
        <v/>
      </c>
      <c r="I1135" s="26">
        <f>IF($B1135='Perfil'!$B$3,COUNTIF($B$4:$B1135,'Perfil'!$B$3),"")</f>
        <v/>
      </c>
    </row>
    <row r="1136">
      <c r="A1136" s="22" t="n"/>
      <c r="B1136" s="23" t="n"/>
      <c r="C1136" s="23" t="n"/>
      <c r="D1136" s="24" t="n"/>
      <c r="E1136" s="24" t="n"/>
      <c r="F1136" s="23" t="n"/>
      <c r="G1136" s="19">
        <f>IFERROR(IF(OR($B1136="",$C1136=""),"",IF(MATCH($C1136,'Ajustes'!$A$5:$A$8,0)&lt;=2,$D1136*INDEX('Ajustes'!$C$5:$C$6,MATCH($C1136,'Ajustes'!$A$5:$A$8,0)),IF(MATCH($C1136,'Ajustes'!$A$5:$A$8,0)=3,-($D1136+$E1136*INDEX('Equipo'!$B$5:$B$29,MATCH($B1136,'Equipo'!$A$5:$A$29,0))),0))),"")</f>
        <v/>
      </c>
      <c r="H1136" s="25">
        <f>IFERROR(IF(OR($B1136="",$C1136=""),"",IF(MATCH($C1136,'Ajustes'!$A$5:$A$8,0)=4,$D1136/INDEX('Equipo'!$B$5:$B$29,MATCH($B1136,'Equipo'!$A$5:$A$29,0))+$E1136,0)),"")</f>
        <v/>
      </c>
      <c r="I1136" s="26">
        <f>IF($B1136='Perfil'!$B$3,COUNTIF($B$4:$B1136,'Perfil'!$B$3),"")</f>
        <v/>
      </c>
    </row>
    <row r="1137">
      <c r="A1137" s="22" t="n"/>
      <c r="B1137" s="23" t="n"/>
      <c r="C1137" s="23" t="n"/>
      <c r="D1137" s="24" t="n"/>
      <c r="E1137" s="24" t="n"/>
      <c r="F1137" s="23" t="n"/>
      <c r="G1137" s="19">
        <f>IFERROR(IF(OR($B1137="",$C1137=""),"",IF(MATCH($C1137,'Ajustes'!$A$5:$A$8,0)&lt;=2,$D1137*INDEX('Ajustes'!$C$5:$C$6,MATCH($C1137,'Ajustes'!$A$5:$A$8,0)),IF(MATCH($C1137,'Ajustes'!$A$5:$A$8,0)=3,-($D1137+$E1137*INDEX('Equipo'!$B$5:$B$29,MATCH($B1137,'Equipo'!$A$5:$A$29,0))),0))),"")</f>
        <v/>
      </c>
      <c r="H1137" s="25">
        <f>IFERROR(IF(OR($B1137="",$C1137=""),"",IF(MATCH($C1137,'Ajustes'!$A$5:$A$8,0)=4,$D1137/INDEX('Equipo'!$B$5:$B$29,MATCH($B1137,'Equipo'!$A$5:$A$29,0))+$E1137,0)),"")</f>
        <v/>
      </c>
      <c r="I1137" s="26">
        <f>IF($B1137='Perfil'!$B$3,COUNTIF($B$4:$B1137,'Perfil'!$B$3),"")</f>
        <v/>
      </c>
    </row>
    <row r="1138">
      <c r="A1138" s="22" t="n"/>
      <c r="B1138" s="23" t="n"/>
      <c r="C1138" s="23" t="n"/>
      <c r="D1138" s="24" t="n"/>
      <c r="E1138" s="24" t="n"/>
      <c r="F1138" s="23" t="n"/>
      <c r="G1138" s="19">
        <f>IFERROR(IF(OR($B1138="",$C1138=""),"",IF(MATCH($C1138,'Ajustes'!$A$5:$A$8,0)&lt;=2,$D1138*INDEX('Ajustes'!$C$5:$C$6,MATCH($C1138,'Ajustes'!$A$5:$A$8,0)),IF(MATCH($C1138,'Ajustes'!$A$5:$A$8,0)=3,-($D1138+$E1138*INDEX('Equipo'!$B$5:$B$29,MATCH($B1138,'Equipo'!$A$5:$A$29,0))),0))),"")</f>
        <v/>
      </c>
      <c r="H1138" s="25">
        <f>IFERROR(IF(OR($B1138="",$C1138=""),"",IF(MATCH($C1138,'Ajustes'!$A$5:$A$8,0)=4,$D1138/INDEX('Equipo'!$B$5:$B$29,MATCH($B1138,'Equipo'!$A$5:$A$29,0))+$E1138,0)),"")</f>
        <v/>
      </c>
      <c r="I1138" s="26">
        <f>IF($B1138='Perfil'!$B$3,COUNTIF($B$4:$B1138,'Perfil'!$B$3),"")</f>
        <v/>
      </c>
    </row>
    <row r="1139">
      <c r="A1139" s="22" t="n"/>
      <c r="B1139" s="23" t="n"/>
      <c r="C1139" s="23" t="n"/>
      <c r="D1139" s="24" t="n"/>
      <c r="E1139" s="24" t="n"/>
      <c r="F1139" s="23" t="n"/>
      <c r="G1139" s="19">
        <f>IFERROR(IF(OR($B1139="",$C1139=""),"",IF(MATCH($C1139,'Ajustes'!$A$5:$A$8,0)&lt;=2,$D1139*INDEX('Ajustes'!$C$5:$C$6,MATCH($C1139,'Ajustes'!$A$5:$A$8,0)),IF(MATCH($C1139,'Ajustes'!$A$5:$A$8,0)=3,-($D1139+$E1139*INDEX('Equipo'!$B$5:$B$29,MATCH($B1139,'Equipo'!$A$5:$A$29,0))),0))),"")</f>
        <v/>
      </c>
      <c r="H1139" s="25">
        <f>IFERROR(IF(OR($B1139="",$C1139=""),"",IF(MATCH($C1139,'Ajustes'!$A$5:$A$8,0)=4,$D1139/INDEX('Equipo'!$B$5:$B$29,MATCH($B1139,'Equipo'!$A$5:$A$29,0))+$E1139,0)),"")</f>
        <v/>
      </c>
      <c r="I1139" s="26">
        <f>IF($B1139='Perfil'!$B$3,COUNTIF($B$4:$B1139,'Perfil'!$B$3),"")</f>
        <v/>
      </c>
    </row>
    <row r="1140">
      <c r="A1140" s="22" t="n"/>
      <c r="B1140" s="23" t="n"/>
      <c r="C1140" s="23" t="n"/>
      <c r="D1140" s="24" t="n"/>
      <c r="E1140" s="24" t="n"/>
      <c r="F1140" s="23" t="n"/>
      <c r="G1140" s="19">
        <f>IFERROR(IF(OR($B1140="",$C1140=""),"",IF(MATCH($C1140,'Ajustes'!$A$5:$A$8,0)&lt;=2,$D1140*INDEX('Ajustes'!$C$5:$C$6,MATCH($C1140,'Ajustes'!$A$5:$A$8,0)),IF(MATCH($C1140,'Ajustes'!$A$5:$A$8,0)=3,-($D1140+$E1140*INDEX('Equipo'!$B$5:$B$29,MATCH($B1140,'Equipo'!$A$5:$A$29,0))),0))),"")</f>
        <v/>
      </c>
      <c r="H1140" s="25">
        <f>IFERROR(IF(OR($B1140="",$C1140=""),"",IF(MATCH($C1140,'Ajustes'!$A$5:$A$8,0)=4,$D1140/INDEX('Equipo'!$B$5:$B$29,MATCH($B1140,'Equipo'!$A$5:$A$29,0))+$E1140,0)),"")</f>
        <v/>
      </c>
      <c r="I1140" s="26">
        <f>IF($B1140='Perfil'!$B$3,COUNTIF($B$4:$B1140,'Perfil'!$B$3),"")</f>
        <v/>
      </c>
    </row>
    <row r="1141">
      <c r="A1141" s="22" t="n"/>
      <c r="B1141" s="23" t="n"/>
      <c r="C1141" s="23" t="n"/>
      <c r="D1141" s="24" t="n"/>
      <c r="E1141" s="24" t="n"/>
      <c r="F1141" s="23" t="n"/>
      <c r="G1141" s="19">
        <f>IFERROR(IF(OR($B1141="",$C1141=""),"",IF(MATCH($C1141,'Ajustes'!$A$5:$A$8,0)&lt;=2,$D1141*INDEX('Ajustes'!$C$5:$C$6,MATCH($C1141,'Ajustes'!$A$5:$A$8,0)),IF(MATCH($C1141,'Ajustes'!$A$5:$A$8,0)=3,-($D1141+$E1141*INDEX('Equipo'!$B$5:$B$29,MATCH($B1141,'Equipo'!$A$5:$A$29,0))),0))),"")</f>
        <v/>
      </c>
      <c r="H1141" s="25">
        <f>IFERROR(IF(OR($B1141="",$C1141=""),"",IF(MATCH($C1141,'Ajustes'!$A$5:$A$8,0)=4,$D1141/INDEX('Equipo'!$B$5:$B$29,MATCH($B1141,'Equipo'!$A$5:$A$29,0))+$E1141,0)),"")</f>
        <v/>
      </c>
      <c r="I1141" s="26">
        <f>IF($B1141='Perfil'!$B$3,COUNTIF($B$4:$B1141,'Perfil'!$B$3),"")</f>
        <v/>
      </c>
    </row>
    <row r="1142">
      <c r="A1142" s="22" t="n"/>
      <c r="B1142" s="23" t="n"/>
      <c r="C1142" s="23" t="n"/>
      <c r="D1142" s="24" t="n"/>
      <c r="E1142" s="24" t="n"/>
      <c r="F1142" s="23" t="n"/>
      <c r="G1142" s="19">
        <f>IFERROR(IF(OR($B1142="",$C1142=""),"",IF(MATCH($C1142,'Ajustes'!$A$5:$A$8,0)&lt;=2,$D1142*INDEX('Ajustes'!$C$5:$C$6,MATCH($C1142,'Ajustes'!$A$5:$A$8,0)),IF(MATCH($C1142,'Ajustes'!$A$5:$A$8,0)=3,-($D1142+$E1142*INDEX('Equipo'!$B$5:$B$29,MATCH($B1142,'Equipo'!$A$5:$A$29,0))),0))),"")</f>
        <v/>
      </c>
      <c r="H1142" s="25">
        <f>IFERROR(IF(OR($B1142="",$C1142=""),"",IF(MATCH($C1142,'Ajustes'!$A$5:$A$8,0)=4,$D1142/INDEX('Equipo'!$B$5:$B$29,MATCH($B1142,'Equipo'!$A$5:$A$29,0))+$E1142,0)),"")</f>
        <v/>
      </c>
      <c r="I1142" s="26">
        <f>IF($B1142='Perfil'!$B$3,COUNTIF($B$4:$B1142,'Perfil'!$B$3),"")</f>
        <v/>
      </c>
    </row>
    <row r="1143">
      <c r="A1143" s="22" t="n"/>
      <c r="B1143" s="23" t="n"/>
      <c r="C1143" s="23" t="n"/>
      <c r="D1143" s="24" t="n"/>
      <c r="E1143" s="24" t="n"/>
      <c r="F1143" s="23" t="n"/>
      <c r="G1143" s="19">
        <f>IFERROR(IF(OR($B1143="",$C1143=""),"",IF(MATCH($C1143,'Ajustes'!$A$5:$A$8,0)&lt;=2,$D1143*INDEX('Ajustes'!$C$5:$C$6,MATCH($C1143,'Ajustes'!$A$5:$A$8,0)),IF(MATCH($C1143,'Ajustes'!$A$5:$A$8,0)=3,-($D1143+$E1143*INDEX('Equipo'!$B$5:$B$29,MATCH($B1143,'Equipo'!$A$5:$A$29,0))),0))),"")</f>
        <v/>
      </c>
      <c r="H1143" s="25">
        <f>IFERROR(IF(OR($B1143="",$C1143=""),"",IF(MATCH($C1143,'Ajustes'!$A$5:$A$8,0)=4,$D1143/INDEX('Equipo'!$B$5:$B$29,MATCH($B1143,'Equipo'!$A$5:$A$29,0))+$E1143,0)),"")</f>
        <v/>
      </c>
      <c r="I1143" s="26">
        <f>IF($B1143='Perfil'!$B$3,COUNTIF($B$4:$B1143,'Perfil'!$B$3),"")</f>
        <v/>
      </c>
    </row>
    <row r="1144">
      <c r="A1144" s="22" t="n"/>
      <c r="B1144" s="23" t="n"/>
      <c r="C1144" s="23" t="n"/>
      <c r="D1144" s="24" t="n"/>
      <c r="E1144" s="24" t="n"/>
      <c r="F1144" s="23" t="n"/>
      <c r="G1144" s="19">
        <f>IFERROR(IF(OR($B1144="",$C1144=""),"",IF(MATCH($C1144,'Ajustes'!$A$5:$A$8,0)&lt;=2,$D1144*INDEX('Ajustes'!$C$5:$C$6,MATCH($C1144,'Ajustes'!$A$5:$A$8,0)),IF(MATCH($C1144,'Ajustes'!$A$5:$A$8,0)=3,-($D1144+$E1144*INDEX('Equipo'!$B$5:$B$29,MATCH($B1144,'Equipo'!$A$5:$A$29,0))),0))),"")</f>
        <v/>
      </c>
      <c r="H1144" s="25">
        <f>IFERROR(IF(OR($B1144="",$C1144=""),"",IF(MATCH($C1144,'Ajustes'!$A$5:$A$8,0)=4,$D1144/INDEX('Equipo'!$B$5:$B$29,MATCH($B1144,'Equipo'!$A$5:$A$29,0))+$E1144,0)),"")</f>
        <v/>
      </c>
      <c r="I1144" s="26">
        <f>IF($B1144='Perfil'!$B$3,COUNTIF($B$4:$B1144,'Perfil'!$B$3),"")</f>
        <v/>
      </c>
    </row>
    <row r="1145">
      <c r="A1145" s="22" t="n"/>
      <c r="B1145" s="23" t="n"/>
      <c r="C1145" s="23" t="n"/>
      <c r="D1145" s="24" t="n"/>
      <c r="E1145" s="24" t="n"/>
      <c r="F1145" s="23" t="n"/>
      <c r="G1145" s="19">
        <f>IFERROR(IF(OR($B1145="",$C1145=""),"",IF(MATCH($C1145,'Ajustes'!$A$5:$A$8,0)&lt;=2,$D1145*INDEX('Ajustes'!$C$5:$C$6,MATCH($C1145,'Ajustes'!$A$5:$A$8,0)),IF(MATCH($C1145,'Ajustes'!$A$5:$A$8,0)=3,-($D1145+$E1145*INDEX('Equipo'!$B$5:$B$29,MATCH($B1145,'Equipo'!$A$5:$A$29,0))),0))),"")</f>
        <v/>
      </c>
      <c r="H1145" s="25">
        <f>IFERROR(IF(OR($B1145="",$C1145=""),"",IF(MATCH($C1145,'Ajustes'!$A$5:$A$8,0)=4,$D1145/INDEX('Equipo'!$B$5:$B$29,MATCH($B1145,'Equipo'!$A$5:$A$29,0))+$E1145,0)),"")</f>
        <v/>
      </c>
      <c r="I1145" s="26">
        <f>IF($B1145='Perfil'!$B$3,COUNTIF($B$4:$B1145,'Perfil'!$B$3),"")</f>
        <v/>
      </c>
    </row>
    <row r="1146">
      <c r="A1146" s="22" t="n"/>
      <c r="B1146" s="23" t="n"/>
      <c r="C1146" s="23" t="n"/>
      <c r="D1146" s="24" t="n"/>
      <c r="E1146" s="24" t="n"/>
      <c r="F1146" s="23" t="n"/>
      <c r="G1146" s="19">
        <f>IFERROR(IF(OR($B1146="",$C1146=""),"",IF(MATCH($C1146,'Ajustes'!$A$5:$A$8,0)&lt;=2,$D1146*INDEX('Ajustes'!$C$5:$C$6,MATCH($C1146,'Ajustes'!$A$5:$A$8,0)),IF(MATCH($C1146,'Ajustes'!$A$5:$A$8,0)=3,-($D1146+$E1146*INDEX('Equipo'!$B$5:$B$29,MATCH($B1146,'Equipo'!$A$5:$A$29,0))),0))),"")</f>
        <v/>
      </c>
      <c r="H1146" s="25">
        <f>IFERROR(IF(OR($B1146="",$C1146=""),"",IF(MATCH($C1146,'Ajustes'!$A$5:$A$8,0)=4,$D1146/INDEX('Equipo'!$B$5:$B$29,MATCH($B1146,'Equipo'!$A$5:$A$29,0))+$E1146,0)),"")</f>
        <v/>
      </c>
      <c r="I1146" s="26">
        <f>IF($B1146='Perfil'!$B$3,COUNTIF($B$4:$B1146,'Perfil'!$B$3),"")</f>
        <v/>
      </c>
    </row>
    <row r="1147">
      <c r="A1147" s="22" t="n"/>
      <c r="B1147" s="23" t="n"/>
      <c r="C1147" s="23" t="n"/>
      <c r="D1147" s="24" t="n"/>
      <c r="E1147" s="24" t="n"/>
      <c r="F1147" s="23" t="n"/>
      <c r="G1147" s="19">
        <f>IFERROR(IF(OR($B1147="",$C1147=""),"",IF(MATCH($C1147,'Ajustes'!$A$5:$A$8,0)&lt;=2,$D1147*INDEX('Ajustes'!$C$5:$C$6,MATCH($C1147,'Ajustes'!$A$5:$A$8,0)),IF(MATCH($C1147,'Ajustes'!$A$5:$A$8,0)=3,-($D1147+$E1147*INDEX('Equipo'!$B$5:$B$29,MATCH($B1147,'Equipo'!$A$5:$A$29,0))),0))),"")</f>
        <v/>
      </c>
      <c r="H1147" s="25">
        <f>IFERROR(IF(OR($B1147="",$C1147=""),"",IF(MATCH($C1147,'Ajustes'!$A$5:$A$8,0)=4,$D1147/INDEX('Equipo'!$B$5:$B$29,MATCH($B1147,'Equipo'!$A$5:$A$29,0))+$E1147,0)),"")</f>
        <v/>
      </c>
      <c r="I1147" s="26">
        <f>IF($B1147='Perfil'!$B$3,COUNTIF($B$4:$B1147,'Perfil'!$B$3),"")</f>
        <v/>
      </c>
    </row>
    <row r="1148">
      <c r="A1148" s="22" t="n"/>
      <c r="B1148" s="23" t="n"/>
      <c r="C1148" s="23" t="n"/>
      <c r="D1148" s="24" t="n"/>
      <c r="E1148" s="24" t="n"/>
      <c r="F1148" s="23" t="n"/>
      <c r="G1148" s="19">
        <f>IFERROR(IF(OR($B1148="",$C1148=""),"",IF(MATCH($C1148,'Ajustes'!$A$5:$A$8,0)&lt;=2,$D1148*INDEX('Ajustes'!$C$5:$C$6,MATCH($C1148,'Ajustes'!$A$5:$A$8,0)),IF(MATCH($C1148,'Ajustes'!$A$5:$A$8,0)=3,-($D1148+$E1148*INDEX('Equipo'!$B$5:$B$29,MATCH($B1148,'Equipo'!$A$5:$A$29,0))),0))),"")</f>
        <v/>
      </c>
      <c r="H1148" s="25">
        <f>IFERROR(IF(OR($B1148="",$C1148=""),"",IF(MATCH($C1148,'Ajustes'!$A$5:$A$8,0)=4,$D1148/INDEX('Equipo'!$B$5:$B$29,MATCH($B1148,'Equipo'!$A$5:$A$29,0))+$E1148,0)),"")</f>
        <v/>
      </c>
      <c r="I1148" s="26">
        <f>IF($B1148='Perfil'!$B$3,COUNTIF($B$4:$B1148,'Perfil'!$B$3),"")</f>
        <v/>
      </c>
    </row>
    <row r="1149">
      <c r="A1149" s="22" t="n"/>
      <c r="B1149" s="23" t="n"/>
      <c r="C1149" s="23" t="n"/>
      <c r="D1149" s="24" t="n"/>
      <c r="E1149" s="24" t="n"/>
      <c r="F1149" s="23" t="n"/>
      <c r="G1149" s="19">
        <f>IFERROR(IF(OR($B1149="",$C1149=""),"",IF(MATCH($C1149,'Ajustes'!$A$5:$A$8,0)&lt;=2,$D1149*INDEX('Ajustes'!$C$5:$C$6,MATCH($C1149,'Ajustes'!$A$5:$A$8,0)),IF(MATCH($C1149,'Ajustes'!$A$5:$A$8,0)=3,-($D1149+$E1149*INDEX('Equipo'!$B$5:$B$29,MATCH($B1149,'Equipo'!$A$5:$A$29,0))),0))),"")</f>
        <v/>
      </c>
      <c r="H1149" s="25">
        <f>IFERROR(IF(OR($B1149="",$C1149=""),"",IF(MATCH($C1149,'Ajustes'!$A$5:$A$8,0)=4,$D1149/INDEX('Equipo'!$B$5:$B$29,MATCH($B1149,'Equipo'!$A$5:$A$29,0))+$E1149,0)),"")</f>
        <v/>
      </c>
      <c r="I1149" s="26">
        <f>IF($B1149='Perfil'!$B$3,COUNTIF($B$4:$B1149,'Perfil'!$B$3),"")</f>
        <v/>
      </c>
    </row>
    <row r="1150">
      <c r="A1150" s="22" t="n"/>
      <c r="B1150" s="23" t="n"/>
      <c r="C1150" s="23" t="n"/>
      <c r="D1150" s="24" t="n"/>
      <c r="E1150" s="24" t="n"/>
      <c r="F1150" s="23" t="n"/>
      <c r="G1150" s="19">
        <f>IFERROR(IF(OR($B1150="",$C1150=""),"",IF(MATCH($C1150,'Ajustes'!$A$5:$A$8,0)&lt;=2,$D1150*INDEX('Ajustes'!$C$5:$C$6,MATCH($C1150,'Ajustes'!$A$5:$A$8,0)),IF(MATCH($C1150,'Ajustes'!$A$5:$A$8,0)=3,-($D1150+$E1150*INDEX('Equipo'!$B$5:$B$29,MATCH($B1150,'Equipo'!$A$5:$A$29,0))),0))),"")</f>
        <v/>
      </c>
      <c r="H1150" s="25">
        <f>IFERROR(IF(OR($B1150="",$C1150=""),"",IF(MATCH($C1150,'Ajustes'!$A$5:$A$8,0)=4,$D1150/INDEX('Equipo'!$B$5:$B$29,MATCH($B1150,'Equipo'!$A$5:$A$29,0))+$E1150,0)),"")</f>
        <v/>
      </c>
      <c r="I1150" s="26">
        <f>IF($B1150='Perfil'!$B$3,COUNTIF($B$4:$B1150,'Perfil'!$B$3),"")</f>
        <v/>
      </c>
    </row>
    <row r="1151">
      <c r="A1151" s="22" t="n"/>
      <c r="B1151" s="23" t="n"/>
      <c r="C1151" s="23" t="n"/>
      <c r="D1151" s="24" t="n"/>
      <c r="E1151" s="24" t="n"/>
      <c r="F1151" s="23" t="n"/>
      <c r="G1151" s="19">
        <f>IFERROR(IF(OR($B1151="",$C1151=""),"",IF(MATCH($C1151,'Ajustes'!$A$5:$A$8,0)&lt;=2,$D1151*INDEX('Ajustes'!$C$5:$C$6,MATCH($C1151,'Ajustes'!$A$5:$A$8,0)),IF(MATCH($C1151,'Ajustes'!$A$5:$A$8,0)=3,-($D1151+$E1151*INDEX('Equipo'!$B$5:$B$29,MATCH($B1151,'Equipo'!$A$5:$A$29,0))),0))),"")</f>
        <v/>
      </c>
      <c r="H1151" s="25">
        <f>IFERROR(IF(OR($B1151="",$C1151=""),"",IF(MATCH($C1151,'Ajustes'!$A$5:$A$8,0)=4,$D1151/INDEX('Equipo'!$B$5:$B$29,MATCH($B1151,'Equipo'!$A$5:$A$29,0))+$E1151,0)),"")</f>
        <v/>
      </c>
      <c r="I1151" s="26">
        <f>IF($B1151='Perfil'!$B$3,COUNTIF($B$4:$B1151,'Perfil'!$B$3),"")</f>
        <v/>
      </c>
    </row>
    <row r="1152">
      <c r="A1152" s="22" t="n"/>
      <c r="B1152" s="23" t="n"/>
      <c r="C1152" s="23" t="n"/>
      <c r="D1152" s="24" t="n"/>
      <c r="E1152" s="24" t="n"/>
      <c r="F1152" s="23" t="n"/>
      <c r="G1152" s="19">
        <f>IFERROR(IF(OR($B1152="",$C1152=""),"",IF(MATCH($C1152,'Ajustes'!$A$5:$A$8,0)&lt;=2,$D1152*INDEX('Ajustes'!$C$5:$C$6,MATCH($C1152,'Ajustes'!$A$5:$A$8,0)),IF(MATCH($C1152,'Ajustes'!$A$5:$A$8,0)=3,-($D1152+$E1152*INDEX('Equipo'!$B$5:$B$29,MATCH($B1152,'Equipo'!$A$5:$A$29,0))),0))),"")</f>
        <v/>
      </c>
      <c r="H1152" s="25">
        <f>IFERROR(IF(OR($B1152="",$C1152=""),"",IF(MATCH($C1152,'Ajustes'!$A$5:$A$8,0)=4,$D1152/INDEX('Equipo'!$B$5:$B$29,MATCH($B1152,'Equipo'!$A$5:$A$29,0))+$E1152,0)),"")</f>
        <v/>
      </c>
      <c r="I1152" s="26">
        <f>IF($B1152='Perfil'!$B$3,COUNTIF($B$4:$B1152,'Perfil'!$B$3),"")</f>
        <v/>
      </c>
    </row>
    <row r="1153">
      <c r="A1153" s="22" t="n"/>
      <c r="B1153" s="23" t="n"/>
      <c r="C1153" s="23" t="n"/>
      <c r="D1153" s="24" t="n"/>
      <c r="E1153" s="24" t="n"/>
      <c r="F1153" s="23" t="n"/>
      <c r="G1153" s="19">
        <f>IFERROR(IF(OR($B1153="",$C1153=""),"",IF(MATCH($C1153,'Ajustes'!$A$5:$A$8,0)&lt;=2,$D1153*INDEX('Ajustes'!$C$5:$C$6,MATCH($C1153,'Ajustes'!$A$5:$A$8,0)),IF(MATCH($C1153,'Ajustes'!$A$5:$A$8,0)=3,-($D1153+$E1153*INDEX('Equipo'!$B$5:$B$29,MATCH($B1153,'Equipo'!$A$5:$A$29,0))),0))),"")</f>
        <v/>
      </c>
      <c r="H1153" s="25">
        <f>IFERROR(IF(OR($B1153="",$C1153=""),"",IF(MATCH($C1153,'Ajustes'!$A$5:$A$8,0)=4,$D1153/INDEX('Equipo'!$B$5:$B$29,MATCH($B1153,'Equipo'!$A$5:$A$29,0))+$E1153,0)),"")</f>
        <v/>
      </c>
      <c r="I1153" s="26">
        <f>IF($B1153='Perfil'!$B$3,COUNTIF($B$4:$B1153,'Perfil'!$B$3),"")</f>
        <v/>
      </c>
    </row>
    <row r="1154">
      <c r="A1154" s="22" t="n"/>
      <c r="B1154" s="23" t="n"/>
      <c r="C1154" s="23" t="n"/>
      <c r="D1154" s="24" t="n"/>
      <c r="E1154" s="24" t="n"/>
      <c r="F1154" s="23" t="n"/>
      <c r="G1154" s="19">
        <f>IFERROR(IF(OR($B1154="",$C1154=""),"",IF(MATCH($C1154,'Ajustes'!$A$5:$A$8,0)&lt;=2,$D1154*INDEX('Ajustes'!$C$5:$C$6,MATCH($C1154,'Ajustes'!$A$5:$A$8,0)),IF(MATCH($C1154,'Ajustes'!$A$5:$A$8,0)=3,-($D1154+$E1154*INDEX('Equipo'!$B$5:$B$29,MATCH($B1154,'Equipo'!$A$5:$A$29,0))),0))),"")</f>
        <v/>
      </c>
      <c r="H1154" s="25">
        <f>IFERROR(IF(OR($B1154="",$C1154=""),"",IF(MATCH($C1154,'Ajustes'!$A$5:$A$8,0)=4,$D1154/INDEX('Equipo'!$B$5:$B$29,MATCH($B1154,'Equipo'!$A$5:$A$29,0))+$E1154,0)),"")</f>
        <v/>
      </c>
      <c r="I1154" s="26">
        <f>IF($B1154='Perfil'!$B$3,COUNTIF($B$4:$B1154,'Perfil'!$B$3),"")</f>
        <v/>
      </c>
    </row>
    <row r="1155">
      <c r="A1155" s="22" t="n"/>
      <c r="B1155" s="23" t="n"/>
      <c r="C1155" s="23" t="n"/>
      <c r="D1155" s="24" t="n"/>
      <c r="E1155" s="24" t="n"/>
      <c r="F1155" s="23" t="n"/>
      <c r="G1155" s="19">
        <f>IFERROR(IF(OR($B1155="",$C1155=""),"",IF(MATCH($C1155,'Ajustes'!$A$5:$A$8,0)&lt;=2,$D1155*INDEX('Ajustes'!$C$5:$C$6,MATCH($C1155,'Ajustes'!$A$5:$A$8,0)),IF(MATCH($C1155,'Ajustes'!$A$5:$A$8,0)=3,-($D1155+$E1155*INDEX('Equipo'!$B$5:$B$29,MATCH($B1155,'Equipo'!$A$5:$A$29,0))),0))),"")</f>
        <v/>
      </c>
      <c r="H1155" s="25">
        <f>IFERROR(IF(OR($B1155="",$C1155=""),"",IF(MATCH($C1155,'Ajustes'!$A$5:$A$8,0)=4,$D1155/INDEX('Equipo'!$B$5:$B$29,MATCH($B1155,'Equipo'!$A$5:$A$29,0))+$E1155,0)),"")</f>
        <v/>
      </c>
      <c r="I1155" s="26">
        <f>IF($B1155='Perfil'!$B$3,COUNTIF($B$4:$B1155,'Perfil'!$B$3),"")</f>
        <v/>
      </c>
    </row>
    <row r="1156">
      <c r="A1156" s="22" t="n"/>
      <c r="B1156" s="23" t="n"/>
      <c r="C1156" s="23" t="n"/>
      <c r="D1156" s="24" t="n"/>
      <c r="E1156" s="24" t="n"/>
      <c r="F1156" s="23" t="n"/>
      <c r="G1156" s="19">
        <f>IFERROR(IF(OR($B1156="",$C1156=""),"",IF(MATCH($C1156,'Ajustes'!$A$5:$A$8,0)&lt;=2,$D1156*INDEX('Ajustes'!$C$5:$C$6,MATCH($C1156,'Ajustes'!$A$5:$A$8,0)),IF(MATCH($C1156,'Ajustes'!$A$5:$A$8,0)=3,-($D1156+$E1156*INDEX('Equipo'!$B$5:$B$29,MATCH($B1156,'Equipo'!$A$5:$A$29,0))),0))),"")</f>
        <v/>
      </c>
      <c r="H1156" s="25">
        <f>IFERROR(IF(OR($B1156="",$C1156=""),"",IF(MATCH($C1156,'Ajustes'!$A$5:$A$8,0)=4,$D1156/INDEX('Equipo'!$B$5:$B$29,MATCH($B1156,'Equipo'!$A$5:$A$29,0))+$E1156,0)),"")</f>
        <v/>
      </c>
      <c r="I1156" s="26">
        <f>IF($B1156='Perfil'!$B$3,COUNTIF($B$4:$B1156,'Perfil'!$B$3),"")</f>
        <v/>
      </c>
    </row>
    <row r="1157">
      <c r="A1157" s="22" t="n"/>
      <c r="B1157" s="23" t="n"/>
      <c r="C1157" s="23" t="n"/>
      <c r="D1157" s="24" t="n"/>
      <c r="E1157" s="24" t="n"/>
      <c r="F1157" s="23" t="n"/>
      <c r="G1157" s="19">
        <f>IFERROR(IF(OR($B1157="",$C1157=""),"",IF(MATCH($C1157,'Ajustes'!$A$5:$A$8,0)&lt;=2,$D1157*INDEX('Ajustes'!$C$5:$C$6,MATCH($C1157,'Ajustes'!$A$5:$A$8,0)),IF(MATCH($C1157,'Ajustes'!$A$5:$A$8,0)=3,-($D1157+$E1157*INDEX('Equipo'!$B$5:$B$29,MATCH($B1157,'Equipo'!$A$5:$A$29,0))),0))),"")</f>
        <v/>
      </c>
      <c r="H1157" s="25">
        <f>IFERROR(IF(OR($B1157="",$C1157=""),"",IF(MATCH($C1157,'Ajustes'!$A$5:$A$8,0)=4,$D1157/INDEX('Equipo'!$B$5:$B$29,MATCH($B1157,'Equipo'!$A$5:$A$29,0))+$E1157,0)),"")</f>
        <v/>
      </c>
      <c r="I1157" s="26">
        <f>IF($B1157='Perfil'!$B$3,COUNTIF($B$4:$B1157,'Perfil'!$B$3),"")</f>
        <v/>
      </c>
    </row>
    <row r="1158">
      <c r="A1158" s="22" t="n"/>
      <c r="B1158" s="23" t="n"/>
      <c r="C1158" s="23" t="n"/>
      <c r="D1158" s="24" t="n"/>
      <c r="E1158" s="24" t="n"/>
      <c r="F1158" s="23" t="n"/>
      <c r="G1158" s="19">
        <f>IFERROR(IF(OR($B1158="",$C1158=""),"",IF(MATCH($C1158,'Ajustes'!$A$5:$A$8,0)&lt;=2,$D1158*INDEX('Ajustes'!$C$5:$C$6,MATCH($C1158,'Ajustes'!$A$5:$A$8,0)),IF(MATCH($C1158,'Ajustes'!$A$5:$A$8,0)=3,-($D1158+$E1158*INDEX('Equipo'!$B$5:$B$29,MATCH($B1158,'Equipo'!$A$5:$A$29,0))),0))),"")</f>
        <v/>
      </c>
      <c r="H1158" s="25">
        <f>IFERROR(IF(OR($B1158="",$C1158=""),"",IF(MATCH($C1158,'Ajustes'!$A$5:$A$8,0)=4,$D1158/INDEX('Equipo'!$B$5:$B$29,MATCH($B1158,'Equipo'!$A$5:$A$29,0))+$E1158,0)),"")</f>
        <v/>
      </c>
      <c r="I1158" s="26">
        <f>IF($B1158='Perfil'!$B$3,COUNTIF($B$4:$B1158,'Perfil'!$B$3),"")</f>
        <v/>
      </c>
    </row>
    <row r="1159">
      <c r="A1159" s="22" t="n"/>
      <c r="B1159" s="23" t="n"/>
      <c r="C1159" s="23" t="n"/>
      <c r="D1159" s="24" t="n"/>
      <c r="E1159" s="24" t="n"/>
      <c r="F1159" s="23" t="n"/>
      <c r="G1159" s="19">
        <f>IFERROR(IF(OR($B1159="",$C1159=""),"",IF(MATCH($C1159,'Ajustes'!$A$5:$A$8,0)&lt;=2,$D1159*INDEX('Ajustes'!$C$5:$C$6,MATCH($C1159,'Ajustes'!$A$5:$A$8,0)),IF(MATCH($C1159,'Ajustes'!$A$5:$A$8,0)=3,-($D1159+$E1159*INDEX('Equipo'!$B$5:$B$29,MATCH($B1159,'Equipo'!$A$5:$A$29,0))),0))),"")</f>
        <v/>
      </c>
      <c r="H1159" s="25">
        <f>IFERROR(IF(OR($B1159="",$C1159=""),"",IF(MATCH($C1159,'Ajustes'!$A$5:$A$8,0)=4,$D1159/INDEX('Equipo'!$B$5:$B$29,MATCH($B1159,'Equipo'!$A$5:$A$29,0))+$E1159,0)),"")</f>
        <v/>
      </c>
      <c r="I1159" s="26">
        <f>IF($B1159='Perfil'!$B$3,COUNTIF($B$4:$B1159,'Perfil'!$B$3),"")</f>
        <v/>
      </c>
    </row>
    <row r="1160">
      <c r="A1160" s="22" t="n"/>
      <c r="B1160" s="23" t="n"/>
      <c r="C1160" s="23" t="n"/>
      <c r="D1160" s="24" t="n"/>
      <c r="E1160" s="24" t="n"/>
      <c r="F1160" s="23" t="n"/>
      <c r="G1160" s="19">
        <f>IFERROR(IF(OR($B1160="",$C1160=""),"",IF(MATCH($C1160,'Ajustes'!$A$5:$A$8,0)&lt;=2,$D1160*INDEX('Ajustes'!$C$5:$C$6,MATCH($C1160,'Ajustes'!$A$5:$A$8,0)),IF(MATCH($C1160,'Ajustes'!$A$5:$A$8,0)=3,-($D1160+$E1160*INDEX('Equipo'!$B$5:$B$29,MATCH($B1160,'Equipo'!$A$5:$A$29,0))),0))),"")</f>
        <v/>
      </c>
      <c r="H1160" s="25">
        <f>IFERROR(IF(OR($B1160="",$C1160=""),"",IF(MATCH($C1160,'Ajustes'!$A$5:$A$8,0)=4,$D1160/INDEX('Equipo'!$B$5:$B$29,MATCH($B1160,'Equipo'!$A$5:$A$29,0))+$E1160,0)),"")</f>
        <v/>
      </c>
      <c r="I1160" s="26">
        <f>IF($B1160='Perfil'!$B$3,COUNTIF($B$4:$B1160,'Perfil'!$B$3),"")</f>
        <v/>
      </c>
    </row>
    <row r="1161">
      <c r="A1161" s="22" t="n"/>
      <c r="B1161" s="23" t="n"/>
      <c r="C1161" s="23" t="n"/>
      <c r="D1161" s="24" t="n"/>
      <c r="E1161" s="24" t="n"/>
      <c r="F1161" s="23" t="n"/>
      <c r="G1161" s="19">
        <f>IFERROR(IF(OR($B1161="",$C1161=""),"",IF(MATCH($C1161,'Ajustes'!$A$5:$A$8,0)&lt;=2,$D1161*INDEX('Ajustes'!$C$5:$C$6,MATCH($C1161,'Ajustes'!$A$5:$A$8,0)),IF(MATCH($C1161,'Ajustes'!$A$5:$A$8,0)=3,-($D1161+$E1161*INDEX('Equipo'!$B$5:$B$29,MATCH($B1161,'Equipo'!$A$5:$A$29,0))),0))),"")</f>
        <v/>
      </c>
      <c r="H1161" s="25">
        <f>IFERROR(IF(OR($B1161="",$C1161=""),"",IF(MATCH($C1161,'Ajustes'!$A$5:$A$8,0)=4,$D1161/INDEX('Equipo'!$B$5:$B$29,MATCH($B1161,'Equipo'!$A$5:$A$29,0))+$E1161,0)),"")</f>
        <v/>
      </c>
      <c r="I1161" s="26">
        <f>IF($B1161='Perfil'!$B$3,COUNTIF($B$4:$B1161,'Perfil'!$B$3),"")</f>
        <v/>
      </c>
    </row>
    <row r="1162">
      <c r="A1162" s="22" t="n"/>
      <c r="B1162" s="23" t="n"/>
      <c r="C1162" s="23" t="n"/>
      <c r="D1162" s="24" t="n"/>
      <c r="E1162" s="24" t="n"/>
      <c r="F1162" s="23" t="n"/>
      <c r="G1162" s="19">
        <f>IFERROR(IF(OR($B1162="",$C1162=""),"",IF(MATCH($C1162,'Ajustes'!$A$5:$A$8,0)&lt;=2,$D1162*INDEX('Ajustes'!$C$5:$C$6,MATCH($C1162,'Ajustes'!$A$5:$A$8,0)),IF(MATCH($C1162,'Ajustes'!$A$5:$A$8,0)=3,-($D1162+$E1162*INDEX('Equipo'!$B$5:$B$29,MATCH($B1162,'Equipo'!$A$5:$A$29,0))),0))),"")</f>
        <v/>
      </c>
      <c r="H1162" s="25">
        <f>IFERROR(IF(OR($B1162="",$C1162=""),"",IF(MATCH($C1162,'Ajustes'!$A$5:$A$8,0)=4,$D1162/INDEX('Equipo'!$B$5:$B$29,MATCH($B1162,'Equipo'!$A$5:$A$29,0))+$E1162,0)),"")</f>
        <v/>
      </c>
      <c r="I1162" s="26">
        <f>IF($B1162='Perfil'!$B$3,COUNTIF($B$4:$B1162,'Perfil'!$B$3),"")</f>
        <v/>
      </c>
    </row>
    <row r="1163">
      <c r="A1163" s="22" t="n"/>
      <c r="B1163" s="23" t="n"/>
      <c r="C1163" s="23" t="n"/>
      <c r="D1163" s="24" t="n"/>
      <c r="E1163" s="24" t="n"/>
      <c r="F1163" s="23" t="n"/>
      <c r="G1163" s="19">
        <f>IFERROR(IF(OR($B1163="",$C1163=""),"",IF(MATCH($C1163,'Ajustes'!$A$5:$A$8,0)&lt;=2,$D1163*INDEX('Ajustes'!$C$5:$C$6,MATCH($C1163,'Ajustes'!$A$5:$A$8,0)),IF(MATCH($C1163,'Ajustes'!$A$5:$A$8,0)=3,-($D1163+$E1163*INDEX('Equipo'!$B$5:$B$29,MATCH($B1163,'Equipo'!$A$5:$A$29,0))),0))),"")</f>
        <v/>
      </c>
      <c r="H1163" s="25">
        <f>IFERROR(IF(OR($B1163="",$C1163=""),"",IF(MATCH($C1163,'Ajustes'!$A$5:$A$8,0)=4,$D1163/INDEX('Equipo'!$B$5:$B$29,MATCH($B1163,'Equipo'!$A$5:$A$29,0))+$E1163,0)),"")</f>
        <v/>
      </c>
      <c r="I1163" s="26">
        <f>IF($B1163='Perfil'!$B$3,COUNTIF($B$4:$B1163,'Perfil'!$B$3),"")</f>
        <v/>
      </c>
    </row>
    <row r="1164">
      <c r="A1164" s="22" t="n"/>
      <c r="B1164" s="23" t="n"/>
      <c r="C1164" s="23" t="n"/>
      <c r="D1164" s="24" t="n"/>
      <c r="E1164" s="24" t="n"/>
      <c r="F1164" s="23" t="n"/>
      <c r="G1164" s="19">
        <f>IFERROR(IF(OR($B1164="",$C1164=""),"",IF(MATCH($C1164,'Ajustes'!$A$5:$A$8,0)&lt;=2,$D1164*INDEX('Ajustes'!$C$5:$C$6,MATCH($C1164,'Ajustes'!$A$5:$A$8,0)),IF(MATCH($C1164,'Ajustes'!$A$5:$A$8,0)=3,-($D1164+$E1164*INDEX('Equipo'!$B$5:$B$29,MATCH($B1164,'Equipo'!$A$5:$A$29,0))),0))),"")</f>
        <v/>
      </c>
      <c r="H1164" s="25">
        <f>IFERROR(IF(OR($B1164="",$C1164=""),"",IF(MATCH($C1164,'Ajustes'!$A$5:$A$8,0)=4,$D1164/INDEX('Equipo'!$B$5:$B$29,MATCH($B1164,'Equipo'!$A$5:$A$29,0))+$E1164,0)),"")</f>
        <v/>
      </c>
      <c r="I1164" s="26">
        <f>IF($B1164='Perfil'!$B$3,COUNTIF($B$4:$B1164,'Perfil'!$B$3),"")</f>
        <v/>
      </c>
    </row>
    <row r="1165">
      <c r="A1165" s="22" t="n"/>
      <c r="B1165" s="23" t="n"/>
      <c r="C1165" s="23" t="n"/>
      <c r="D1165" s="24" t="n"/>
      <c r="E1165" s="24" t="n"/>
      <c r="F1165" s="23" t="n"/>
      <c r="G1165" s="19">
        <f>IFERROR(IF(OR($B1165="",$C1165=""),"",IF(MATCH($C1165,'Ajustes'!$A$5:$A$8,0)&lt;=2,$D1165*INDEX('Ajustes'!$C$5:$C$6,MATCH($C1165,'Ajustes'!$A$5:$A$8,0)),IF(MATCH($C1165,'Ajustes'!$A$5:$A$8,0)=3,-($D1165+$E1165*INDEX('Equipo'!$B$5:$B$29,MATCH($B1165,'Equipo'!$A$5:$A$29,0))),0))),"")</f>
        <v/>
      </c>
      <c r="H1165" s="25">
        <f>IFERROR(IF(OR($B1165="",$C1165=""),"",IF(MATCH($C1165,'Ajustes'!$A$5:$A$8,0)=4,$D1165/INDEX('Equipo'!$B$5:$B$29,MATCH($B1165,'Equipo'!$A$5:$A$29,0))+$E1165,0)),"")</f>
        <v/>
      </c>
      <c r="I1165" s="26">
        <f>IF($B1165='Perfil'!$B$3,COUNTIF($B$4:$B1165,'Perfil'!$B$3),"")</f>
        <v/>
      </c>
    </row>
    <row r="1166">
      <c r="A1166" s="22" t="n"/>
      <c r="B1166" s="23" t="n"/>
      <c r="C1166" s="23" t="n"/>
      <c r="D1166" s="24" t="n"/>
      <c r="E1166" s="24" t="n"/>
      <c r="F1166" s="23" t="n"/>
      <c r="G1166" s="19">
        <f>IFERROR(IF(OR($B1166="",$C1166=""),"",IF(MATCH($C1166,'Ajustes'!$A$5:$A$8,0)&lt;=2,$D1166*INDEX('Ajustes'!$C$5:$C$6,MATCH($C1166,'Ajustes'!$A$5:$A$8,0)),IF(MATCH($C1166,'Ajustes'!$A$5:$A$8,0)=3,-($D1166+$E1166*INDEX('Equipo'!$B$5:$B$29,MATCH($B1166,'Equipo'!$A$5:$A$29,0))),0))),"")</f>
        <v/>
      </c>
      <c r="H1166" s="25">
        <f>IFERROR(IF(OR($B1166="",$C1166=""),"",IF(MATCH($C1166,'Ajustes'!$A$5:$A$8,0)=4,$D1166/INDEX('Equipo'!$B$5:$B$29,MATCH($B1166,'Equipo'!$A$5:$A$29,0))+$E1166,0)),"")</f>
        <v/>
      </c>
      <c r="I1166" s="26">
        <f>IF($B1166='Perfil'!$B$3,COUNTIF($B$4:$B1166,'Perfil'!$B$3),"")</f>
        <v/>
      </c>
    </row>
    <row r="1167">
      <c r="A1167" s="22" t="n"/>
      <c r="B1167" s="23" t="n"/>
      <c r="C1167" s="23" t="n"/>
      <c r="D1167" s="24" t="n"/>
      <c r="E1167" s="24" t="n"/>
      <c r="F1167" s="23" t="n"/>
      <c r="G1167" s="19">
        <f>IFERROR(IF(OR($B1167="",$C1167=""),"",IF(MATCH($C1167,'Ajustes'!$A$5:$A$8,0)&lt;=2,$D1167*INDEX('Ajustes'!$C$5:$C$6,MATCH($C1167,'Ajustes'!$A$5:$A$8,0)),IF(MATCH($C1167,'Ajustes'!$A$5:$A$8,0)=3,-($D1167+$E1167*INDEX('Equipo'!$B$5:$B$29,MATCH($B1167,'Equipo'!$A$5:$A$29,0))),0))),"")</f>
        <v/>
      </c>
      <c r="H1167" s="25">
        <f>IFERROR(IF(OR($B1167="",$C1167=""),"",IF(MATCH($C1167,'Ajustes'!$A$5:$A$8,0)=4,$D1167/INDEX('Equipo'!$B$5:$B$29,MATCH($B1167,'Equipo'!$A$5:$A$29,0))+$E1167,0)),"")</f>
        <v/>
      </c>
      <c r="I1167" s="26">
        <f>IF($B1167='Perfil'!$B$3,COUNTIF($B$4:$B1167,'Perfil'!$B$3),"")</f>
        <v/>
      </c>
    </row>
    <row r="1168">
      <c r="A1168" s="22" t="n"/>
      <c r="B1168" s="23" t="n"/>
      <c r="C1168" s="23" t="n"/>
      <c r="D1168" s="24" t="n"/>
      <c r="E1168" s="24" t="n"/>
      <c r="F1168" s="23" t="n"/>
      <c r="G1168" s="19">
        <f>IFERROR(IF(OR($B1168="",$C1168=""),"",IF(MATCH($C1168,'Ajustes'!$A$5:$A$8,0)&lt;=2,$D1168*INDEX('Ajustes'!$C$5:$C$6,MATCH($C1168,'Ajustes'!$A$5:$A$8,0)),IF(MATCH($C1168,'Ajustes'!$A$5:$A$8,0)=3,-($D1168+$E1168*INDEX('Equipo'!$B$5:$B$29,MATCH($B1168,'Equipo'!$A$5:$A$29,0))),0))),"")</f>
        <v/>
      </c>
      <c r="H1168" s="25">
        <f>IFERROR(IF(OR($B1168="",$C1168=""),"",IF(MATCH($C1168,'Ajustes'!$A$5:$A$8,0)=4,$D1168/INDEX('Equipo'!$B$5:$B$29,MATCH($B1168,'Equipo'!$A$5:$A$29,0))+$E1168,0)),"")</f>
        <v/>
      </c>
      <c r="I1168" s="26">
        <f>IF($B1168='Perfil'!$B$3,COUNTIF($B$4:$B1168,'Perfil'!$B$3),"")</f>
        <v/>
      </c>
    </row>
    <row r="1169">
      <c r="A1169" s="22" t="n"/>
      <c r="B1169" s="23" t="n"/>
      <c r="C1169" s="23" t="n"/>
      <c r="D1169" s="24" t="n"/>
      <c r="E1169" s="24" t="n"/>
      <c r="F1169" s="23" t="n"/>
      <c r="G1169" s="19">
        <f>IFERROR(IF(OR($B1169="",$C1169=""),"",IF(MATCH($C1169,'Ajustes'!$A$5:$A$8,0)&lt;=2,$D1169*INDEX('Ajustes'!$C$5:$C$6,MATCH($C1169,'Ajustes'!$A$5:$A$8,0)),IF(MATCH($C1169,'Ajustes'!$A$5:$A$8,0)=3,-($D1169+$E1169*INDEX('Equipo'!$B$5:$B$29,MATCH($B1169,'Equipo'!$A$5:$A$29,0))),0))),"")</f>
        <v/>
      </c>
      <c r="H1169" s="25">
        <f>IFERROR(IF(OR($B1169="",$C1169=""),"",IF(MATCH($C1169,'Ajustes'!$A$5:$A$8,0)=4,$D1169/INDEX('Equipo'!$B$5:$B$29,MATCH($B1169,'Equipo'!$A$5:$A$29,0))+$E1169,0)),"")</f>
        <v/>
      </c>
      <c r="I1169" s="26">
        <f>IF($B1169='Perfil'!$B$3,COUNTIF($B$4:$B1169,'Perfil'!$B$3),"")</f>
        <v/>
      </c>
    </row>
    <row r="1170">
      <c r="A1170" s="22" t="n"/>
      <c r="B1170" s="23" t="n"/>
      <c r="C1170" s="23" t="n"/>
      <c r="D1170" s="24" t="n"/>
      <c r="E1170" s="24" t="n"/>
      <c r="F1170" s="23" t="n"/>
      <c r="G1170" s="19">
        <f>IFERROR(IF(OR($B1170="",$C1170=""),"",IF(MATCH($C1170,'Ajustes'!$A$5:$A$8,0)&lt;=2,$D1170*INDEX('Ajustes'!$C$5:$C$6,MATCH($C1170,'Ajustes'!$A$5:$A$8,0)),IF(MATCH($C1170,'Ajustes'!$A$5:$A$8,0)=3,-($D1170+$E1170*INDEX('Equipo'!$B$5:$B$29,MATCH($B1170,'Equipo'!$A$5:$A$29,0))),0))),"")</f>
        <v/>
      </c>
      <c r="H1170" s="25">
        <f>IFERROR(IF(OR($B1170="",$C1170=""),"",IF(MATCH($C1170,'Ajustes'!$A$5:$A$8,0)=4,$D1170/INDEX('Equipo'!$B$5:$B$29,MATCH($B1170,'Equipo'!$A$5:$A$29,0))+$E1170,0)),"")</f>
        <v/>
      </c>
      <c r="I1170" s="26">
        <f>IF($B1170='Perfil'!$B$3,COUNTIF($B$4:$B1170,'Perfil'!$B$3),"")</f>
        <v/>
      </c>
    </row>
    <row r="1171">
      <c r="A1171" s="22" t="n"/>
      <c r="B1171" s="23" t="n"/>
      <c r="C1171" s="23" t="n"/>
      <c r="D1171" s="24" t="n"/>
      <c r="E1171" s="24" t="n"/>
      <c r="F1171" s="23" t="n"/>
      <c r="G1171" s="19">
        <f>IFERROR(IF(OR($B1171="",$C1171=""),"",IF(MATCH($C1171,'Ajustes'!$A$5:$A$8,0)&lt;=2,$D1171*INDEX('Ajustes'!$C$5:$C$6,MATCH($C1171,'Ajustes'!$A$5:$A$8,0)),IF(MATCH($C1171,'Ajustes'!$A$5:$A$8,0)=3,-($D1171+$E1171*INDEX('Equipo'!$B$5:$B$29,MATCH($B1171,'Equipo'!$A$5:$A$29,0))),0))),"")</f>
        <v/>
      </c>
      <c r="H1171" s="25">
        <f>IFERROR(IF(OR($B1171="",$C1171=""),"",IF(MATCH($C1171,'Ajustes'!$A$5:$A$8,0)=4,$D1171/INDEX('Equipo'!$B$5:$B$29,MATCH($B1171,'Equipo'!$A$5:$A$29,0))+$E1171,0)),"")</f>
        <v/>
      </c>
      <c r="I1171" s="26">
        <f>IF($B1171='Perfil'!$B$3,COUNTIF($B$4:$B1171,'Perfil'!$B$3),"")</f>
        <v/>
      </c>
    </row>
    <row r="1172">
      <c r="A1172" s="22" t="n"/>
      <c r="B1172" s="23" t="n"/>
      <c r="C1172" s="23" t="n"/>
      <c r="D1172" s="24" t="n"/>
      <c r="E1172" s="24" t="n"/>
      <c r="F1172" s="23" t="n"/>
      <c r="G1172" s="19">
        <f>IFERROR(IF(OR($B1172="",$C1172=""),"",IF(MATCH($C1172,'Ajustes'!$A$5:$A$8,0)&lt;=2,$D1172*INDEX('Ajustes'!$C$5:$C$6,MATCH($C1172,'Ajustes'!$A$5:$A$8,0)),IF(MATCH($C1172,'Ajustes'!$A$5:$A$8,0)=3,-($D1172+$E1172*INDEX('Equipo'!$B$5:$B$29,MATCH($B1172,'Equipo'!$A$5:$A$29,0))),0))),"")</f>
        <v/>
      </c>
      <c r="H1172" s="25">
        <f>IFERROR(IF(OR($B1172="",$C1172=""),"",IF(MATCH($C1172,'Ajustes'!$A$5:$A$8,0)=4,$D1172/INDEX('Equipo'!$B$5:$B$29,MATCH($B1172,'Equipo'!$A$5:$A$29,0))+$E1172,0)),"")</f>
        <v/>
      </c>
      <c r="I1172" s="26">
        <f>IF($B1172='Perfil'!$B$3,COUNTIF($B$4:$B1172,'Perfil'!$B$3),"")</f>
        <v/>
      </c>
    </row>
    <row r="1173">
      <c r="A1173" s="22" t="n"/>
      <c r="B1173" s="23" t="n"/>
      <c r="C1173" s="23" t="n"/>
      <c r="D1173" s="24" t="n"/>
      <c r="E1173" s="24" t="n"/>
      <c r="F1173" s="23" t="n"/>
      <c r="G1173" s="19">
        <f>IFERROR(IF(OR($B1173="",$C1173=""),"",IF(MATCH($C1173,'Ajustes'!$A$5:$A$8,0)&lt;=2,$D1173*INDEX('Ajustes'!$C$5:$C$6,MATCH($C1173,'Ajustes'!$A$5:$A$8,0)),IF(MATCH($C1173,'Ajustes'!$A$5:$A$8,0)=3,-($D1173+$E1173*INDEX('Equipo'!$B$5:$B$29,MATCH($B1173,'Equipo'!$A$5:$A$29,0))),0))),"")</f>
        <v/>
      </c>
      <c r="H1173" s="25">
        <f>IFERROR(IF(OR($B1173="",$C1173=""),"",IF(MATCH($C1173,'Ajustes'!$A$5:$A$8,0)=4,$D1173/INDEX('Equipo'!$B$5:$B$29,MATCH($B1173,'Equipo'!$A$5:$A$29,0))+$E1173,0)),"")</f>
        <v/>
      </c>
      <c r="I1173" s="26">
        <f>IF($B1173='Perfil'!$B$3,COUNTIF($B$4:$B1173,'Perfil'!$B$3),"")</f>
        <v/>
      </c>
    </row>
    <row r="1174">
      <c r="A1174" s="22" t="n"/>
      <c r="B1174" s="23" t="n"/>
      <c r="C1174" s="23" t="n"/>
      <c r="D1174" s="24" t="n"/>
      <c r="E1174" s="24" t="n"/>
      <c r="F1174" s="23" t="n"/>
      <c r="G1174" s="19">
        <f>IFERROR(IF(OR($B1174="",$C1174=""),"",IF(MATCH($C1174,'Ajustes'!$A$5:$A$8,0)&lt;=2,$D1174*INDEX('Ajustes'!$C$5:$C$6,MATCH($C1174,'Ajustes'!$A$5:$A$8,0)),IF(MATCH($C1174,'Ajustes'!$A$5:$A$8,0)=3,-($D1174+$E1174*INDEX('Equipo'!$B$5:$B$29,MATCH($B1174,'Equipo'!$A$5:$A$29,0))),0))),"")</f>
        <v/>
      </c>
      <c r="H1174" s="25">
        <f>IFERROR(IF(OR($B1174="",$C1174=""),"",IF(MATCH($C1174,'Ajustes'!$A$5:$A$8,0)=4,$D1174/INDEX('Equipo'!$B$5:$B$29,MATCH($B1174,'Equipo'!$A$5:$A$29,0))+$E1174,0)),"")</f>
        <v/>
      </c>
      <c r="I1174" s="26">
        <f>IF($B1174='Perfil'!$B$3,COUNTIF($B$4:$B1174,'Perfil'!$B$3),"")</f>
        <v/>
      </c>
    </row>
    <row r="1175">
      <c r="A1175" s="22" t="n"/>
      <c r="B1175" s="23" t="n"/>
      <c r="C1175" s="23" t="n"/>
      <c r="D1175" s="24" t="n"/>
      <c r="E1175" s="24" t="n"/>
      <c r="F1175" s="23" t="n"/>
      <c r="G1175" s="19">
        <f>IFERROR(IF(OR($B1175="",$C1175=""),"",IF(MATCH($C1175,'Ajustes'!$A$5:$A$8,0)&lt;=2,$D1175*INDEX('Ajustes'!$C$5:$C$6,MATCH($C1175,'Ajustes'!$A$5:$A$8,0)),IF(MATCH($C1175,'Ajustes'!$A$5:$A$8,0)=3,-($D1175+$E1175*INDEX('Equipo'!$B$5:$B$29,MATCH($B1175,'Equipo'!$A$5:$A$29,0))),0))),"")</f>
        <v/>
      </c>
      <c r="H1175" s="25">
        <f>IFERROR(IF(OR($B1175="",$C1175=""),"",IF(MATCH($C1175,'Ajustes'!$A$5:$A$8,0)=4,$D1175/INDEX('Equipo'!$B$5:$B$29,MATCH($B1175,'Equipo'!$A$5:$A$29,0))+$E1175,0)),"")</f>
        <v/>
      </c>
      <c r="I1175" s="26">
        <f>IF($B1175='Perfil'!$B$3,COUNTIF($B$4:$B1175,'Perfil'!$B$3),"")</f>
        <v/>
      </c>
    </row>
    <row r="1176">
      <c r="A1176" s="22" t="n"/>
      <c r="B1176" s="23" t="n"/>
      <c r="C1176" s="23" t="n"/>
      <c r="D1176" s="24" t="n"/>
      <c r="E1176" s="24" t="n"/>
      <c r="F1176" s="23" t="n"/>
      <c r="G1176" s="19">
        <f>IFERROR(IF(OR($B1176="",$C1176=""),"",IF(MATCH($C1176,'Ajustes'!$A$5:$A$8,0)&lt;=2,$D1176*INDEX('Ajustes'!$C$5:$C$6,MATCH($C1176,'Ajustes'!$A$5:$A$8,0)),IF(MATCH($C1176,'Ajustes'!$A$5:$A$8,0)=3,-($D1176+$E1176*INDEX('Equipo'!$B$5:$B$29,MATCH($B1176,'Equipo'!$A$5:$A$29,0))),0))),"")</f>
        <v/>
      </c>
      <c r="H1176" s="25">
        <f>IFERROR(IF(OR($B1176="",$C1176=""),"",IF(MATCH($C1176,'Ajustes'!$A$5:$A$8,0)=4,$D1176/INDEX('Equipo'!$B$5:$B$29,MATCH($B1176,'Equipo'!$A$5:$A$29,0))+$E1176,0)),"")</f>
        <v/>
      </c>
      <c r="I1176" s="26">
        <f>IF($B1176='Perfil'!$B$3,COUNTIF($B$4:$B1176,'Perfil'!$B$3),"")</f>
        <v/>
      </c>
    </row>
    <row r="1177">
      <c r="A1177" s="22" t="n"/>
      <c r="B1177" s="23" t="n"/>
      <c r="C1177" s="23" t="n"/>
      <c r="D1177" s="24" t="n"/>
      <c r="E1177" s="24" t="n"/>
      <c r="F1177" s="23" t="n"/>
      <c r="G1177" s="19">
        <f>IFERROR(IF(OR($B1177="",$C1177=""),"",IF(MATCH($C1177,'Ajustes'!$A$5:$A$8,0)&lt;=2,$D1177*INDEX('Ajustes'!$C$5:$C$6,MATCH($C1177,'Ajustes'!$A$5:$A$8,0)),IF(MATCH($C1177,'Ajustes'!$A$5:$A$8,0)=3,-($D1177+$E1177*INDEX('Equipo'!$B$5:$B$29,MATCH($B1177,'Equipo'!$A$5:$A$29,0))),0))),"")</f>
        <v/>
      </c>
      <c r="H1177" s="25">
        <f>IFERROR(IF(OR($B1177="",$C1177=""),"",IF(MATCH($C1177,'Ajustes'!$A$5:$A$8,0)=4,$D1177/INDEX('Equipo'!$B$5:$B$29,MATCH($B1177,'Equipo'!$A$5:$A$29,0))+$E1177,0)),"")</f>
        <v/>
      </c>
      <c r="I1177" s="26">
        <f>IF($B1177='Perfil'!$B$3,COUNTIF($B$4:$B1177,'Perfil'!$B$3),"")</f>
        <v/>
      </c>
    </row>
    <row r="1178">
      <c r="A1178" s="22" t="n"/>
      <c r="B1178" s="23" t="n"/>
      <c r="C1178" s="23" t="n"/>
      <c r="D1178" s="24" t="n"/>
      <c r="E1178" s="24" t="n"/>
      <c r="F1178" s="23" t="n"/>
      <c r="G1178" s="19">
        <f>IFERROR(IF(OR($B1178="",$C1178=""),"",IF(MATCH($C1178,'Ajustes'!$A$5:$A$8,0)&lt;=2,$D1178*INDEX('Ajustes'!$C$5:$C$6,MATCH($C1178,'Ajustes'!$A$5:$A$8,0)),IF(MATCH($C1178,'Ajustes'!$A$5:$A$8,0)=3,-($D1178+$E1178*INDEX('Equipo'!$B$5:$B$29,MATCH($B1178,'Equipo'!$A$5:$A$29,0))),0))),"")</f>
        <v/>
      </c>
      <c r="H1178" s="25">
        <f>IFERROR(IF(OR($B1178="",$C1178=""),"",IF(MATCH($C1178,'Ajustes'!$A$5:$A$8,0)=4,$D1178/INDEX('Equipo'!$B$5:$B$29,MATCH($B1178,'Equipo'!$A$5:$A$29,0))+$E1178,0)),"")</f>
        <v/>
      </c>
      <c r="I1178" s="26">
        <f>IF($B1178='Perfil'!$B$3,COUNTIF($B$4:$B1178,'Perfil'!$B$3),"")</f>
        <v/>
      </c>
    </row>
    <row r="1179">
      <c r="A1179" s="22" t="n"/>
      <c r="B1179" s="23" t="n"/>
      <c r="C1179" s="23" t="n"/>
      <c r="D1179" s="24" t="n"/>
      <c r="E1179" s="24" t="n"/>
      <c r="F1179" s="23" t="n"/>
      <c r="G1179" s="19">
        <f>IFERROR(IF(OR($B1179="",$C1179=""),"",IF(MATCH($C1179,'Ajustes'!$A$5:$A$8,0)&lt;=2,$D1179*INDEX('Ajustes'!$C$5:$C$6,MATCH($C1179,'Ajustes'!$A$5:$A$8,0)),IF(MATCH($C1179,'Ajustes'!$A$5:$A$8,0)=3,-($D1179+$E1179*INDEX('Equipo'!$B$5:$B$29,MATCH($B1179,'Equipo'!$A$5:$A$29,0))),0))),"")</f>
        <v/>
      </c>
      <c r="H1179" s="25">
        <f>IFERROR(IF(OR($B1179="",$C1179=""),"",IF(MATCH($C1179,'Ajustes'!$A$5:$A$8,0)=4,$D1179/INDEX('Equipo'!$B$5:$B$29,MATCH($B1179,'Equipo'!$A$5:$A$29,0))+$E1179,0)),"")</f>
        <v/>
      </c>
      <c r="I1179" s="26">
        <f>IF($B1179='Perfil'!$B$3,COUNTIF($B$4:$B1179,'Perfil'!$B$3),"")</f>
        <v/>
      </c>
    </row>
    <row r="1180">
      <c r="A1180" s="22" t="n"/>
      <c r="B1180" s="23" t="n"/>
      <c r="C1180" s="23" t="n"/>
      <c r="D1180" s="24" t="n"/>
      <c r="E1180" s="24" t="n"/>
      <c r="F1180" s="23" t="n"/>
      <c r="G1180" s="19">
        <f>IFERROR(IF(OR($B1180="",$C1180=""),"",IF(MATCH($C1180,'Ajustes'!$A$5:$A$8,0)&lt;=2,$D1180*INDEX('Ajustes'!$C$5:$C$6,MATCH($C1180,'Ajustes'!$A$5:$A$8,0)),IF(MATCH($C1180,'Ajustes'!$A$5:$A$8,0)=3,-($D1180+$E1180*INDEX('Equipo'!$B$5:$B$29,MATCH($B1180,'Equipo'!$A$5:$A$29,0))),0))),"")</f>
        <v/>
      </c>
      <c r="H1180" s="25">
        <f>IFERROR(IF(OR($B1180="",$C1180=""),"",IF(MATCH($C1180,'Ajustes'!$A$5:$A$8,0)=4,$D1180/INDEX('Equipo'!$B$5:$B$29,MATCH($B1180,'Equipo'!$A$5:$A$29,0))+$E1180,0)),"")</f>
        <v/>
      </c>
      <c r="I1180" s="26">
        <f>IF($B1180='Perfil'!$B$3,COUNTIF($B$4:$B1180,'Perfil'!$B$3),"")</f>
        <v/>
      </c>
    </row>
    <row r="1181">
      <c r="A1181" s="22" t="n"/>
      <c r="B1181" s="23" t="n"/>
      <c r="C1181" s="23" t="n"/>
      <c r="D1181" s="24" t="n"/>
      <c r="E1181" s="24" t="n"/>
      <c r="F1181" s="23" t="n"/>
      <c r="G1181" s="19">
        <f>IFERROR(IF(OR($B1181="",$C1181=""),"",IF(MATCH($C1181,'Ajustes'!$A$5:$A$8,0)&lt;=2,$D1181*INDEX('Ajustes'!$C$5:$C$6,MATCH($C1181,'Ajustes'!$A$5:$A$8,0)),IF(MATCH($C1181,'Ajustes'!$A$5:$A$8,0)=3,-($D1181+$E1181*INDEX('Equipo'!$B$5:$B$29,MATCH($B1181,'Equipo'!$A$5:$A$29,0))),0))),"")</f>
        <v/>
      </c>
      <c r="H1181" s="25">
        <f>IFERROR(IF(OR($B1181="",$C1181=""),"",IF(MATCH($C1181,'Ajustes'!$A$5:$A$8,0)=4,$D1181/INDEX('Equipo'!$B$5:$B$29,MATCH($B1181,'Equipo'!$A$5:$A$29,0))+$E1181,0)),"")</f>
        <v/>
      </c>
      <c r="I1181" s="26">
        <f>IF($B1181='Perfil'!$B$3,COUNTIF($B$4:$B1181,'Perfil'!$B$3),"")</f>
        <v/>
      </c>
    </row>
    <row r="1182">
      <c r="A1182" s="22" t="n"/>
      <c r="B1182" s="23" t="n"/>
      <c r="C1182" s="23" t="n"/>
      <c r="D1182" s="24" t="n"/>
      <c r="E1182" s="24" t="n"/>
      <c r="F1182" s="23" t="n"/>
      <c r="G1182" s="19">
        <f>IFERROR(IF(OR($B1182="",$C1182=""),"",IF(MATCH($C1182,'Ajustes'!$A$5:$A$8,0)&lt;=2,$D1182*INDEX('Ajustes'!$C$5:$C$6,MATCH($C1182,'Ajustes'!$A$5:$A$8,0)),IF(MATCH($C1182,'Ajustes'!$A$5:$A$8,0)=3,-($D1182+$E1182*INDEX('Equipo'!$B$5:$B$29,MATCH($B1182,'Equipo'!$A$5:$A$29,0))),0))),"")</f>
        <v/>
      </c>
      <c r="H1182" s="25">
        <f>IFERROR(IF(OR($B1182="",$C1182=""),"",IF(MATCH($C1182,'Ajustes'!$A$5:$A$8,0)=4,$D1182/INDEX('Equipo'!$B$5:$B$29,MATCH($B1182,'Equipo'!$A$5:$A$29,0))+$E1182,0)),"")</f>
        <v/>
      </c>
      <c r="I1182" s="26">
        <f>IF($B1182='Perfil'!$B$3,COUNTIF($B$4:$B1182,'Perfil'!$B$3),"")</f>
        <v/>
      </c>
    </row>
    <row r="1183">
      <c r="A1183" s="22" t="n"/>
      <c r="B1183" s="23" t="n"/>
      <c r="C1183" s="23" t="n"/>
      <c r="D1183" s="24" t="n"/>
      <c r="E1183" s="24" t="n"/>
      <c r="F1183" s="23" t="n"/>
      <c r="G1183" s="19">
        <f>IFERROR(IF(OR($B1183="",$C1183=""),"",IF(MATCH($C1183,'Ajustes'!$A$5:$A$8,0)&lt;=2,$D1183*INDEX('Ajustes'!$C$5:$C$6,MATCH($C1183,'Ajustes'!$A$5:$A$8,0)),IF(MATCH($C1183,'Ajustes'!$A$5:$A$8,0)=3,-($D1183+$E1183*INDEX('Equipo'!$B$5:$B$29,MATCH($B1183,'Equipo'!$A$5:$A$29,0))),0))),"")</f>
        <v/>
      </c>
      <c r="H1183" s="25">
        <f>IFERROR(IF(OR($B1183="",$C1183=""),"",IF(MATCH($C1183,'Ajustes'!$A$5:$A$8,0)=4,$D1183/INDEX('Equipo'!$B$5:$B$29,MATCH($B1183,'Equipo'!$A$5:$A$29,0))+$E1183,0)),"")</f>
        <v/>
      </c>
      <c r="I1183" s="26">
        <f>IF($B1183='Perfil'!$B$3,COUNTIF($B$4:$B1183,'Perfil'!$B$3),"")</f>
        <v/>
      </c>
    </row>
    <row r="1184">
      <c r="A1184" s="22" t="n"/>
      <c r="B1184" s="23" t="n"/>
      <c r="C1184" s="23" t="n"/>
      <c r="D1184" s="24" t="n"/>
      <c r="E1184" s="24" t="n"/>
      <c r="F1184" s="23" t="n"/>
      <c r="G1184" s="19">
        <f>IFERROR(IF(OR($B1184="",$C1184=""),"",IF(MATCH($C1184,'Ajustes'!$A$5:$A$8,0)&lt;=2,$D1184*INDEX('Ajustes'!$C$5:$C$6,MATCH($C1184,'Ajustes'!$A$5:$A$8,0)),IF(MATCH($C1184,'Ajustes'!$A$5:$A$8,0)=3,-($D1184+$E1184*INDEX('Equipo'!$B$5:$B$29,MATCH($B1184,'Equipo'!$A$5:$A$29,0))),0))),"")</f>
        <v/>
      </c>
      <c r="H1184" s="25">
        <f>IFERROR(IF(OR($B1184="",$C1184=""),"",IF(MATCH($C1184,'Ajustes'!$A$5:$A$8,0)=4,$D1184/INDEX('Equipo'!$B$5:$B$29,MATCH($B1184,'Equipo'!$A$5:$A$29,0))+$E1184,0)),"")</f>
        <v/>
      </c>
      <c r="I1184" s="26">
        <f>IF($B1184='Perfil'!$B$3,COUNTIF($B$4:$B1184,'Perfil'!$B$3),"")</f>
        <v/>
      </c>
    </row>
    <row r="1185">
      <c r="A1185" s="22" t="n"/>
      <c r="B1185" s="23" t="n"/>
      <c r="C1185" s="23" t="n"/>
      <c r="D1185" s="24" t="n"/>
      <c r="E1185" s="24" t="n"/>
      <c r="F1185" s="23" t="n"/>
      <c r="G1185" s="19">
        <f>IFERROR(IF(OR($B1185="",$C1185=""),"",IF(MATCH($C1185,'Ajustes'!$A$5:$A$8,0)&lt;=2,$D1185*INDEX('Ajustes'!$C$5:$C$6,MATCH($C1185,'Ajustes'!$A$5:$A$8,0)),IF(MATCH($C1185,'Ajustes'!$A$5:$A$8,0)=3,-($D1185+$E1185*INDEX('Equipo'!$B$5:$B$29,MATCH($B1185,'Equipo'!$A$5:$A$29,0))),0))),"")</f>
        <v/>
      </c>
      <c r="H1185" s="25">
        <f>IFERROR(IF(OR($B1185="",$C1185=""),"",IF(MATCH($C1185,'Ajustes'!$A$5:$A$8,0)=4,$D1185/INDEX('Equipo'!$B$5:$B$29,MATCH($B1185,'Equipo'!$A$5:$A$29,0))+$E1185,0)),"")</f>
        <v/>
      </c>
      <c r="I1185" s="26">
        <f>IF($B1185='Perfil'!$B$3,COUNTIF($B$4:$B1185,'Perfil'!$B$3),"")</f>
        <v/>
      </c>
    </row>
    <row r="1186">
      <c r="A1186" s="22" t="n"/>
      <c r="B1186" s="23" t="n"/>
      <c r="C1186" s="23" t="n"/>
      <c r="D1186" s="24" t="n"/>
      <c r="E1186" s="24" t="n"/>
      <c r="F1186" s="23" t="n"/>
      <c r="G1186" s="19">
        <f>IFERROR(IF(OR($B1186="",$C1186=""),"",IF(MATCH($C1186,'Ajustes'!$A$5:$A$8,0)&lt;=2,$D1186*INDEX('Ajustes'!$C$5:$C$6,MATCH($C1186,'Ajustes'!$A$5:$A$8,0)),IF(MATCH($C1186,'Ajustes'!$A$5:$A$8,0)=3,-($D1186+$E1186*INDEX('Equipo'!$B$5:$B$29,MATCH($B1186,'Equipo'!$A$5:$A$29,0))),0))),"")</f>
        <v/>
      </c>
      <c r="H1186" s="25">
        <f>IFERROR(IF(OR($B1186="",$C1186=""),"",IF(MATCH($C1186,'Ajustes'!$A$5:$A$8,0)=4,$D1186/INDEX('Equipo'!$B$5:$B$29,MATCH($B1186,'Equipo'!$A$5:$A$29,0))+$E1186,0)),"")</f>
        <v/>
      </c>
      <c r="I1186" s="26">
        <f>IF($B1186='Perfil'!$B$3,COUNTIF($B$4:$B1186,'Perfil'!$B$3),"")</f>
        <v/>
      </c>
    </row>
    <row r="1187">
      <c r="A1187" s="22" t="n"/>
      <c r="B1187" s="23" t="n"/>
      <c r="C1187" s="23" t="n"/>
      <c r="D1187" s="24" t="n"/>
      <c r="E1187" s="24" t="n"/>
      <c r="F1187" s="23" t="n"/>
      <c r="G1187" s="19">
        <f>IFERROR(IF(OR($B1187="",$C1187=""),"",IF(MATCH($C1187,'Ajustes'!$A$5:$A$8,0)&lt;=2,$D1187*INDEX('Ajustes'!$C$5:$C$6,MATCH($C1187,'Ajustes'!$A$5:$A$8,0)),IF(MATCH($C1187,'Ajustes'!$A$5:$A$8,0)=3,-($D1187+$E1187*INDEX('Equipo'!$B$5:$B$29,MATCH($B1187,'Equipo'!$A$5:$A$29,0))),0))),"")</f>
        <v/>
      </c>
      <c r="H1187" s="25">
        <f>IFERROR(IF(OR($B1187="",$C1187=""),"",IF(MATCH($C1187,'Ajustes'!$A$5:$A$8,0)=4,$D1187/INDEX('Equipo'!$B$5:$B$29,MATCH($B1187,'Equipo'!$A$5:$A$29,0))+$E1187,0)),"")</f>
        <v/>
      </c>
      <c r="I1187" s="26">
        <f>IF($B1187='Perfil'!$B$3,COUNTIF($B$4:$B1187,'Perfil'!$B$3),"")</f>
        <v/>
      </c>
    </row>
    <row r="1188">
      <c r="A1188" s="22" t="n"/>
      <c r="B1188" s="23" t="n"/>
      <c r="C1188" s="23" t="n"/>
      <c r="D1188" s="24" t="n"/>
      <c r="E1188" s="24" t="n"/>
      <c r="F1188" s="23" t="n"/>
      <c r="G1188" s="19">
        <f>IFERROR(IF(OR($B1188="",$C1188=""),"",IF(MATCH($C1188,'Ajustes'!$A$5:$A$8,0)&lt;=2,$D1188*INDEX('Ajustes'!$C$5:$C$6,MATCH($C1188,'Ajustes'!$A$5:$A$8,0)),IF(MATCH($C1188,'Ajustes'!$A$5:$A$8,0)=3,-($D1188+$E1188*INDEX('Equipo'!$B$5:$B$29,MATCH($B1188,'Equipo'!$A$5:$A$29,0))),0))),"")</f>
        <v/>
      </c>
      <c r="H1188" s="25">
        <f>IFERROR(IF(OR($B1188="",$C1188=""),"",IF(MATCH($C1188,'Ajustes'!$A$5:$A$8,0)=4,$D1188/INDEX('Equipo'!$B$5:$B$29,MATCH($B1188,'Equipo'!$A$5:$A$29,0))+$E1188,0)),"")</f>
        <v/>
      </c>
      <c r="I1188" s="26">
        <f>IF($B1188='Perfil'!$B$3,COUNTIF($B$4:$B1188,'Perfil'!$B$3),"")</f>
        <v/>
      </c>
    </row>
    <row r="1189">
      <c r="A1189" s="22" t="n"/>
      <c r="B1189" s="23" t="n"/>
      <c r="C1189" s="23" t="n"/>
      <c r="D1189" s="24" t="n"/>
      <c r="E1189" s="24" t="n"/>
      <c r="F1189" s="23" t="n"/>
      <c r="G1189" s="19">
        <f>IFERROR(IF(OR($B1189="",$C1189=""),"",IF(MATCH($C1189,'Ajustes'!$A$5:$A$8,0)&lt;=2,$D1189*INDEX('Ajustes'!$C$5:$C$6,MATCH($C1189,'Ajustes'!$A$5:$A$8,0)),IF(MATCH($C1189,'Ajustes'!$A$5:$A$8,0)=3,-($D1189+$E1189*INDEX('Equipo'!$B$5:$B$29,MATCH($B1189,'Equipo'!$A$5:$A$29,0))),0))),"")</f>
        <v/>
      </c>
      <c r="H1189" s="25">
        <f>IFERROR(IF(OR($B1189="",$C1189=""),"",IF(MATCH($C1189,'Ajustes'!$A$5:$A$8,0)=4,$D1189/INDEX('Equipo'!$B$5:$B$29,MATCH($B1189,'Equipo'!$A$5:$A$29,0))+$E1189,0)),"")</f>
        <v/>
      </c>
      <c r="I1189" s="26">
        <f>IF($B1189='Perfil'!$B$3,COUNTIF($B$4:$B1189,'Perfil'!$B$3),"")</f>
        <v/>
      </c>
    </row>
    <row r="1190">
      <c r="A1190" s="22" t="n"/>
      <c r="B1190" s="23" t="n"/>
      <c r="C1190" s="23" t="n"/>
      <c r="D1190" s="24" t="n"/>
      <c r="E1190" s="24" t="n"/>
      <c r="F1190" s="23" t="n"/>
      <c r="G1190" s="19">
        <f>IFERROR(IF(OR($B1190="",$C1190=""),"",IF(MATCH($C1190,'Ajustes'!$A$5:$A$8,0)&lt;=2,$D1190*INDEX('Ajustes'!$C$5:$C$6,MATCH($C1190,'Ajustes'!$A$5:$A$8,0)),IF(MATCH($C1190,'Ajustes'!$A$5:$A$8,0)=3,-($D1190+$E1190*INDEX('Equipo'!$B$5:$B$29,MATCH($B1190,'Equipo'!$A$5:$A$29,0))),0))),"")</f>
        <v/>
      </c>
      <c r="H1190" s="25">
        <f>IFERROR(IF(OR($B1190="",$C1190=""),"",IF(MATCH($C1190,'Ajustes'!$A$5:$A$8,0)=4,$D1190/INDEX('Equipo'!$B$5:$B$29,MATCH($B1190,'Equipo'!$A$5:$A$29,0))+$E1190,0)),"")</f>
        <v/>
      </c>
      <c r="I1190" s="26">
        <f>IF($B1190='Perfil'!$B$3,COUNTIF($B$4:$B1190,'Perfil'!$B$3),"")</f>
        <v/>
      </c>
    </row>
    <row r="1191">
      <c r="A1191" s="22" t="n"/>
      <c r="B1191" s="23" t="n"/>
      <c r="C1191" s="23" t="n"/>
      <c r="D1191" s="24" t="n"/>
      <c r="E1191" s="24" t="n"/>
      <c r="F1191" s="23" t="n"/>
      <c r="G1191" s="19">
        <f>IFERROR(IF(OR($B1191="",$C1191=""),"",IF(MATCH($C1191,'Ajustes'!$A$5:$A$8,0)&lt;=2,$D1191*INDEX('Ajustes'!$C$5:$C$6,MATCH($C1191,'Ajustes'!$A$5:$A$8,0)),IF(MATCH($C1191,'Ajustes'!$A$5:$A$8,0)=3,-($D1191+$E1191*INDEX('Equipo'!$B$5:$B$29,MATCH($B1191,'Equipo'!$A$5:$A$29,0))),0))),"")</f>
        <v/>
      </c>
      <c r="H1191" s="25">
        <f>IFERROR(IF(OR($B1191="",$C1191=""),"",IF(MATCH($C1191,'Ajustes'!$A$5:$A$8,0)=4,$D1191/INDEX('Equipo'!$B$5:$B$29,MATCH($B1191,'Equipo'!$A$5:$A$29,0))+$E1191,0)),"")</f>
        <v/>
      </c>
      <c r="I1191" s="26">
        <f>IF($B1191='Perfil'!$B$3,COUNTIF($B$4:$B1191,'Perfil'!$B$3),"")</f>
        <v/>
      </c>
    </row>
    <row r="1192">
      <c r="A1192" s="22" t="n"/>
      <c r="B1192" s="23" t="n"/>
      <c r="C1192" s="23" t="n"/>
      <c r="D1192" s="24" t="n"/>
      <c r="E1192" s="24" t="n"/>
      <c r="F1192" s="23" t="n"/>
      <c r="G1192" s="19">
        <f>IFERROR(IF(OR($B1192="",$C1192=""),"",IF(MATCH($C1192,'Ajustes'!$A$5:$A$8,0)&lt;=2,$D1192*INDEX('Ajustes'!$C$5:$C$6,MATCH($C1192,'Ajustes'!$A$5:$A$8,0)),IF(MATCH($C1192,'Ajustes'!$A$5:$A$8,0)=3,-($D1192+$E1192*INDEX('Equipo'!$B$5:$B$29,MATCH($B1192,'Equipo'!$A$5:$A$29,0))),0))),"")</f>
        <v/>
      </c>
      <c r="H1192" s="25">
        <f>IFERROR(IF(OR($B1192="",$C1192=""),"",IF(MATCH($C1192,'Ajustes'!$A$5:$A$8,0)=4,$D1192/INDEX('Equipo'!$B$5:$B$29,MATCH($B1192,'Equipo'!$A$5:$A$29,0))+$E1192,0)),"")</f>
        <v/>
      </c>
      <c r="I1192" s="26">
        <f>IF($B1192='Perfil'!$B$3,COUNTIF($B$4:$B1192,'Perfil'!$B$3),"")</f>
        <v/>
      </c>
    </row>
    <row r="1193">
      <c r="A1193" s="22" t="n"/>
      <c r="B1193" s="23" t="n"/>
      <c r="C1193" s="23" t="n"/>
      <c r="D1193" s="24" t="n"/>
      <c r="E1193" s="24" t="n"/>
      <c r="F1193" s="23" t="n"/>
      <c r="G1193" s="19">
        <f>IFERROR(IF(OR($B1193="",$C1193=""),"",IF(MATCH($C1193,'Ajustes'!$A$5:$A$8,0)&lt;=2,$D1193*INDEX('Ajustes'!$C$5:$C$6,MATCH($C1193,'Ajustes'!$A$5:$A$8,0)),IF(MATCH($C1193,'Ajustes'!$A$5:$A$8,0)=3,-($D1193+$E1193*INDEX('Equipo'!$B$5:$B$29,MATCH($B1193,'Equipo'!$A$5:$A$29,0))),0))),"")</f>
        <v/>
      </c>
      <c r="H1193" s="25">
        <f>IFERROR(IF(OR($B1193="",$C1193=""),"",IF(MATCH($C1193,'Ajustes'!$A$5:$A$8,0)=4,$D1193/INDEX('Equipo'!$B$5:$B$29,MATCH($B1193,'Equipo'!$A$5:$A$29,0))+$E1193,0)),"")</f>
        <v/>
      </c>
      <c r="I1193" s="26">
        <f>IF($B1193='Perfil'!$B$3,COUNTIF($B$4:$B1193,'Perfil'!$B$3),"")</f>
        <v/>
      </c>
    </row>
    <row r="1194">
      <c r="A1194" s="22" t="n"/>
      <c r="B1194" s="23" t="n"/>
      <c r="C1194" s="23" t="n"/>
      <c r="D1194" s="24" t="n"/>
      <c r="E1194" s="24" t="n"/>
      <c r="F1194" s="23" t="n"/>
      <c r="G1194" s="19">
        <f>IFERROR(IF(OR($B1194="",$C1194=""),"",IF(MATCH($C1194,'Ajustes'!$A$5:$A$8,0)&lt;=2,$D1194*INDEX('Ajustes'!$C$5:$C$6,MATCH($C1194,'Ajustes'!$A$5:$A$8,0)),IF(MATCH($C1194,'Ajustes'!$A$5:$A$8,0)=3,-($D1194+$E1194*INDEX('Equipo'!$B$5:$B$29,MATCH($B1194,'Equipo'!$A$5:$A$29,0))),0))),"")</f>
        <v/>
      </c>
      <c r="H1194" s="25">
        <f>IFERROR(IF(OR($B1194="",$C1194=""),"",IF(MATCH($C1194,'Ajustes'!$A$5:$A$8,0)=4,$D1194/INDEX('Equipo'!$B$5:$B$29,MATCH($B1194,'Equipo'!$A$5:$A$29,0))+$E1194,0)),"")</f>
        <v/>
      </c>
      <c r="I1194" s="26">
        <f>IF($B1194='Perfil'!$B$3,COUNTIF($B$4:$B1194,'Perfil'!$B$3),"")</f>
        <v/>
      </c>
    </row>
    <row r="1195">
      <c r="A1195" s="22" t="n"/>
      <c r="B1195" s="23" t="n"/>
      <c r="C1195" s="23" t="n"/>
      <c r="D1195" s="24" t="n"/>
      <c r="E1195" s="24" t="n"/>
      <c r="F1195" s="23" t="n"/>
      <c r="G1195" s="19">
        <f>IFERROR(IF(OR($B1195="",$C1195=""),"",IF(MATCH($C1195,'Ajustes'!$A$5:$A$8,0)&lt;=2,$D1195*INDEX('Ajustes'!$C$5:$C$6,MATCH($C1195,'Ajustes'!$A$5:$A$8,0)),IF(MATCH($C1195,'Ajustes'!$A$5:$A$8,0)=3,-($D1195+$E1195*INDEX('Equipo'!$B$5:$B$29,MATCH($B1195,'Equipo'!$A$5:$A$29,0))),0))),"")</f>
        <v/>
      </c>
      <c r="H1195" s="25">
        <f>IFERROR(IF(OR($B1195="",$C1195=""),"",IF(MATCH($C1195,'Ajustes'!$A$5:$A$8,0)=4,$D1195/INDEX('Equipo'!$B$5:$B$29,MATCH($B1195,'Equipo'!$A$5:$A$29,0))+$E1195,0)),"")</f>
        <v/>
      </c>
      <c r="I1195" s="26">
        <f>IF($B1195='Perfil'!$B$3,COUNTIF($B$4:$B1195,'Perfil'!$B$3),"")</f>
        <v/>
      </c>
    </row>
    <row r="1196">
      <c r="A1196" s="22" t="n"/>
      <c r="B1196" s="23" t="n"/>
      <c r="C1196" s="23" t="n"/>
      <c r="D1196" s="24" t="n"/>
      <c r="E1196" s="24" t="n"/>
      <c r="F1196" s="23" t="n"/>
      <c r="G1196" s="19">
        <f>IFERROR(IF(OR($B1196="",$C1196=""),"",IF(MATCH($C1196,'Ajustes'!$A$5:$A$8,0)&lt;=2,$D1196*INDEX('Ajustes'!$C$5:$C$6,MATCH($C1196,'Ajustes'!$A$5:$A$8,0)),IF(MATCH($C1196,'Ajustes'!$A$5:$A$8,0)=3,-($D1196+$E1196*INDEX('Equipo'!$B$5:$B$29,MATCH($B1196,'Equipo'!$A$5:$A$29,0))),0))),"")</f>
        <v/>
      </c>
      <c r="H1196" s="25">
        <f>IFERROR(IF(OR($B1196="",$C1196=""),"",IF(MATCH($C1196,'Ajustes'!$A$5:$A$8,0)=4,$D1196/INDEX('Equipo'!$B$5:$B$29,MATCH($B1196,'Equipo'!$A$5:$A$29,0))+$E1196,0)),"")</f>
        <v/>
      </c>
      <c r="I1196" s="26">
        <f>IF($B1196='Perfil'!$B$3,COUNTIF($B$4:$B1196,'Perfil'!$B$3),"")</f>
        <v/>
      </c>
    </row>
    <row r="1197">
      <c r="A1197" s="22" t="n"/>
      <c r="B1197" s="23" t="n"/>
      <c r="C1197" s="23" t="n"/>
      <c r="D1197" s="24" t="n"/>
      <c r="E1197" s="24" t="n"/>
      <c r="F1197" s="23" t="n"/>
      <c r="G1197" s="19">
        <f>IFERROR(IF(OR($B1197="",$C1197=""),"",IF(MATCH($C1197,'Ajustes'!$A$5:$A$8,0)&lt;=2,$D1197*INDEX('Ajustes'!$C$5:$C$6,MATCH($C1197,'Ajustes'!$A$5:$A$8,0)),IF(MATCH($C1197,'Ajustes'!$A$5:$A$8,0)=3,-($D1197+$E1197*INDEX('Equipo'!$B$5:$B$29,MATCH($B1197,'Equipo'!$A$5:$A$29,0))),0))),"")</f>
        <v/>
      </c>
      <c r="H1197" s="25">
        <f>IFERROR(IF(OR($B1197="",$C1197=""),"",IF(MATCH($C1197,'Ajustes'!$A$5:$A$8,0)=4,$D1197/INDEX('Equipo'!$B$5:$B$29,MATCH($B1197,'Equipo'!$A$5:$A$29,0))+$E1197,0)),"")</f>
        <v/>
      </c>
      <c r="I1197" s="26">
        <f>IF($B1197='Perfil'!$B$3,COUNTIF($B$4:$B1197,'Perfil'!$B$3),"")</f>
        <v/>
      </c>
    </row>
    <row r="1198">
      <c r="A1198" s="22" t="n"/>
      <c r="B1198" s="23" t="n"/>
      <c r="C1198" s="23" t="n"/>
      <c r="D1198" s="24" t="n"/>
      <c r="E1198" s="24" t="n"/>
      <c r="F1198" s="23" t="n"/>
      <c r="G1198" s="19">
        <f>IFERROR(IF(OR($B1198="",$C1198=""),"",IF(MATCH($C1198,'Ajustes'!$A$5:$A$8,0)&lt;=2,$D1198*INDEX('Ajustes'!$C$5:$C$6,MATCH($C1198,'Ajustes'!$A$5:$A$8,0)),IF(MATCH($C1198,'Ajustes'!$A$5:$A$8,0)=3,-($D1198+$E1198*INDEX('Equipo'!$B$5:$B$29,MATCH($B1198,'Equipo'!$A$5:$A$29,0))),0))),"")</f>
        <v/>
      </c>
      <c r="H1198" s="25">
        <f>IFERROR(IF(OR($B1198="",$C1198=""),"",IF(MATCH($C1198,'Ajustes'!$A$5:$A$8,0)=4,$D1198/INDEX('Equipo'!$B$5:$B$29,MATCH($B1198,'Equipo'!$A$5:$A$29,0))+$E1198,0)),"")</f>
        <v/>
      </c>
      <c r="I1198" s="26">
        <f>IF($B1198='Perfil'!$B$3,COUNTIF($B$4:$B1198,'Perfil'!$B$3),"")</f>
        <v/>
      </c>
    </row>
    <row r="1199">
      <c r="A1199" s="22" t="n"/>
      <c r="B1199" s="23" t="n"/>
      <c r="C1199" s="23" t="n"/>
      <c r="D1199" s="24" t="n"/>
      <c r="E1199" s="24" t="n"/>
      <c r="F1199" s="23" t="n"/>
      <c r="G1199" s="19">
        <f>IFERROR(IF(OR($B1199="",$C1199=""),"",IF(MATCH($C1199,'Ajustes'!$A$5:$A$8,0)&lt;=2,$D1199*INDEX('Ajustes'!$C$5:$C$6,MATCH($C1199,'Ajustes'!$A$5:$A$8,0)),IF(MATCH($C1199,'Ajustes'!$A$5:$A$8,0)=3,-($D1199+$E1199*INDEX('Equipo'!$B$5:$B$29,MATCH($B1199,'Equipo'!$A$5:$A$29,0))),0))),"")</f>
        <v/>
      </c>
      <c r="H1199" s="25">
        <f>IFERROR(IF(OR($B1199="",$C1199=""),"",IF(MATCH($C1199,'Ajustes'!$A$5:$A$8,0)=4,$D1199/INDEX('Equipo'!$B$5:$B$29,MATCH($B1199,'Equipo'!$A$5:$A$29,0))+$E1199,0)),"")</f>
        <v/>
      </c>
      <c r="I1199" s="26">
        <f>IF($B1199='Perfil'!$B$3,COUNTIF($B$4:$B1199,'Perfil'!$B$3),"")</f>
        <v/>
      </c>
    </row>
    <row r="1200">
      <c r="A1200" s="22" t="n"/>
      <c r="B1200" s="23" t="n"/>
      <c r="C1200" s="23" t="n"/>
      <c r="D1200" s="24" t="n"/>
      <c r="E1200" s="24" t="n"/>
      <c r="F1200" s="23" t="n"/>
      <c r="G1200" s="19">
        <f>IFERROR(IF(OR($B1200="",$C1200=""),"",IF(MATCH($C1200,'Ajustes'!$A$5:$A$8,0)&lt;=2,$D1200*INDEX('Ajustes'!$C$5:$C$6,MATCH($C1200,'Ajustes'!$A$5:$A$8,0)),IF(MATCH($C1200,'Ajustes'!$A$5:$A$8,0)=3,-($D1200+$E1200*INDEX('Equipo'!$B$5:$B$29,MATCH($B1200,'Equipo'!$A$5:$A$29,0))),0))),"")</f>
        <v/>
      </c>
      <c r="H1200" s="25">
        <f>IFERROR(IF(OR($B1200="",$C1200=""),"",IF(MATCH($C1200,'Ajustes'!$A$5:$A$8,0)=4,$D1200/INDEX('Equipo'!$B$5:$B$29,MATCH($B1200,'Equipo'!$A$5:$A$29,0))+$E1200,0)),"")</f>
        <v/>
      </c>
      <c r="I1200" s="26">
        <f>IF($B1200='Perfil'!$B$3,COUNTIF($B$4:$B1200,'Perfil'!$B$3),"")</f>
        <v/>
      </c>
    </row>
    <row r="1201">
      <c r="A1201" s="22" t="n"/>
      <c r="B1201" s="23" t="n"/>
      <c r="C1201" s="23" t="n"/>
      <c r="D1201" s="24" t="n"/>
      <c r="E1201" s="24" t="n"/>
      <c r="F1201" s="23" t="n"/>
      <c r="G1201" s="19">
        <f>IFERROR(IF(OR($B1201="",$C1201=""),"",IF(MATCH($C1201,'Ajustes'!$A$5:$A$8,0)&lt;=2,$D1201*INDEX('Ajustes'!$C$5:$C$6,MATCH($C1201,'Ajustes'!$A$5:$A$8,0)),IF(MATCH($C1201,'Ajustes'!$A$5:$A$8,0)=3,-($D1201+$E1201*INDEX('Equipo'!$B$5:$B$29,MATCH($B1201,'Equipo'!$A$5:$A$29,0))),0))),"")</f>
        <v/>
      </c>
      <c r="H1201" s="25">
        <f>IFERROR(IF(OR($B1201="",$C1201=""),"",IF(MATCH($C1201,'Ajustes'!$A$5:$A$8,0)=4,$D1201/INDEX('Equipo'!$B$5:$B$29,MATCH($B1201,'Equipo'!$A$5:$A$29,0))+$E1201,0)),"")</f>
        <v/>
      </c>
      <c r="I1201" s="26">
        <f>IF($B1201='Perfil'!$B$3,COUNTIF($B$4:$B1201,'Perfil'!$B$3),"")</f>
        <v/>
      </c>
    </row>
    <row r="1202">
      <c r="A1202" s="22" t="n"/>
      <c r="B1202" s="23" t="n"/>
      <c r="C1202" s="23" t="n"/>
      <c r="D1202" s="24" t="n"/>
      <c r="E1202" s="24" t="n"/>
      <c r="F1202" s="23" t="n"/>
      <c r="G1202" s="19">
        <f>IFERROR(IF(OR($B1202="",$C1202=""),"",IF(MATCH($C1202,'Ajustes'!$A$5:$A$8,0)&lt;=2,$D1202*INDEX('Ajustes'!$C$5:$C$6,MATCH($C1202,'Ajustes'!$A$5:$A$8,0)),IF(MATCH($C1202,'Ajustes'!$A$5:$A$8,0)=3,-($D1202+$E1202*INDEX('Equipo'!$B$5:$B$29,MATCH($B1202,'Equipo'!$A$5:$A$29,0))),0))),"")</f>
        <v/>
      </c>
      <c r="H1202" s="25">
        <f>IFERROR(IF(OR($B1202="",$C1202=""),"",IF(MATCH($C1202,'Ajustes'!$A$5:$A$8,0)=4,$D1202/INDEX('Equipo'!$B$5:$B$29,MATCH($B1202,'Equipo'!$A$5:$A$29,0))+$E1202,0)),"")</f>
        <v/>
      </c>
      <c r="I1202" s="26">
        <f>IF($B1202='Perfil'!$B$3,COUNTIF($B$4:$B1202,'Perfil'!$B$3),"")</f>
        <v/>
      </c>
    </row>
    <row r="1203">
      <c r="A1203" s="22" t="n"/>
      <c r="B1203" s="23" t="n"/>
      <c r="C1203" s="23" t="n"/>
      <c r="D1203" s="24" t="n"/>
      <c r="E1203" s="24" t="n"/>
      <c r="F1203" s="23" t="n"/>
      <c r="G1203" s="19">
        <f>IFERROR(IF(OR($B1203="",$C1203=""),"",IF(MATCH($C1203,'Ajustes'!$A$5:$A$8,0)&lt;=2,$D1203*INDEX('Ajustes'!$C$5:$C$6,MATCH($C1203,'Ajustes'!$A$5:$A$8,0)),IF(MATCH($C1203,'Ajustes'!$A$5:$A$8,0)=3,-($D1203+$E1203*INDEX('Equipo'!$B$5:$B$29,MATCH($B1203,'Equipo'!$A$5:$A$29,0))),0))),"")</f>
        <v/>
      </c>
      <c r="H1203" s="25">
        <f>IFERROR(IF(OR($B1203="",$C1203=""),"",IF(MATCH($C1203,'Ajustes'!$A$5:$A$8,0)=4,$D1203/INDEX('Equipo'!$B$5:$B$29,MATCH($B1203,'Equipo'!$A$5:$A$29,0))+$E1203,0)),"")</f>
        <v/>
      </c>
      <c r="I1203" s="26">
        <f>IF($B1203='Perfil'!$B$3,COUNTIF($B$4:$B1203,'Perfil'!$B$3),"")</f>
        <v/>
      </c>
    </row>
    <row r="1204">
      <c r="A1204" s="22" t="n"/>
      <c r="B1204" s="23" t="n"/>
      <c r="C1204" s="23" t="n"/>
      <c r="D1204" s="24" t="n"/>
      <c r="E1204" s="24" t="n"/>
      <c r="F1204" s="23" t="n"/>
      <c r="G1204" s="19">
        <f>IFERROR(IF(OR($B1204="",$C1204=""),"",IF(MATCH($C1204,'Ajustes'!$A$5:$A$8,0)&lt;=2,$D1204*INDEX('Ajustes'!$C$5:$C$6,MATCH($C1204,'Ajustes'!$A$5:$A$8,0)),IF(MATCH($C1204,'Ajustes'!$A$5:$A$8,0)=3,-($D1204+$E1204*INDEX('Equipo'!$B$5:$B$29,MATCH($B1204,'Equipo'!$A$5:$A$29,0))),0))),"")</f>
        <v/>
      </c>
      <c r="H1204" s="25">
        <f>IFERROR(IF(OR($B1204="",$C1204=""),"",IF(MATCH($C1204,'Ajustes'!$A$5:$A$8,0)=4,$D1204/INDEX('Equipo'!$B$5:$B$29,MATCH($B1204,'Equipo'!$A$5:$A$29,0))+$E1204,0)),"")</f>
        <v/>
      </c>
      <c r="I1204" s="26">
        <f>IF($B1204='Perfil'!$B$3,COUNTIF($B$4:$B1204,'Perfil'!$B$3),"")</f>
        <v/>
      </c>
    </row>
    <row r="1205">
      <c r="A1205" s="22" t="n"/>
      <c r="B1205" s="23" t="n"/>
      <c r="C1205" s="23" t="n"/>
      <c r="D1205" s="24" t="n"/>
      <c r="E1205" s="24" t="n"/>
      <c r="F1205" s="23" t="n"/>
      <c r="G1205" s="19">
        <f>IFERROR(IF(OR($B1205="",$C1205=""),"",IF(MATCH($C1205,'Ajustes'!$A$5:$A$8,0)&lt;=2,$D1205*INDEX('Ajustes'!$C$5:$C$6,MATCH($C1205,'Ajustes'!$A$5:$A$8,0)),IF(MATCH($C1205,'Ajustes'!$A$5:$A$8,0)=3,-($D1205+$E1205*INDEX('Equipo'!$B$5:$B$29,MATCH($B1205,'Equipo'!$A$5:$A$29,0))),0))),"")</f>
        <v/>
      </c>
      <c r="H1205" s="25">
        <f>IFERROR(IF(OR($B1205="",$C1205=""),"",IF(MATCH($C1205,'Ajustes'!$A$5:$A$8,0)=4,$D1205/INDEX('Equipo'!$B$5:$B$29,MATCH($B1205,'Equipo'!$A$5:$A$29,0))+$E1205,0)),"")</f>
        <v/>
      </c>
      <c r="I1205" s="26">
        <f>IF($B1205='Perfil'!$B$3,COUNTIF($B$4:$B1205,'Perfil'!$B$3),"")</f>
        <v/>
      </c>
    </row>
    <row r="1206">
      <c r="A1206" s="22" t="n"/>
      <c r="B1206" s="23" t="n"/>
      <c r="C1206" s="23" t="n"/>
      <c r="D1206" s="24" t="n"/>
      <c r="E1206" s="24" t="n"/>
      <c r="F1206" s="23" t="n"/>
      <c r="G1206" s="19">
        <f>IFERROR(IF(OR($B1206="",$C1206=""),"",IF(MATCH($C1206,'Ajustes'!$A$5:$A$8,0)&lt;=2,$D1206*INDEX('Ajustes'!$C$5:$C$6,MATCH($C1206,'Ajustes'!$A$5:$A$8,0)),IF(MATCH($C1206,'Ajustes'!$A$5:$A$8,0)=3,-($D1206+$E1206*INDEX('Equipo'!$B$5:$B$29,MATCH($B1206,'Equipo'!$A$5:$A$29,0))),0))),"")</f>
        <v/>
      </c>
      <c r="H1206" s="25">
        <f>IFERROR(IF(OR($B1206="",$C1206=""),"",IF(MATCH($C1206,'Ajustes'!$A$5:$A$8,0)=4,$D1206/INDEX('Equipo'!$B$5:$B$29,MATCH($B1206,'Equipo'!$A$5:$A$29,0))+$E1206,0)),"")</f>
        <v/>
      </c>
      <c r="I1206" s="26">
        <f>IF($B1206='Perfil'!$B$3,COUNTIF($B$4:$B1206,'Perfil'!$B$3),"")</f>
        <v/>
      </c>
    </row>
    <row r="1207">
      <c r="A1207" s="22" t="n"/>
      <c r="B1207" s="23" t="n"/>
      <c r="C1207" s="23" t="n"/>
      <c r="D1207" s="24" t="n"/>
      <c r="E1207" s="24" t="n"/>
      <c r="F1207" s="23" t="n"/>
      <c r="G1207" s="19">
        <f>IFERROR(IF(OR($B1207="",$C1207=""),"",IF(MATCH($C1207,'Ajustes'!$A$5:$A$8,0)&lt;=2,$D1207*INDEX('Ajustes'!$C$5:$C$6,MATCH($C1207,'Ajustes'!$A$5:$A$8,0)),IF(MATCH($C1207,'Ajustes'!$A$5:$A$8,0)=3,-($D1207+$E1207*INDEX('Equipo'!$B$5:$B$29,MATCH($B1207,'Equipo'!$A$5:$A$29,0))),0))),"")</f>
        <v/>
      </c>
      <c r="H1207" s="25">
        <f>IFERROR(IF(OR($B1207="",$C1207=""),"",IF(MATCH($C1207,'Ajustes'!$A$5:$A$8,0)=4,$D1207/INDEX('Equipo'!$B$5:$B$29,MATCH($B1207,'Equipo'!$A$5:$A$29,0))+$E1207,0)),"")</f>
        <v/>
      </c>
      <c r="I1207" s="26">
        <f>IF($B1207='Perfil'!$B$3,COUNTIF($B$4:$B1207,'Perfil'!$B$3),"")</f>
        <v/>
      </c>
    </row>
    <row r="1208">
      <c r="A1208" s="22" t="n"/>
      <c r="B1208" s="23" t="n"/>
      <c r="C1208" s="23" t="n"/>
      <c r="D1208" s="24" t="n"/>
      <c r="E1208" s="24" t="n"/>
      <c r="F1208" s="23" t="n"/>
      <c r="G1208" s="19">
        <f>IFERROR(IF(OR($B1208="",$C1208=""),"",IF(MATCH($C1208,'Ajustes'!$A$5:$A$8,0)&lt;=2,$D1208*INDEX('Ajustes'!$C$5:$C$6,MATCH($C1208,'Ajustes'!$A$5:$A$8,0)),IF(MATCH($C1208,'Ajustes'!$A$5:$A$8,0)=3,-($D1208+$E1208*INDEX('Equipo'!$B$5:$B$29,MATCH($B1208,'Equipo'!$A$5:$A$29,0))),0))),"")</f>
        <v/>
      </c>
      <c r="H1208" s="25">
        <f>IFERROR(IF(OR($B1208="",$C1208=""),"",IF(MATCH($C1208,'Ajustes'!$A$5:$A$8,0)=4,$D1208/INDEX('Equipo'!$B$5:$B$29,MATCH($B1208,'Equipo'!$A$5:$A$29,0))+$E1208,0)),"")</f>
        <v/>
      </c>
      <c r="I1208" s="26">
        <f>IF($B1208='Perfil'!$B$3,COUNTIF($B$4:$B1208,'Perfil'!$B$3),"")</f>
        <v/>
      </c>
    </row>
    <row r="1209">
      <c r="A1209" s="22" t="n"/>
      <c r="B1209" s="23" t="n"/>
      <c r="C1209" s="23" t="n"/>
      <c r="D1209" s="24" t="n"/>
      <c r="E1209" s="24" t="n"/>
      <c r="F1209" s="23" t="n"/>
      <c r="G1209" s="19">
        <f>IFERROR(IF(OR($B1209="",$C1209=""),"",IF(MATCH($C1209,'Ajustes'!$A$5:$A$8,0)&lt;=2,$D1209*INDEX('Ajustes'!$C$5:$C$6,MATCH($C1209,'Ajustes'!$A$5:$A$8,0)),IF(MATCH($C1209,'Ajustes'!$A$5:$A$8,0)=3,-($D1209+$E1209*INDEX('Equipo'!$B$5:$B$29,MATCH($B1209,'Equipo'!$A$5:$A$29,0))),0))),"")</f>
        <v/>
      </c>
      <c r="H1209" s="25">
        <f>IFERROR(IF(OR($B1209="",$C1209=""),"",IF(MATCH($C1209,'Ajustes'!$A$5:$A$8,0)=4,$D1209/INDEX('Equipo'!$B$5:$B$29,MATCH($B1209,'Equipo'!$A$5:$A$29,0))+$E1209,0)),"")</f>
        <v/>
      </c>
      <c r="I1209" s="26">
        <f>IF($B1209='Perfil'!$B$3,COUNTIF($B$4:$B1209,'Perfil'!$B$3),"")</f>
        <v/>
      </c>
    </row>
    <row r="1210">
      <c r="A1210" s="22" t="n"/>
      <c r="B1210" s="23" t="n"/>
      <c r="C1210" s="23" t="n"/>
      <c r="D1210" s="24" t="n"/>
      <c r="E1210" s="24" t="n"/>
      <c r="F1210" s="23" t="n"/>
      <c r="G1210" s="19">
        <f>IFERROR(IF(OR($B1210="",$C1210=""),"",IF(MATCH($C1210,'Ajustes'!$A$5:$A$8,0)&lt;=2,$D1210*INDEX('Ajustes'!$C$5:$C$6,MATCH($C1210,'Ajustes'!$A$5:$A$8,0)),IF(MATCH($C1210,'Ajustes'!$A$5:$A$8,0)=3,-($D1210+$E1210*INDEX('Equipo'!$B$5:$B$29,MATCH($B1210,'Equipo'!$A$5:$A$29,0))),0))),"")</f>
        <v/>
      </c>
      <c r="H1210" s="25">
        <f>IFERROR(IF(OR($B1210="",$C1210=""),"",IF(MATCH($C1210,'Ajustes'!$A$5:$A$8,0)=4,$D1210/INDEX('Equipo'!$B$5:$B$29,MATCH($B1210,'Equipo'!$A$5:$A$29,0))+$E1210,0)),"")</f>
        <v/>
      </c>
      <c r="I1210" s="26">
        <f>IF($B1210='Perfil'!$B$3,COUNTIF($B$4:$B1210,'Perfil'!$B$3),"")</f>
        <v/>
      </c>
    </row>
    <row r="1211">
      <c r="A1211" s="22" t="n"/>
      <c r="B1211" s="23" t="n"/>
      <c r="C1211" s="23" t="n"/>
      <c r="D1211" s="24" t="n"/>
      <c r="E1211" s="24" t="n"/>
      <c r="F1211" s="23" t="n"/>
      <c r="G1211" s="19">
        <f>IFERROR(IF(OR($B1211="",$C1211=""),"",IF(MATCH($C1211,'Ajustes'!$A$5:$A$8,0)&lt;=2,$D1211*INDEX('Ajustes'!$C$5:$C$6,MATCH($C1211,'Ajustes'!$A$5:$A$8,0)),IF(MATCH($C1211,'Ajustes'!$A$5:$A$8,0)=3,-($D1211+$E1211*INDEX('Equipo'!$B$5:$B$29,MATCH($B1211,'Equipo'!$A$5:$A$29,0))),0))),"")</f>
        <v/>
      </c>
      <c r="H1211" s="25">
        <f>IFERROR(IF(OR($B1211="",$C1211=""),"",IF(MATCH($C1211,'Ajustes'!$A$5:$A$8,0)=4,$D1211/INDEX('Equipo'!$B$5:$B$29,MATCH($B1211,'Equipo'!$A$5:$A$29,0))+$E1211,0)),"")</f>
        <v/>
      </c>
      <c r="I1211" s="26">
        <f>IF($B1211='Perfil'!$B$3,COUNTIF($B$4:$B1211,'Perfil'!$B$3),"")</f>
        <v/>
      </c>
    </row>
    <row r="1212">
      <c r="A1212" s="22" t="n"/>
      <c r="B1212" s="23" t="n"/>
      <c r="C1212" s="23" t="n"/>
      <c r="D1212" s="24" t="n"/>
      <c r="E1212" s="24" t="n"/>
      <c r="F1212" s="23" t="n"/>
      <c r="G1212" s="19">
        <f>IFERROR(IF(OR($B1212="",$C1212=""),"",IF(MATCH($C1212,'Ajustes'!$A$5:$A$8,0)&lt;=2,$D1212*INDEX('Ajustes'!$C$5:$C$6,MATCH($C1212,'Ajustes'!$A$5:$A$8,0)),IF(MATCH($C1212,'Ajustes'!$A$5:$A$8,0)=3,-($D1212+$E1212*INDEX('Equipo'!$B$5:$B$29,MATCH($B1212,'Equipo'!$A$5:$A$29,0))),0))),"")</f>
        <v/>
      </c>
      <c r="H1212" s="25">
        <f>IFERROR(IF(OR($B1212="",$C1212=""),"",IF(MATCH($C1212,'Ajustes'!$A$5:$A$8,0)=4,$D1212/INDEX('Equipo'!$B$5:$B$29,MATCH($B1212,'Equipo'!$A$5:$A$29,0))+$E1212,0)),"")</f>
        <v/>
      </c>
      <c r="I1212" s="26">
        <f>IF($B1212='Perfil'!$B$3,COUNTIF($B$4:$B1212,'Perfil'!$B$3),"")</f>
        <v/>
      </c>
    </row>
    <row r="1213">
      <c r="A1213" s="22" t="n"/>
      <c r="B1213" s="23" t="n"/>
      <c r="C1213" s="23" t="n"/>
      <c r="D1213" s="24" t="n"/>
      <c r="E1213" s="24" t="n"/>
      <c r="F1213" s="23" t="n"/>
      <c r="G1213" s="19">
        <f>IFERROR(IF(OR($B1213="",$C1213=""),"",IF(MATCH($C1213,'Ajustes'!$A$5:$A$8,0)&lt;=2,$D1213*INDEX('Ajustes'!$C$5:$C$6,MATCH($C1213,'Ajustes'!$A$5:$A$8,0)),IF(MATCH($C1213,'Ajustes'!$A$5:$A$8,0)=3,-($D1213+$E1213*INDEX('Equipo'!$B$5:$B$29,MATCH($B1213,'Equipo'!$A$5:$A$29,0))),0))),"")</f>
        <v/>
      </c>
      <c r="H1213" s="25">
        <f>IFERROR(IF(OR($B1213="",$C1213=""),"",IF(MATCH($C1213,'Ajustes'!$A$5:$A$8,0)=4,$D1213/INDEX('Equipo'!$B$5:$B$29,MATCH($B1213,'Equipo'!$A$5:$A$29,0))+$E1213,0)),"")</f>
        <v/>
      </c>
      <c r="I1213" s="26">
        <f>IF($B1213='Perfil'!$B$3,COUNTIF($B$4:$B1213,'Perfil'!$B$3),"")</f>
        <v/>
      </c>
    </row>
    <row r="1214">
      <c r="A1214" s="22" t="n"/>
      <c r="B1214" s="23" t="n"/>
      <c r="C1214" s="23" t="n"/>
      <c r="D1214" s="24" t="n"/>
      <c r="E1214" s="24" t="n"/>
      <c r="F1214" s="23" t="n"/>
      <c r="G1214" s="19">
        <f>IFERROR(IF(OR($B1214="",$C1214=""),"",IF(MATCH($C1214,'Ajustes'!$A$5:$A$8,0)&lt;=2,$D1214*INDEX('Ajustes'!$C$5:$C$6,MATCH($C1214,'Ajustes'!$A$5:$A$8,0)),IF(MATCH($C1214,'Ajustes'!$A$5:$A$8,0)=3,-($D1214+$E1214*INDEX('Equipo'!$B$5:$B$29,MATCH($B1214,'Equipo'!$A$5:$A$29,0))),0))),"")</f>
        <v/>
      </c>
      <c r="H1214" s="25">
        <f>IFERROR(IF(OR($B1214="",$C1214=""),"",IF(MATCH($C1214,'Ajustes'!$A$5:$A$8,0)=4,$D1214/INDEX('Equipo'!$B$5:$B$29,MATCH($B1214,'Equipo'!$A$5:$A$29,0))+$E1214,0)),"")</f>
        <v/>
      </c>
      <c r="I1214" s="26">
        <f>IF($B1214='Perfil'!$B$3,COUNTIF($B$4:$B1214,'Perfil'!$B$3),"")</f>
        <v/>
      </c>
    </row>
    <row r="1215">
      <c r="A1215" s="22" t="n"/>
      <c r="B1215" s="23" t="n"/>
      <c r="C1215" s="23" t="n"/>
      <c r="D1215" s="24" t="n"/>
      <c r="E1215" s="24" t="n"/>
      <c r="F1215" s="23" t="n"/>
      <c r="G1215" s="19">
        <f>IFERROR(IF(OR($B1215="",$C1215=""),"",IF(MATCH($C1215,'Ajustes'!$A$5:$A$8,0)&lt;=2,$D1215*INDEX('Ajustes'!$C$5:$C$6,MATCH($C1215,'Ajustes'!$A$5:$A$8,0)),IF(MATCH($C1215,'Ajustes'!$A$5:$A$8,0)=3,-($D1215+$E1215*INDEX('Equipo'!$B$5:$B$29,MATCH($B1215,'Equipo'!$A$5:$A$29,0))),0))),"")</f>
        <v/>
      </c>
      <c r="H1215" s="25">
        <f>IFERROR(IF(OR($B1215="",$C1215=""),"",IF(MATCH($C1215,'Ajustes'!$A$5:$A$8,0)=4,$D1215/INDEX('Equipo'!$B$5:$B$29,MATCH($B1215,'Equipo'!$A$5:$A$29,0))+$E1215,0)),"")</f>
        <v/>
      </c>
      <c r="I1215" s="26">
        <f>IF($B1215='Perfil'!$B$3,COUNTIF($B$4:$B1215,'Perfil'!$B$3),"")</f>
        <v/>
      </c>
    </row>
    <row r="1216">
      <c r="A1216" s="22" t="n"/>
      <c r="B1216" s="23" t="n"/>
      <c r="C1216" s="23" t="n"/>
      <c r="D1216" s="24" t="n"/>
      <c r="E1216" s="24" t="n"/>
      <c r="F1216" s="23" t="n"/>
      <c r="G1216" s="19">
        <f>IFERROR(IF(OR($B1216="",$C1216=""),"",IF(MATCH($C1216,'Ajustes'!$A$5:$A$8,0)&lt;=2,$D1216*INDEX('Ajustes'!$C$5:$C$6,MATCH($C1216,'Ajustes'!$A$5:$A$8,0)),IF(MATCH($C1216,'Ajustes'!$A$5:$A$8,0)=3,-($D1216+$E1216*INDEX('Equipo'!$B$5:$B$29,MATCH($B1216,'Equipo'!$A$5:$A$29,0))),0))),"")</f>
        <v/>
      </c>
      <c r="H1216" s="25">
        <f>IFERROR(IF(OR($B1216="",$C1216=""),"",IF(MATCH($C1216,'Ajustes'!$A$5:$A$8,0)=4,$D1216/INDEX('Equipo'!$B$5:$B$29,MATCH($B1216,'Equipo'!$A$5:$A$29,0))+$E1216,0)),"")</f>
        <v/>
      </c>
      <c r="I1216" s="26">
        <f>IF($B1216='Perfil'!$B$3,COUNTIF($B$4:$B1216,'Perfil'!$B$3),"")</f>
        <v/>
      </c>
    </row>
    <row r="1217">
      <c r="A1217" s="22" t="n"/>
      <c r="B1217" s="23" t="n"/>
      <c r="C1217" s="23" t="n"/>
      <c r="D1217" s="24" t="n"/>
      <c r="E1217" s="24" t="n"/>
      <c r="F1217" s="23" t="n"/>
      <c r="G1217" s="19">
        <f>IFERROR(IF(OR($B1217="",$C1217=""),"",IF(MATCH($C1217,'Ajustes'!$A$5:$A$8,0)&lt;=2,$D1217*INDEX('Ajustes'!$C$5:$C$6,MATCH($C1217,'Ajustes'!$A$5:$A$8,0)),IF(MATCH($C1217,'Ajustes'!$A$5:$A$8,0)=3,-($D1217+$E1217*INDEX('Equipo'!$B$5:$B$29,MATCH($B1217,'Equipo'!$A$5:$A$29,0))),0))),"")</f>
        <v/>
      </c>
      <c r="H1217" s="25">
        <f>IFERROR(IF(OR($B1217="",$C1217=""),"",IF(MATCH($C1217,'Ajustes'!$A$5:$A$8,0)=4,$D1217/INDEX('Equipo'!$B$5:$B$29,MATCH($B1217,'Equipo'!$A$5:$A$29,0))+$E1217,0)),"")</f>
        <v/>
      </c>
      <c r="I1217" s="26">
        <f>IF($B1217='Perfil'!$B$3,COUNTIF($B$4:$B1217,'Perfil'!$B$3),"")</f>
        <v/>
      </c>
    </row>
    <row r="1218">
      <c r="A1218" s="22" t="n"/>
      <c r="B1218" s="23" t="n"/>
      <c r="C1218" s="23" t="n"/>
      <c r="D1218" s="24" t="n"/>
      <c r="E1218" s="24" t="n"/>
      <c r="F1218" s="23" t="n"/>
      <c r="G1218" s="19">
        <f>IFERROR(IF(OR($B1218="",$C1218=""),"",IF(MATCH($C1218,'Ajustes'!$A$5:$A$8,0)&lt;=2,$D1218*INDEX('Ajustes'!$C$5:$C$6,MATCH($C1218,'Ajustes'!$A$5:$A$8,0)),IF(MATCH($C1218,'Ajustes'!$A$5:$A$8,0)=3,-($D1218+$E1218*INDEX('Equipo'!$B$5:$B$29,MATCH($B1218,'Equipo'!$A$5:$A$29,0))),0))),"")</f>
        <v/>
      </c>
      <c r="H1218" s="25">
        <f>IFERROR(IF(OR($B1218="",$C1218=""),"",IF(MATCH($C1218,'Ajustes'!$A$5:$A$8,0)=4,$D1218/INDEX('Equipo'!$B$5:$B$29,MATCH($B1218,'Equipo'!$A$5:$A$29,0))+$E1218,0)),"")</f>
        <v/>
      </c>
      <c r="I1218" s="26">
        <f>IF($B1218='Perfil'!$B$3,COUNTIF($B$4:$B1218,'Perfil'!$B$3),"")</f>
        <v/>
      </c>
    </row>
    <row r="1219">
      <c r="A1219" s="22" t="n"/>
      <c r="B1219" s="23" t="n"/>
      <c r="C1219" s="23" t="n"/>
      <c r="D1219" s="24" t="n"/>
      <c r="E1219" s="24" t="n"/>
      <c r="F1219" s="23" t="n"/>
      <c r="G1219" s="19">
        <f>IFERROR(IF(OR($B1219="",$C1219=""),"",IF(MATCH($C1219,'Ajustes'!$A$5:$A$8,0)&lt;=2,$D1219*INDEX('Ajustes'!$C$5:$C$6,MATCH($C1219,'Ajustes'!$A$5:$A$8,0)),IF(MATCH($C1219,'Ajustes'!$A$5:$A$8,0)=3,-($D1219+$E1219*INDEX('Equipo'!$B$5:$B$29,MATCH($B1219,'Equipo'!$A$5:$A$29,0))),0))),"")</f>
        <v/>
      </c>
      <c r="H1219" s="25">
        <f>IFERROR(IF(OR($B1219="",$C1219=""),"",IF(MATCH($C1219,'Ajustes'!$A$5:$A$8,0)=4,$D1219/INDEX('Equipo'!$B$5:$B$29,MATCH($B1219,'Equipo'!$A$5:$A$29,0))+$E1219,0)),"")</f>
        <v/>
      </c>
      <c r="I1219" s="26">
        <f>IF($B1219='Perfil'!$B$3,COUNTIF($B$4:$B1219,'Perfil'!$B$3),"")</f>
        <v/>
      </c>
    </row>
    <row r="1220">
      <c r="A1220" s="22" t="n"/>
      <c r="B1220" s="23" t="n"/>
      <c r="C1220" s="23" t="n"/>
      <c r="D1220" s="24" t="n"/>
      <c r="E1220" s="24" t="n"/>
      <c r="F1220" s="23" t="n"/>
      <c r="G1220" s="19">
        <f>IFERROR(IF(OR($B1220="",$C1220=""),"",IF(MATCH($C1220,'Ajustes'!$A$5:$A$8,0)&lt;=2,$D1220*INDEX('Ajustes'!$C$5:$C$6,MATCH($C1220,'Ajustes'!$A$5:$A$8,0)),IF(MATCH($C1220,'Ajustes'!$A$5:$A$8,0)=3,-($D1220+$E1220*INDEX('Equipo'!$B$5:$B$29,MATCH($B1220,'Equipo'!$A$5:$A$29,0))),0))),"")</f>
        <v/>
      </c>
      <c r="H1220" s="25">
        <f>IFERROR(IF(OR($B1220="",$C1220=""),"",IF(MATCH($C1220,'Ajustes'!$A$5:$A$8,0)=4,$D1220/INDEX('Equipo'!$B$5:$B$29,MATCH($B1220,'Equipo'!$A$5:$A$29,0))+$E1220,0)),"")</f>
        <v/>
      </c>
      <c r="I1220" s="26">
        <f>IF($B1220='Perfil'!$B$3,COUNTIF($B$4:$B1220,'Perfil'!$B$3),"")</f>
        <v/>
      </c>
    </row>
    <row r="1221">
      <c r="A1221" s="22" t="n"/>
      <c r="B1221" s="23" t="n"/>
      <c r="C1221" s="23" t="n"/>
      <c r="D1221" s="24" t="n"/>
      <c r="E1221" s="24" t="n"/>
      <c r="F1221" s="23" t="n"/>
      <c r="G1221" s="19">
        <f>IFERROR(IF(OR($B1221="",$C1221=""),"",IF(MATCH($C1221,'Ajustes'!$A$5:$A$8,0)&lt;=2,$D1221*INDEX('Ajustes'!$C$5:$C$6,MATCH($C1221,'Ajustes'!$A$5:$A$8,0)),IF(MATCH($C1221,'Ajustes'!$A$5:$A$8,0)=3,-($D1221+$E1221*INDEX('Equipo'!$B$5:$B$29,MATCH($B1221,'Equipo'!$A$5:$A$29,0))),0))),"")</f>
        <v/>
      </c>
      <c r="H1221" s="25">
        <f>IFERROR(IF(OR($B1221="",$C1221=""),"",IF(MATCH($C1221,'Ajustes'!$A$5:$A$8,0)=4,$D1221/INDEX('Equipo'!$B$5:$B$29,MATCH($B1221,'Equipo'!$A$5:$A$29,0))+$E1221,0)),"")</f>
        <v/>
      </c>
      <c r="I1221" s="26">
        <f>IF($B1221='Perfil'!$B$3,COUNTIF($B$4:$B1221,'Perfil'!$B$3),"")</f>
        <v/>
      </c>
    </row>
    <row r="1222">
      <c r="A1222" s="22" t="n"/>
      <c r="B1222" s="23" t="n"/>
      <c r="C1222" s="23" t="n"/>
      <c r="D1222" s="24" t="n"/>
      <c r="E1222" s="24" t="n"/>
      <c r="F1222" s="23" t="n"/>
      <c r="G1222" s="19">
        <f>IFERROR(IF(OR($B1222="",$C1222=""),"",IF(MATCH($C1222,'Ajustes'!$A$5:$A$8,0)&lt;=2,$D1222*INDEX('Ajustes'!$C$5:$C$6,MATCH($C1222,'Ajustes'!$A$5:$A$8,0)),IF(MATCH($C1222,'Ajustes'!$A$5:$A$8,0)=3,-($D1222+$E1222*INDEX('Equipo'!$B$5:$B$29,MATCH($B1222,'Equipo'!$A$5:$A$29,0))),0))),"")</f>
        <v/>
      </c>
      <c r="H1222" s="25">
        <f>IFERROR(IF(OR($B1222="",$C1222=""),"",IF(MATCH($C1222,'Ajustes'!$A$5:$A$8,0)=4,$D1222/INDEX('Equipo'!$B$5:$B$29,MATCH($B1222,'Equipo'!$A$5:$A$29,0))+$E1222,0)),"")</f>
        <v/>
      </c>
      <c r="I1222" s="26">
        <f>IF($B1222='Perfil'!$B$3,COUNTIF($B$4:$B1222,'Perfil'!$B$3),"")</f>
        <v/>
      </c>
    </row>
    <row r="1223">
      <c r="A1223" s="22" t="n"/>
      <c r="B1223" s="23" t="n"/>
      <c r="C1223" s="23" t="n"/>
      <c r="D1223" s="24" t="n"/>
      <c r="E1223" s="24" t="n"/>
      <c r="F1223" s="23" t="n"/>
      <c r="G1223" s="19">
        <f>IFERROR(IF(OR($B1223="",$C1223=""),"",IF(MATCH($C1223,'Ajustes'!$A$5:$A$8,0)&lt;=2,$D1223*INDEX('Ajustes'!$C$5:$C$6,MATCH($C1223,'Ajustes'!$A$5:$A$8,0)),IF(MATCH($C1223,'Ajustes'!$A$5:$A$8,0)=3,-($D1223+$E1223*INDEX('Equipo'!$B$5:$B$29,MATCH($B1223,'Equipo'!$A$5:$A$29,0))),0))),"")</f>
        <v/>
      </c>
      <c r="H1223" s="25">
        <f>IFERROR(IF(OR($B1223="",$C1223=""),"",IF(MATCH($C1223,'Ajustes'!$A$5:$A$8,0)=4,$D1223/INDEX('Equipo'!$B$5:$B$29,MATCH($B1223,'Equipo'!$A$5:$A$29,0))+$E1223,0)),"")</f>
        <v/>
      </c>
      <c r="I1223" s="26">
        <f>IF($B1223='Perfil'!$B$3,COUNTIF($B$4:$B1223,'Perfil'!$B$3),"")</f>
        <v/>
      </c>
    </row>
    <row r="1224">
      <c r="A1224" s="22" t="n"/>
      <c r="B1224" s="23" t="n"/>
      <c r="C1224" s="23" t="n"/>
      <c r="D1224" s="24" t="n"/>
      <c r="E1224" s="24" t="n"/>
      <c r="F1224" s="23" t="n"/>
      <c r="G1224" s="19">
        <f>IFERROR(IF(OR($B1224="",$C1224=""),"",IF(MATCH($C1224,'Ajustes'!$A$5:$A$8,0)&lt;=2,$D1224*INDEX('Ajustes'!$C$5:$C$6,MATCH($C1224,'Ajustes'!$A$5:$A$8,0)),IF(MATCH($C1224,'Ajustes'!$A$5:$A$8,0)=3,-($D1224+$E1224*INDEX('Equipo'!$B$5:$B$29,MATCH($B1224,'Equipo'!$A$5:$A$29,0))),0))),"")</f>
        <v/>
      </c>
      <c r="H1224" s="25">
        <f>IFERROR(IF(OR($B1224="",$C1224=""),"",IF(MATCH($C1224,'Ajustes'!$A$5:$A$8,0)=4,$D1224/INDEX('Equipo'!$B$5:$B$29,MATCH($B1224,'Equipo'!$A$5:$A$29,0))+$E1224,0)),"")</f>
        <v/>
      </c>
      <c r="I1224" s="26">
        <f>IF($B1224='Perfil'!$B$3,COUNTIF($B$4:$B1224,'Perfil'!$B$3),"")</f>
        <v/>
      </c>
    </row>
    <row r="1225">
      <c r="A1225" s="22" t="n"/>
      <c r="B1225" s="23" t="n"/>
      <c r="C1225" s="23" t="n"/>
      <c r="D1225" s="24" t="n"/>
      <c r="E1225" s="24" t="n"/>
      <c r="F1225" s="23" t="n"/>
      <c r="G1225" s="19">
        <f>IFERROR(IF(OR($B1225="",$C1225=""),"",IF(MATCH($C1225,'Ajustes'!$A$5:$A$8,0)&lt;=2,$D1225*INDEX('Ajustes'!$C$5:$C$6,MATCH($C1225,'Ajustes'!$A$5:$A$8,0)),IF(MATCH($C1225,'Ajustes'!$A$5:$A$8,0)=3,-($D1225+$E1225*INDEX('Equipo'!$B$5:$B$29,MATCH($B1225,'Equipo'!$A$5:$A$29,0))),0))),"")</f>
        <v/>
      </c>
      <c r="H1225" s="25">
        <f>IFERROR(IF(OR($B1225="",$C1225=""),"",IF(MATCH($C1225,'Ajustes'!$A$5:$A$8,0)=4,$D1225/INDEX('Equipo'!$B$5:$B$29,MATCH($B1225,'Equipo'!$A$5:$A$29,0))+$E1225,0)),"")</f>
        <v/>
      </c>
      <c r="I1225" s="26">
        <f>IF($B1225='Perfil'!$B$3,COUNTIF($B$4:$B1225,'Perfil'!$B$3),"")</f>
        <v/>
      </c>
    </row>
    <row r="1226">
      <c r="A1226" s="22" t="n"/>
      <c r="B1226" s="23" t="n"/>
      <c r="C1226" s="23" t="n"/>
      <c r="D1226" s="24" t="n"/>
      <c r="E1226" s="24" t="n"/>
      <c r="F1226" s="23" t="n"/>
      <c r="G1226" s="19">
        <f>IFERROR(IF(OR($B1226="",$C1226=""),"",IF(MATCH($C1226,'Ajustes'!$A$5:$A$8,0)&lt;=2,$D1226*INDEX('Ajustes'!$C$5:$C$6,MATCH($C1226,'Ajustes'!$A$5:$A$8,0)),IF(MATCH($C1226,'Ajustes'!$A$5:$A$8,0)=3,-($D1226+$E1226*INDEX('Equipo'!$B$5:$B$29,MATCH($B1226,'Equipo'!$A$5:$A$29,0))),0))),"")</f>
        <v/>
      </c>
      <c r="H1226" s="25">
        <f>IFERROR(IF(OR($B1226="",$C1226=""),"",IF(MATCH($C1226,'Ajustes'!$A$5:$A$8,0)=4,$D1226/INDEX('Equipo'!$B$5:$B$29,MATCH($B1226,'Equipo'!$A$5:$A$29,0))+$E1226,0)),"")</f>
        <v/>
      </c>
      <c r="I1226" s="26">
        <f>IF($B1226='Perfil'!$B$3,COUNTIF($B$4:$B1226,'Perfil'!$B$3),"")</f>
        <v/>
      </c>
    </row>
    <row r="1227">
      <c r="A1227" s="22" t="n"/>
      <c r="B1227" s="23" t="n"/>
      <c r="C1227" s="23" t="n"/>
      <c r="D1227" s="24" t="n"/>
      <c r="E1227" s="24" t="n"/>
      <c r="F1227" s="23" t="n"/>
      <c r="G1227" s="19">
        <f>IFERROR(IF(OR($B1227="",$C1227=""),"",IF(MATCH($C1227,'Ajustes'!$A$5:$A$8,0)&lt;=2,$D1227*INDEX('Ajustes'!$C$5:$C$6,MATCH($C1227,'Ajustes'!$A$5:$A$8,0)),IF(MATCH($C1227,'Ajustes'!$A$5:$A$8,0)=3,-($D1227+$E1227*INDEX('Equipo'!$B$5:$B$29,MATCH($B1227,'Equipo'!$A$5:$A$29,0))),0))),"")</f>
        <v/>
      </c>
      <c r="H1227" s="25">
        <f>IFERROR(IF(OR($B1227="",$C1227=""),"",IF(MATCH($C1227,'Ajustes'!$A$5:$A$8,0)=4,$D1227/INDEX('Equipo'!$B$5:$B$29,MATCH($B1227,'Equipo'!$A$5:$A$29,0))+$E1227,0)),"")</f>
        <v/>
      </c>
      <c r="I1227" s="26">
        <f>IF($B1227='Perfil'!$B$3,COUNTIF($B$4:$B1227,'Perfil'!$B$3),"")</f>
        <v/>
      </c>
    </row>
    <row r="1228">
      <c r="A1228" s="22" t="n"/>
      <c r="B1228" s="23" t="n"/>
      <c r="C1228" s="23" t="n"/>
      <c r="D1228" s="24" t="n"/>
      <c r="E1228" s="24" t="n"/>
      <c r="F1228" s="23" t="n"/>
      <c r="G1228" s="19">
        <f>IFERROR(IF(OR($B1228="",$C1228=""),"",IF(MATCH($C1228,'Ajustes'!$A$5:$A$8,0)&lt;=2,$D1228*INDEX('Ajustes'!$C$5:$C$6,MATCH($C1228,'Ajustes'!$A$5:$A$8,0)),IF(MATCH($C1228,'Ajustes'!$A$5:$A$8,0)=3,-($D1228+$E1228*INDEX('Equipo'!$B$5:$B$29,MATCH($B1228,'Equipo'!$A$5:$A$29,0))),0))),"")</f>
        <v/>
      </c>
      <c r="H1228" s="25">
        <f>IFERROR(IF(OR($B1228="",$C1228=""),"",IF(MATCH($C1228,'Ajustes'!$A$5:$A$8,0)=4,$D1228/INDEX('Equipo'!$B$5:$B$29,MATCH($B1228,'Equipo'!$A$5:$A$29,0))+$E1228,0)),"")</f>
        <v/>
      </c>
      <c r="I1228" s="26">
        <f>IF($B1228='Perfil'!$B$3,COUNTIF($B$4:$B1228,'Perfil'!$B$3),"")</f>
        <v/>
      </c>
    </row>
    <row r="1229">
      <c r="A1229" s="22" t="n"/>
      <c r="B1229" s="23" t="n"/>
      <c r="C1229" s="23" t="n"/>
      <c r="D1229" s="24" t="n"/>
      <c r="E1229" s="24" t="n"/>
      <c r="F1229" s="23" t="n"/>
      <c r="G1229" s="19">
        <f>IFERROR(IF(OR($B1229="",$C1229=""),"",IF(MATCH($C1229,'Ajustes'!$A$5:$A$8,0)&lt;=2,$D1229*INDEX('Ajustes'!$C$5:$C$6,MATCH($C1229,'Ajustes'!$A$5:$A$8,0)),IF(MATCH($C1229,'Ajustes'!$A$5:$A$8,0)=3,-($D1229+$E1229*INDEX('Equipo'!$B$5:$B$29,MATCH($B1229,'Equipo'!$A$5:$A$29,0))),0))),"")</f>
        <v/>
      </c>
      <c r="H1229" s="25">
        <f>IFERROR(IF(OR($B1229="",$C1229=""),"",IF(MATCH($C1229,'Ajustes'!$A$5:$A$8,0)=4,$D1229/INDEX('Equipo'!$B$5:$B$29,MATCH($B1229,'Equipo'!$A$5:$A$29,0))+$E1229,0)),"")</f>
        <v/>
      </c>
      <c r="I1229" s="26">
        <f>IF($B1229='Perfil'!$B$3,COUNTIF($B$4:$B1229,'Perfil'!$B$3),"")</f>
        <v/>
      </c>
    </row>
    <row r="1230">
      <c r="A1230" s="22" t="n"/>
      <c r="B1230" s="23" t="n"/>
      <c r="C1230" s="23" t="n"/>
      <c r="D1230" s="24" t="n"/>
      <c r="E1230" s="24" t="n"/>
      <c r="F1230" s="23" t="n"/>
      <c r="G1230" s="19">
        <f>IFERROR(IF(OR($B1230="",$C1230=""),"",IF(MATCH($C1230,'Ajustes'!$A$5:$A$8,0)&lt;=2,$D1230*INDEX('Ajustes'!$C$5:$C$6,MATCH($C1230,'Ajustes'!$A$5:$A$8,0)),IF(MATCH($C1230,'Ajustes'!$A$5:$A$8,0)=3,-($D1230+$E1230*INDEX('Equipo'!$B$5:$B$29,MATCH($B1230,'Equipo'!$A$5:$A$29,0))),0))),"")</f>
        <v/>
      </c>
      <c r="H1230" s="25">
        <f>IFERROR(IF(OR($B1230="",$C1230=""),"",IF(MATCH($C1230,'Ajustes'!$A$5:$A$8,0)=4,$D1230/INDEX('Equipo'!$B$5:$B$29,MATCH($B1230,'Equipo'!$A$5:$A$29,0))+$E1230,0)),"")</f>
        <v/>
      </c>
      <c r="I1230" s="26">
        <f>IF($B1230='Perfil'!$B$3,COUNTIF($B$4:$B1230,'Perfil'!$B$3),"")</f>
        <v/>
      </c>
    </row>
    <row r="1231">
      <c r="A1231" s="22" t="n"/>
      <c r="B1231" s="23" t="n"/>
      <c r="C1231" s="23" t="n"/>
      <c r="D1231" s="24" t="n"/>
      <c r="E1231" s="24" t="n"/>
      <c r="F1231" s="23" t="n"/>
      <c r="G1231" s="19">
        <f>IFERROR(IF(OR($B1231="",$C1231=""),"",IF(MATCH($C1231,'Ajustes'!$A$5:$A$8,0)&lt;=2,$D1231*INDEX('Ajustes'!$C$5:$C$6,MATCH($C1231,'Ajustes'!$A$5:$A$8,0)),IF(MATCH($C1231,'Ajustes'!$A$5:$A$8,0)=3,-($D1231+$E1231*INDEX('Equipo'!$B$5:$B$29,MATCH($B1231,'Equipo'!$A$5:$A$29,0))),0))),"")</f>
        <v/>
      </c>
      <c r="H1231" s="25">
        <f>IFERROR(IF(OR($B1231="",$C1231=""),"",IF(MATCH($C1231,'Ajustes'!$A$5:$A$8,0)=4,$D1231/INDEX('Equipo'!$B$5:$B$29,MATCH($B1231,'Equipo'!$A$5:$A$29,0))+$E1231,0)),"")</f>
        <v/>
      </c>
      <c r="I1231" s="26">
        <f>IF($B1231='Perfil'!$B$3,COUNTIF($B$4:$B1231,'Perfil'!$B$3),"")</f>
        <v/>
      </c>
    </row>
    <row r="1232">
      <c r="A1232" s="22" t="n"/>
      <c r="B1232" s="23" t="n"/>
      <c r="C1232" s="23" t="n"/>
      <c r="D1232" s="24" t="n"/>
      <c r="E1232" s="24" t="n"/>
      <c r="F1232" s="23" t="n"/>
      <c r="G1232" s="19">
        <f>IFERROR(IF(OR($B1232="",$C1232=""),"",IF(MATCH($C1232,'Ajustes'!$A$5:$A$8,0)&lt;=2,$D1232*INDEX('Ajustes'!$C$5:$C$6,MATCH($C1232,'Ajustes'!$A$5:$A$8,0)),IF(MATCH($C1232,'Ajustes'!$A$5:$A$8,0)=3,-($D1232+$E1232*INDEX('Equipo'!$B$5:$B$29,MATCH($B1232,'Equipo'!$A$5:$A$29,0))),0))),"")</f>
        <v/>
      </c>
      <c r="H1232" s="25">
        <f>IFERROR(IF(OR($B1232="",$C1232=""),"",IF(MATCH($C1232,'Ajustes'!$A$5:$A$8,0)=4,$D1232/INDEX('Equipo'!$B$5:$B$29,MATCH($B1232,'Equipo'!$A$5:$A$29,0))+$E1232,0)),"")</f>
        <v/>
      </c>
      <c r="I1232" s="26">
        <f>IF($B1232='Perfil'!$B$3,COUNTIF($B$4:$B1232,'Perfil'!$B$3),"")</f>
        <v/>
      </c>
    </row>
    <row r="1233">
      <c r="A1233" s="22" t="n"/>
      <c r="B1233" s="23" t="n"/>
      <c r="C1233" s="23" t="n"/>
      <c r="D1233" s="24" t="n"/>
      <c r="E1233" s="24" t="n"/>
      <c r="F1233" s="23" t="n"/>
      <c r="G1233" s="19">
        <f>IFERROR(IF(OR($B1233="",$C1233=""),"",IF(MATCH($C1233,'Ajustes'!$A$5:$A$8,0)&lt;=2,$D1233*INDEX('Ajustes'!$C$5:$C$6,MATCH($C1233,'Ajustes'!$A$5:$A$8,0)),IF(MATCH($C1233,'Ajustes'!$A$5:$A$8,0)=3,-($D1233+$E1233*INDEX('Equipo'!$B$5:$B$29,MATCH($B1233,'Equipo'!$A$5:$A$29,0))),0))),"")</f>
        <v/>
      </c>
      <c r="H1233" s="25">
        <f>IFERROR(IF(OR($B1233="",$C1233=""),"",IF(MATCH($C1233,'Ajustes'!$A$5:$A$8,0)=4,$D1233/INDEX('Equipo'!$B$5:$B$29,MATCH($B1233,'Equipo'!$A$5:$A$29,0))+$E1233,0)),"")</f>
        <v/>
      </c>
      <c r="I1233" s="26">
        <f>IF($B1233='Perfil'!$B$3,COUNTIF($B$4:$B1233,'Perfil'!$B$3),"")</f>
        <v/>
      </c>
    </row>
    <row r="1234">
      <c r="A1234" s="22" t="n"/>
      <c r="B1234" s="23" t="n"/>
      <c r="C1234" s="23" t="n"/>
      <c r="D1234" s="24" t="n"/>
      <c r="E1234" s="24" t="n"/>
      <c r="F1234" s="23" t="n"/>
      <c r="G1234" s="19">
        <f>IFERROR(IF(OR($B1234="",$C1234=""),"",IF(MATCH($C1234,'Ajustes'!$A$5:$A$8,0)&lt;=2,$D1234*INDEX('Ajustes'!$C$5:$C$6,MATCH($C1234,'Ajustes'!$A$5:$A$8,0)),IF(MATCH($C1234,'Ajustes'!$A$5:$A$8,0)=3,-($D1234+$E1234*INDEX('Equipo'!$B$5:$B$29,MATCH($B1234,'Equipo'!$A$5:$A$29,0))),0))),"")</f>
        <v/>
      </c>
      <c r="H1234" s="25">
        <f>IFERROR(IF(OR($B1234="",$C1234=""),"",IF(MATCH($C1234,'Ajustes'!$A$5:$A$8,0)=4,$D1234/INDEX('Equipo'!$B$5:$B$29,MATCH($B1234,'Equipo'!$A$5:$A$29,0))+$E1234,0)),"")</f>
        <v/>
      </c>
      <c r="I1234" s="26">
        <f>IF($B1234='Perfil'!$B$3,COUNTIF($B$4:$B1234,'Perfil'!$B$3),"")</f>
        <v/>
      </c>
    </row>
    <row r="1235">
      <c r="A1235" s="22" t="n"/>
      <c r="B1235" s="23" t="n"/>
      <c r="C1235" s="23" t="n"/>
      <c r="D1235" s="24" t="n"/>
      <c r="E1235" s="24" t="n"/>
      <c r="F1235" s="23" t="n"/>
      <c r="G1235" s="19">
        <f>IFERROR(IF(OR($B1235="",$C1235=""),"",IF(MATCH($C1235,'Ajustes'!$A$5:$A$8,0)&lt;=2,$D1235*INDEX('Ajustes'!$C$5:$C$6,MATCH($C1235,'Ajustes'!$A$5:$A$8,0)),IF(MATCH($C1235,'Ajustes'!$A$5:$A$8,0)=3,-($D1235+$E1235*INDEX('Equipo'!$B$5:$B$29,MATCH($B1235,'Equipo'!$A$5:$A$29,0))),0))),"")</f>
        <v/>
      </c>
      <c r="H1235" s="25">
        <f>IFERROR(IF(OR($B1235="",$C1235=""),"",IF(MATCH($C1235,'Ajustes'!$A$5:$A$8,0)=4,$D1235/INDEX('Equipo'!$B$5:$B$29,MATCH($B1235,'Equipo'!$A$5:$A$29,0))+$E1235,0)),"")</f>
        <v/>
      </c>
      <c r="I1235" s="26">
        <f>IF($B1235='Perfil'!$B$3,COUNTIF($B$4:$B1235,'Perfil'!$B$3),"")</f>
        <v/>
      </c>
    </row>
    <row r="1236">
      <c r="A1236" s="22" t="n"/>
      <c r="B1236" s="23" t="n"/>
      <c r="C1236" s="23" t="n"/>
      <c r="D1236" s="24" t="n"/>
      <c r="E1236" s="24" t="n"/>
      <c r="F1236" s="23" t="n"/>
      <c r="G1236" s="19">
        <f>IFERROR(IF(OR($B1236="",$C1236=""),"",IF(MATCH($C1236,'Ajustes'!$A$5:$A$8,0)&lt;=2,$D1236*INDEX('Ajustes'!$C$5:$C$6,MATCH($C1236,'Ajustes'!$A$5:$A$8,0)),IF(MATCH($C1236,'Ajustes'!$A$5:$A$8,0)=3,-($D1236+$E1236*INDEX('Equipo'!$B$5:$B$29,MATCH($B1236,'Equipo'!$A$5:$A$29,0))),0))),"")</f>
        <v/>
      </c>
      <c r="H1236" s="25">
        <f>IFERROR(IF(OR($B1236="",$C1236=""),"",IF(MATCH($C1236,'Ajustes'!$A$5:$A$8,0)=4,$D1236/INDEX('Equipo'!$B$5:$B$29,MATCH($B1236,'Equipo'!$A$5:$A$29,0))+$E1236,0)),"")</f>
        <v/>
      </c>
      <c r="I1236" s="26">
        <f>IF($B1236='Perfil'!$B$3,COUNTIF($B$4:$B1236,'Perfil'!$B$3),"")</f>
        <v/>
      </c>
    </row>
    <row r="1237">
      <c r="A1237" s="22" t="n"/>
      <c r="B1237" s="23" t="n"/>
      <c r="C1237" s="23" t="n"/>
      <c r="D1237" s="24" t="n"/>
      <c r="E1237" s="24" t="n"/>
      <c r="F1237" s="23" t="n"/>
      <c r="G1237" s="19">
        <f>IFERROR(IF(OR($B1237="",$C1237=""),"",IF(MATCH($C1237,'Ajustes'!$A$5:$A$8,0)&lt;=2,$D1237*INDEX('Ajustes'!$C$5:$C$6,MATCH($C1237,'Ajustes'!$A$5:$A$8,0)),IF(MATCH($C1237,'Ajustes'!$A$5:$A$8,0)=3,-($D1237+$E1237*INDEX('Equipo'!$B$5:$B$29,MATCH($B1237,'Equipo'!$A$5:$A$29,0))),0))),"")</f>
        <v/>
      </c>
      <c r="H1237" s="25">
        <f>IFERROR(IF(OR($B1237="",$C1237=""),"",IF(MATCH($C1237,'Ajustes'!$A$5:$A$8,0)=4,$D1237/INDEX('Equipo'!$B$5:$B$29,MATCH($B1237,'Equipo'!$A$5:$A$29,0))+$E1237,0)),"")</f>
        <v/>
      </c>
      <c r="I1237" s="26">
        <f>IF($B1237='Perfil'!$B$3,COUNTIF($B$4:$B1237,'Perfil'!$B$3),"")</f>
        <v/>
      </c>
    </row>
    <row r="1238">
      <c r="A1238" s="22" t="n"/>
      <c r="B1238" s="23" t="n"/>
      <c r="C1238" s="23" t="n"/>
      <c r="D1238" s="24" t="n"/>
      <c r="E1238" s="24" t="n"/>
      <c r="F1238" s="23" t="n"/>
      <c r="G1238" s="19">
        <f>IFERROR(IF(OR($B1238="",$C1238=""),"",IF(MATCH($C1238,'Ajustes'!$A$5:$A$8,0)&lt;=2,$D1238*INDEX('Ajustes'!$C$5:$C$6,MATCH($C1238,'Ajustes'!$A$5:$A$8,0)),IF(MATCH($C1238,'Ajustes'!$A$5:$A$8,0)=3,-($D1238+$E1238*INDEX('Equipo'!$B$5:$B$29,MATCH($B1238,'Equipo'!$A$5:$A$29,0))),0))),"")</f>
        <v/>
      </c>
      <c r="H1238" s="25">
        <f>IFERROR(IF(OR($B1238="",$C1238=""),"",IF(MATCH($C1238,'Ajustes'!$A$5:$A$8,0)=4,$D1238/INDEX('Equipo'!$B$5:$B$29,MATCH($B1238,'Equipo'!$A$5:$A$29,0))+$E1238,0)),"")</f>
        <v/>
      </c>
      <c r="I1238" s="26">
        <f>IF($B1238='Perfil'!$B$3,COUNTIF($B$4:$B1238,'Perfil'!$B$3),"")</f>
        <v/>
      </c>
    </row>
    <row r="1239">
      <c r="A1239" s="22" t="n"/>
      <c r="B1239" s="23" t="n"/>
      <c r="C1239" s="23" t="n"/>
      <c r="D1239" s="24" t="n"/>
      <c r="E1239" s="24" t="n"/>
      <c r="F1239" s="23" t="n"/>
      <c r="G1239" s="19">
        <f>IFERROR(IF(OR($B1239="",$C1239=""),"",IF(MATCH($C1239,'Ajustes'!$A$5:$A$8,0)&lt;=2,$D1239*INDEX('Ajustes'!$C$5:$C$6,MATCH($C1239,'Ajustes'!$A$5:$A$8,0)),IF(MATCH($C1239,'Ajustes'!$A$5:$A$8,0)=3,-($D1239+$E1239*INDEX('Equipo'!$B$5:$B$29,MATCH($B1239,'Equipo'!$A$5:$A$29,0))),0))),"")</f>
        <v/>
      </c>
      <c r="H1239" s="25">
        <f>IFERROR(IF(OR($B1239="",$C1239=""),"",IF(MATCH($C1239,'Ajustes'!$A$5:$A$8,0)=4,$D1239/INDEX('Equipo'!$B$5:$B$29,MATCH($B1239,'Equipo'!$A$5:$A$29,0))+$E1239,0)),"")</f>
        <v/>
      </c>
      <c r="I1239" s="26">
        <f>IF($B1239='Perfil'!$B$3,COUNTIF($B$4:$B1239,'Perfil'!$B$3),"")</f>
        <v/>
      </c>
    </row>
    <row r="1240">
      <c r="A1240" s="22" t="n"/>
      <c r="B1240" s="23" t="n"/>
      <c r="C1240" s="23" t="n"/>
      <c r="D1240" s="24" t="n"/>
      <c r="E1240" s="24" t="n"/>
      <c r="F1240" s="23" t="n"/>
      <c r="G1240" s="19">
        <f>IFERROR(IF(OR($B1240="",$C1240=""),"",IF(MATCH($C1240,'Ajustes'!$A$5:$A$8,0)&lt;=2,$D1240*INDEX('Ajustes'!$C$5:$C$6,MATCH($C1240,'Ajustes'!$A$5:$A$8,0)),IF(MATCH($C1240,'Ajustes'!$A$5:$A$8,0)=3,-($D1240+$E1240*INDEX('Equipo'!$B$5:$B$29,MATCH($B1240,'Equipo'!$A$5:$A$29,0))),0))),"")</f>
        <v/>
      </c>
      <c r="H1240" s="25">
        <f>IFERROR(IF(OR($B1240="",$C1240=""),"",IF(MATCH($C1240,'Ajustes'!$A$5:$A$8,0)=4,$D1240/INDEX('Equipo'!$B$5:$B$29,MATCH($B1240,'Equipo'!$A$5:$A$29,0))+$E1240,0)),"")</f>
        <v/>
      </c>
      <c r="I1240" s="26">
        <f>IF($B1240='Perfil'!$B$3,COUNTIF($B$4:$B1240,'Perfil'!$B$3),"")</f>
        <v/>
      </c>
    </row>
    <row r="1241">
      <c r="A1241" s="22" t="n"/>
      <c r="B1241" s="23" t="n"/>
      <c r="C1241" s="23" t="n"/>
      <c r="D1241" s="24" t="n"/>
      <c r="E1241" s="24" t="n"/>
      <c r="F1241" s="23" t="n"/>
      <c r="G1241" s="19">
        <f>IFERROR(IF(OR($B1241="",$C1241=""),"",IF(MATCH($C1241,'Ajustes'!$A$5:$A$8,0)&lt;=2,$D1241*INDEX('Ajustes'!$C$5:$C$6,MATCH($C1241,'Ajustes'!$A$5:$A$8,0)),IF(MATCH($C1241,'Ajustes'!$A$5:$A$8,0)=3,-($D1241+$E1241*INDEX('Equipo'!$B$5:$B$29,MATCH($B1241,'Equipo'!$A$5:$A$29,0))),0))),"")</f>
        <v/>
      </c>
      <c r="H1241" s="25">
        <f>IFERROR(IF(OR($B1241="",$C1241=""),"",IF(MATCH($C1241,'Ajustes'!$A$5:$A$8,0)=4,$D1241/INDEX('Equipo'!$B$5:$B$29,MATCH($B1241,'Equipo'!$A$5:$A$29,0))+$E1241,0)),"")</f>
        <v/>
      </c>
      <c r="I1241" s="26">
        <f>IF($B1241='Perfil'!$B$3,COUNTIF($B$4:$B1241,'Perfil'!$B$3),"")</f>
        <v/>
      </c>
    </row>
    <row r="1242">
      <c r="A1242" s="22" t="n"/>
      <c r="B1242" s="23" t="n"/>
      <c r="C1242" s="23" t="n"/>
      <c r="D1242" s="24" t="n"/>
      <c r="E1242" s="24" t="n"/>
      <c r="F1242" s="23" t="n"/>
      <c r="G1242" s="19">
        <f>IFERROR(IF(OR($B1242="",$C1242=""),"",IF(MATCH($C1242,'Ajustes'!$A$5:$A$8,0)&lt;=2,$D1242*INDEX('Ajustes'!$C$5:$C$6,MATCH($C1242,'Ajustes'!$A$5:$A$8,0)),IF(MATCH($C1242,'Ajustes'!$A$5:$A$8,0)=3,-($D1242+$E1242*INDEX('Equipo'!$B$5:$B$29,MATCH($B1242,'Equipo'!$A$5:$A$29,0))),0))),"")</f>
        <v/>
      </c>
      <c r="H1242" s="25">
        <f>IFERROR(IF(OR($B1242="",$C1242=""),"",IF(MATCH($C1242,'Ajustes'!$A$5:$A$8,0)=4,$D1242/INDEX('Equipo'!$B$5:$B$29,MATCH($B1242,'Equipo'!$A$5:$A$29,0))+$E1242,0)),"")</f>
        <v/>
      </c>
      <c r="I1242" s="26">
        <f>IF($B1242='Perfil'!$B$3,COUNTIF($B$4:$B1242,'Perfil'!$B$3),"")</f>
        <v/>
      </c>
    </row>
    <row r="1243">
      <c r="A1243" s="22" t="n"/>
      <c r="B1243" s="23" t="n"/>
      <c r="C1243" s="23" t="n"/>
      <c r="D1243" s="24" t="n"/>
      <c r="E1243" s="24" t="n"/>
      <c r="F1243" s="23" t="n"/>
      <c r="G1243" s="19">
        <f>IFERROR(IF(OR($B1243="",$C1243=""),"",IF(MATCH($C1243,'Ajustes'!$A$5:$A$8,0)&lt;=2,$D1243*INDEX('Ajustes'!$C$5:$C$6,MATCH($C1243,'Ajustes'!$A$5:$A$8,0)),IF(MATCH($C1243,'Ajustes'!$A$5:$A$8,0)=3,-($D1243+$E1243*INDEX('Equipo'!$B$5:$B$29,MATCH($B1243,'Equipo'!$A$5:$A$29,0))),0))),"")</f>
        <v/>
      </c>
      <c r="H1243" s="25">
        <f>IFERROR(IF(OR($B1243="",$C1243=""),"",IF(MATCH($C1243,'Ajustes'!$A$5:$A$8,0)=4,$D1243/INDEX('Equipo'!$B$5:$B$29,MATCH($B1243,'Equipo'!$A$5:$A$29,0))+$E1243,0)),"")</f>
        <v/>
      </c>
      <c r="I1243" s="26">
        <f>IF($B1243='Perfil'!$B$3,COUNTIF($B$4:$B1243,'Perfil'!$B$3),"")</f>
        <v/>
      </c>
    </row>
    <row r="1244">
      <c r="A1244" s="22" t="n"/>
      <c r="B1244" s="23" t="n"/>
      <c r="C1244" s="23" t="n"/>
      <c r="D1244" s="24" t="n"/>
      <c r="E1244" s="24" t="n"/>
      <c r="F1244" s="23" t="n"/>
      <c r="G1244" s="19">
        <f>IFERROR(IF(OR($B1244="",$C1244=""),"",IF(MATCH($C1244,'Ajustes'!$A$5:$A$8,0)&lt;=2,$D1244*INDEX('Ajustes'!$C$5:$C$6,MATCH($C1244,'Ajustes'!$A$5:$A$8,0)),IF(MATCH($C1244,'Ajustes'!$A$5:$A$8,0)=3,-($D1244+$E1244*INDEX('Equipo'!$B$5:$B$29,MATCH($B1244,'Equipo'!$A$5:$A$29,0))),0))),"")</f>
        <v/>
      </c>
      <c r="H1244" s="25">
        <f>IFERROR(IF(OR($B1244="",$C1244=""),"",IF(MATCH($C1244,'Ajustes'!$A$5:$A$8,0)=4,$D1244/INDEX('Equipo'!$B$5:$B$29,MATCH($B1244,'Equipo'!$A$5:$A$29,0))+$E1244,0)),"")</f>
        <v/>
      </c>
      <c r="I1244" s="26">
        <f>IF($B1244='Perfil'!$B$3,COUNTIF($B$4:$B1244,'Perfil'!$B$3),"")</f>
        <v/>
      </c>
    </row>
    <row r="1245">
      <c r="A1245" s="22" t="n"/>
      <c r="B1245" s="23" t="n"/>
      <c r="C1245" s="23" t="n"/>
      <c r="D1245" s="24" t="n"/>
      <c r="E1245" s="24" t="n"/>
      <c r="F1245" s="23" t="n"/>
      <c r="G1245" s="19">
        <f>IFERROR(IF(OR($B1245="",$C1245=""),"",IF(MATCH($C1245,'Ajustes'!$A$5:$A$8,0)&lt;=2,$D1245*INDEX('Ajustes'!$C$5:$C$6,MATCH($C1245,'Ajustes'!$A$5:$A$8,0)),IF(MATCH($C1245,'Ajustes'!$A$5:$A$8,0)=3,-($D1245+$E1245*INDEX('Equipo'!$B$5:$B$29,MATCH($B1245,'Equipo'!$A$5:$A$29,0))),0))),"")</f>
        <v/>
      </c>
      <c r="H1245" s="25">
        <f>IFERROR(IF(OR($B1245="",$C1245=""),"",IF(MATCH($C1245,'Ajustes'!$A$5:$A$8,0)=4,$D1245/INDEX('Equipo'!$B$5:$B$29,MATCH($B1245,'Equipo'!$A$5:$A$29,0))+$E1245,0)),"")</f>
        <v/>
      </c>
      <c r="I1245" s="26">
        <f>IF($B1245='Perfil'!$B$3,COUNTIF($B$4:$B1245,'Perfil'!$B$3),"")</f>
        <v/>
      </c>
    </row>
    <row r="1246">
      <c r="A1246" s="22" t="n"/>
      <c r="B1246" s="23" t="n"/>
      <c r="C1246" s="23" t="n"/>
      <c r="D1246" s="24" t="n"/>
      <c r="E1246" s="24" t="n"/>
      <c r="F1246" s="23" t="n"/>
      <c r="G1246" s="19">
        <f>IFERROR(IF(OR($B1246="",$C1246=""),"",IF(MATCH($C1246,'Ajustes'!$A$5:$A$8,0)&lt;=2,$D1246*INDEX('Ajustes'!$C$5:$C$6,MATCH($C1246,'Ajustes'!$A$5:$A$8,0)),IF(MATCH($C1246,'Ajustes'!$A$5:$A$8,0)=3,-($D1246+$E1246*INDEX('Equipo'!$B$5:$B$29,MATCH($B1246,'Equipo'!$A$5:$A$29,0))),0))),"")</f>
        <v/>
      </c>
      <c r="H1246" s="25">
        <f>IFERROR(IF(OR($B1246="",$C1246=""),"",IF(MATCH($C1246,'Ajustes'!$A$5:$A$8,0)=4,$D1246/INDEX('Equipo'!$B$5:$B$29,MATCH($B1246,'Equipo'!$A$5:$A$29,0))+$E1246,0)),"")</f>
        <v/>
      </c>
      <c r="I1246" s="26">
        <f>IF($B1246='Perfil'!$B$3,COUNTIF($B$4:$B1246,'Perfil'!$B$3),"")</f>
        <v/>
      </c>
    </row>
    <row r="1247">
      <c r="A1247" s="22" t="n"/>
      <c r="B1247" s="23" t="n"/>
      <c r="C1247" s="23" t="n"/>
      <c r="D1247" s="24" t="n"/>
      <c r="E1247" s="24" t="n"/>
      <c r="F1247" s="23" t="n"/>
      <c r="G1247" s="19">
        <f>IFERROR(IF(OR($B1247="",$C1247=""),"",IF(MATCH($C1247,'Ajustes'!$A$5:$A$8,0)&lt;=2,$D1247*INDEX('Ajustes'!$C$5:$C$6,MATCH($C1247,'Ajustes'!$A$5:$A$8,0)),IF(MATCH($C1247,'Ajustes'!$A$5:$A$8,0)=3,-($D1247+$E1247*INDEX('Equipo'!$B$5:$B$29,MATCH($B1247,'Equipo'!$A$5:$A$29,0))),0))),"")</f>
        <v/>
      </c>
      <c r="H1247" s="25">
        <f>IFERROR(IF(OR($B1247="",$C1247=""),"",IF(MATCH($C1247,'Ajustes'!$A$5:$A$8,0)=4,$D1247/INDEX('Equipo'!$B$5:$B$29,MATCH($B1247,'Equipo'!$A$5:$A$29,0))+$E1247,0)),"")</f>
        <v/>
      </c>
      <c r="I1247" s="26">
        <f>IF($B1247='Perfil'!$B$3,COUNTIF($B$4:$B1247,'Perfil'!$B$3),"")</f>
        <v/>
      </c>
    </row>
    <row r="1248">
      <c r="A1248" s="22" t="n"/>
      <c r="B1248" s="23" t="n"/>
      <c r="C1248" s="23" t="n"/>
      <c r="D1248" s="24" t="n"/>
      <c r="E1248" s="24" t="n"/>
      <c r="F1248" s="23" t="n"/>
      <c r="G1248" s="19">
        <f>IFERROR(IF(OR($B1248="",$C1248=""),"",IF(MATCH($C1248,'Ajustes'!$A$5:$A$8,0)&lt;=2,$D1248*INDEX('Ajustes'!$C$5:$C$6,MATCH($C1248,'Ajustes'!$A$5:$A$8,0)),IF(MATCH($C1248,'Ajustes'!$A$5:$A$8,0)=3,-($D1248+$E1248*INDEX('Equipo'!$B$5:$B$29,MATCH($B1248,'Equipo'!$A$5:$A$29,0))),0))),"")</f>
        <v/>
      </c>
      <c r="H1248" s="25">
        <f>IFERROR(IF(OR($B1248="",$C1248=""),"",IF(MATCH($C1248,'Ajustes'!$A$5:$A$8,0)=4,$D1248/INDEX('Equipo'!$B$5:$B$29,MATCH($B1248,'Equipo'!$A$5:$A$29,0))+$E1248,0)),"")</f>
        <v/>
      </c>
      <c r="I1248" s="26">
        <f>IF($B1248='Perfil'!$B$3,COUNTIF($B$4:$B1248,'Perfil'!$B$3),"")</f>
        <v/>
      </c>
    </row>
    <row r="1249">
      <c r="A1249" s="22" t="n"/>
      <c r="B1249" s="23" t="n"/>
      <c r="C1249" s="23" t="n"/>
      <c r="D1249" s="24" t="n"/>
      <c r="E1249" s="24" t="n"/>
      <c r="F1249" s="23" t="n"/>
      <c r="G1249" s="19">
        <f>IFERROR(IF(OR($B1249="",$C1249=""),"",IF(MATCH($C1249,'Ajustes'!$A$5:$A$8,0)&lt;=2,$D1249*INDEX('Ajustes'!$C$5:$C$6,MATCH($C1249,'Ajustes'!$A$5:$A$8,0)),IF(MATCH($C1249,'Ajustes'!$A$5:$A$8,0)=3,-($D1249+$E1249*INDEX('Equipo'!$B$5:$B$29,MATCH($B1249,'Equipo'!$A$5:$A$29,0))),0))),"")</f>
        <v/>
      </c>
      <c r="H1249" s="25">
        <f>IFERROR(IF(OR($B1249="",$C1249=""),"",IF(MATCH($C1249,'Ajustes'!$A$5:$A$8,0)=4,$D1249/INDEX('Equipo'!$B$5:$B$29,MATCH($B1249,'Equipo'!$A$5:$A$29,0))+$E1249,0)),"")</f>
        <v/>
      </c>
      <c r="I1249" s="26">
        <f>IF($B1249='Perfil'!$B$3,COUNTIF($B$4:$B1249,'Perfil'!$B$3),"")</f>
        <v/>
      </c>
    </row>
    <row r="1250">
      <c r="A1250" s="22" t="n"/>
      <c r="B1250" s="23" t="n"/>
      <c r="C1250" s="23" t="n"/>
      <c r="D1250" s="24" t="n"/>
      <c r="E1250" s="24" t="n"/>
      <c r="F1250" s="23" t="n"/>
      <c r="G1250" s="19">
        <f>IFERROR(IF(OR($B1250="",$C1250=""),"",IF(MATCH($C1250,'Ajustes'!$A$5:$A$8,0)&lt;=2,$D1250*INDEX('Ajustes'!$C$5:$C$6,MATCH($C1250,'Ajustes'!$A$5:$A$8,0)),IF(MATCH($C1250,'Ajustes'!$A$5:$A$8,0)=3,-($D1250+$E1250*INDEX('Equipo'!$B$5:$B$29,MATCH($B1250,'Equipo'!$A$5:$A$29,0))),0))),"")</f>
        <v/>
      </c>
      <c r="H1250" s="25">
        <f>IFERROR(IF(OR($B1250="",$C1250=""),"",IF(MATCH($C1250,'Ajustes'!$A$5:$A$8,0)=4,$D1250/INDEX('Equipo'!$B$5:$B$29,MATCH($B1250,'Equipo'!$A$5:$A$29,0))+$E1250,0)),"")</f>
        <v/>
      </c>
      <c r="I1250" s="26">
        <f>IF($B1250='Perfil'!$B$3,COUNTIF($B$4:$B1250,'Perfil'!$B$3),"")</f>
        <v/>
      </c>
    </row>
    <row r="1251">
      <c r="A1251" s="22" t="n"/>
      <c r="B1251" s="23" t="n"/>
      <c r="C1251" s="23" t="n"/>
      <c r="D1251" s="24" t="n"/>
      <c r="E1251" s="24" t="n"/>
      <c r="F1251" s="23" t="n"/>
      <c r="G1251" s="19">
        <f>IFERROR(IF(OR($B1251="",$C1251=""),"",IF(MATCH($C1251,'Ajustes'!$A$5:$A$8,0)&lt;=2,$D1251*INDEX('Ajustes'!$C$5:$C$6,MATCH($C1251,'Ajustes'!$A$5:$A$8,0)),IF(MATCH($C1251,'Ajustes'!$A$5:$A$8,0)=3,-($D1251+$E1251*INDEX('Equipo'!$B$5:$B$29,MATCH($B1251,'Equipo'!$A$5:$A$29,0))),0))),"")</f>
        <v/>
      </c>
      <c r="H1251" s="25">
        <f>IFERROR(IF(OR($B1251="",$C1251=""),"",IF(MATCH($C1251,'Ajustes'!$A$5:$A$8,0)=4,$D1251/INDEX('Equipo'!$B$5:$B$29,MATCH($B1251,'Equipo'!$A$5:$A$29,0))+$E1251,0)),"")</f>
        <v/>
      </c>
      <c r="I1251" s="26">
        <f>IF($B1251='Perfil'!$B$3,COUNTIF($B$4:$B1251,'Perfil'!$B$3),"")</f>
        <v/>
      </c>
    </row>
    <row r="1252">
      <c r="A1252" s="22" t="n"/>
      <c r="B1252" s="23" t="n"/>
      <c r="C1252" s="23" t="n"/>
      <c r="D1252" s="24" t="n"/>
      <c r="E1252" s="24" t="n"/>
      <c r="F1252" s="23" t="n"/>
      <c r="G1252" s="19">
        <f>IFERROR(IF(OR($B1252="",$C1252=""),"",IF(MATCH($C1252,'Ajustes'!$A$5:$A$8,0)&lt;=2,$D1252*INDEX('Ajustes'!$C$5:$C$6,MATCH($C1252,'Ajustes'!$A$5:$A$8,0)),IF(MATCH($C1252,'Ajustes'!$A$5:$A$8,0)=3,-($D1252+$E1252*INDEX('Equipo'!$B$5:$B$29,MATCH($B1252,'Equipo'!$A$5:$A$29,0))),0))),"")</f>
        <v/>
      </c>
      <c r="H1252" s="25">
        <f>IFERROR(IF(OR($B1252="",$C1252=""),"",IF(MATCH($C1252,'Ajustes'!$A$5:$A$8,0)=4,$D1252/INDEX('Equipo'!$B$5:$B$29,MATCH($B1252,'Equipo'!$A$5:$A$29,0))+$E1252,0)),"")</f>
        <v/>
      </c>
      <c r="I1252" s="26">
        <f>IF($B1252='Perfil'!$B$3,COUNTIF($B$4:$B1252,'Perfil'!$B$3),"")</f>
        <v/>
      </c>
    </row>
    <row r="1253">
      <c r="A1253" s="22" t="n"/>
      <c r="B1253" s="23" t="n"/>
      <c r="C1253" s="23" t="n"/>
      <c r="D1253" s="24" t="n"/>
      <c r="E1253" s="24" t="n"/>
      <c r="F1253" s="23" t="n"/>
      <c r="G1253" s="19">
        <f>IFERROR(IF(OR($B1253="",$C1253=""),"",IF(MATCH($C1253,'Ajustes'!$A$5:$A$8,0)&lt;=2,$D1253*INDEX('Ajustes'!$C$5:$C$6,MATCH($C1253,'Ajustes'!$A$5:$A$8,0)),IF(MATCH($C1253,'Ajustes'!$A$5:$A$8,0)=3,-($D1253+$E1253*INDEX('Equipo'!$B$5:$B$29,MATCH($B1253,'Equipo'!$A$5:$A$29,0))),0))),"")</f>
        <v/>
      </c>
      <c r="H1253" s="25">
        <f>IFERROR(IF(OR($B1253="",$C1253=""),"",IF(MATCH($C1253,'Ajustes'!$A$5:$A$8,0)=4,$D1253/INDEX('Equipo'!$B$5:$B$29,MATCH($B1253,'Equipo'!$A$5:$A$29,0))+$E1253,0)),"")</f>
        <v/>
      </c>
      <c r="I1253" s="26">
        <f>IF($B1253='Perfil'!$B$3,COUNTIF($B$4:$B1253,'Perfil'!$B$3),"")</f>
        <v/>
      </c>
    </row>
    <row r="1254">
      <c r="A1254" s="22" t="n"/>
      <c r="B1254" s="23" t="n"/>
      <c r="C1254" s="23" t="n"/>
      <c r="D1254" s="24" t="n"/>
      <c r="E1254" s="24" t="n"/>
      <c r="F1254" s="23" t="n"/>
      <c r="G1254" s="19">
        <f>IFERROR(IF(OR($B1254="",$C1254=""),"",IF(MATCH($C1254,'Ajustes'!$A$5:$A$8,0)&lt;=2,$D1254*INDEX('Ajustes'!$C$5:$C$6,MATCH($C1254,'Ajustes'!$A$5:$A$8,0)),IF(MATCH($C1254,'Ajustes'!$A$5:$A$8,0)=3,-($D1254+$E1254*INDEX('Equipo'!$B$5:$B$29,MATCH($B1254,'Equipo'!$A$5:$A$29,0))),0))),"")</f>
        <v/>
      </c>
      <c r="H1254" s="25">
        <f>IFERROR(IF(OR($B1254="",$C1254=""),"",IF(MATCH($C1254,'Ajustes'!$A$5:$A$8,0)=4,$D1254/INDEX('Equipo'!$B$5:$B$29,MATCH($B1254,'Equipo'!$A$5:$A$29,0))+$E1254,0)),"")</f>
        <v/>
      </c>
      <c r="I1254" s="26">
        <f>IF($B1254='Perfil'!$B$3,COUNTIF($B$4:$B1254,'Perfil'!$B$3),"")</f>
        <v/>
      </c>
    </row>
    <row r="1255">
      <c r="A1255" s="22" t="n"/>
      <c r="B1255" s="23" t="n"/>
      <c r="C1255" s="23" t="n"/>
      <c r="D1255" s="24" t="n"/>
      <c r="E1255" s="24" t="n"/>
      <c r="F1255" s="23" t="n"/>
      <c r="G1255" s="19">
        <f>IFERROR(IF(OR($B1255="",$C1255=""),"",IF(MATCH($C1255,'Ajustes'!$A$5:$A$8,0)&lt;=2,$D1255*INDEX('Ajustes'!$C$5:$C$6,MATCH($C1255,'Ajustes'!$A$5:$A$8,0)),IF(MATCH($C1255,'Ajustes'!$A$5:$A$8,0)=3,-($D1255+$E1255*INDEX('Equipo'!$B$5:$B$29,MATCH($B1255,'Equipo'!$A$5:$A$29,0))),0))),"")</f>
        <v/>
      </c>
      <c r="H1255" s="25">
        <f>IFERROR(IF(OR($B1255="",$C1255=""),"",IF(MATCH($C1255,'Ajustes'!$A$5:$A$8,0)=4,$D1255/INDEX('Equipo'!$B$5:$B$29,MATCH($B1255,'Equipo'!$A$5:$A$29,0))+$E1255,0)),"")</f>
        <v/>
      </c>
      <c r="I1255" s="26">
        <f>IF($B1255='Perfil'!$B$3,COUNTIF($B$4:$B1255,'Perfil'!$B$3),"")</f>
        <v/>
      </c>
    </row>
    <row r="1256">
      <c r="A1256" s="22" t="n"/>
      <c r="B1256" s="23" t="n"/>
      <c r="C1256" s="23" t="n"/>
      <c r="D1256" s="24" t="n"/>
      <c r="E1256" s="24" t="n"/>
      <c r="F1256" s="23" t="n"/>
      <c r="G1256" s="19">
        <f>IFERROR(IF(OR($B1256="",$C1256=""),"",IF(MATCH($C1256,'Ajustes'!$A$5:$A$8,0)&lt;=2,$D1256*INDEX('Ajustes'!$C$5:$C$6,MATCH($C1256,'Ajustes'!$A$5:$A$8,0)),IF(MATCH($C1256,'Ajustes'!$A$5:$A$8,0)=3,-($D1256+$E1256*INDEX('Equipo'!$B$5:$B$29,MATCH($B1256,'Equipo'!$A$5:$A$29,0))),0))),"")</f>
        <v/>
      </c>
      <c r="H1256" s="25">
        <f>IFERROR(IF(OR($B1256="",$C1256=""),"",IF(MATCH($C1256,'Ajustes'!$A$5:$A$8,0)=4,$D1256/INDEX('Equipo'!$B$5:$B$29,MATCH($B1256,'Equipo'!$A$5:$A$29,0))+$E1256,0)),"")</f>
        <v/>
      </c>
      <c r="I1256" s="26">
        <f>IF($B1256='Perfil'!$B$3,COUNTIF($B$4:$B1256,'Perfil'!$B$3),"")</f>
        <v/>
      </c>
    </row>
    <row r="1257">
      <c r="A1257" s="22" t="n"/>
      <c r="B1257" s="23" t="n"/>
      <c r="C1257" s="23" t="n"/>
      <c r="D1257" s="24" t="n"/>
      <c r="E1257" s="24" t="n"/>
      <c r="F1257" s="23" t="n"/>
      <c r="G1257" s="19">
        <f>IFERROR(IF(OR($B1257="",$C1257=""),"",IF(MATCH($C1257,'Ajustes'!$A$5:$A$8,0)&lt;=2,$D1257*INDEX('Ajustes'!$C$5:$C$6,MATCH($C1257,'Ajustes'!$A$5:$A$8,0)),IF(MATCH($C1257,'Ajustes'!$A$5:$A$8,0)=3,-($D1257+$E1257*INDEX('Equipo'!$B$5:$B$29,MATCH($B1257,'Equipo'!$A$5:$A$29,0))),0))),"")</f>
        <v/>
      </c>
      <c r="H1257" s="25">
        <f>IFERROR(IF(OR($B1257="",$C1257=""),"",IF(MATCH($C1257,'Ajustes'!$A$5:$A$8,0)=4,$D1257/INDEX('Equipo'!$B$5:$B$29,MATCH($B1257,'Equipo'!$A$5:$A$29,0))+$E1257,0)),"")</f>
        <v/>
      </c>
      <c r="I1257" s="26">
        <f>IF($B1257='Perfil'!$B$3,COUNTIF($B$4:$B1257,'Perfil'!$B$3),"")</f>
        <v/>
      </c>
    </row>
    <row r="1258">
      <c r="A1258" s="22" t="n"/>
      <c r="B1258" s="23" t="n"/>
      <c r="C1258" s="23" t="n"/>
      <c r="D1258" s="24" t="n"/>
      <c r="E1258" s="24" t="n"/>
      <c r="F1258" s="23" t="n"/>
      <c r="G1258" s="19">
        <f>IFERROR(IF(OR($B1258="",$C1258=""),"",IF(MATCH($C1258,'Ajustes'!$A$5:$A$8,0)&lt;=2,$D1258*INDEX('Ajustes'!$C$5:$C$6,MATCH($C1258,'Ajustes'!$A$5:$A$8,0)),IF(MATCH($C1258,'Ajustes'!$A$5:$A$8,0)=3,-($D1258+$E1258*INDEX('Equipo'!$B$5:$B$29,MATCH($B1258,'Equipo'!$A$5:$A$29,0))),0))),"")</f>
        <v/>
      </c>
      <c r="H1258" s="25">
        <f>IFERROR(IF(OR($B1258="",$C1258=""),"",IF(MATCH($C1258,'Ajustes'!$A$5:$A$8,0)=4,$D1258/INDEX('Equipo'!$B$5:$B$29,MATCH($B1258,'Equipo'!$A$5:$A$29,0))+$E1258,0)),"")</f>
        <v/>
      </c>
      <c r="I1258" s="26">
        <f>IF($B1258='Perfil'!$B$3,COUNTIF($B$4:$B1258,'Perfil'!$B$3),"")</f>
        <v/>
      </c>
    </row>
    <row r="1259">
      <c r="A1259" s="22" t="n"/>
      <c r="B1259" s="23" t="n"/>
      <c r="C1259" s="23" t="n"/>
      <c r="D1259" s="24" t="n"/>
      <c r="E1259" s="24" t="n"/>
      <c r="F1259" s="23" t="n"/>
      <c r="G1259" s="19">
        <f>IFERROR(IF(OR($B1259="",$C1259=""),"",IF(MATCH($C1259,'Ajustes'!$A$5:$A$8,0)&lt;=2,$D1259*INDEX('Ajustes'!$C$5:$C$6,MATCH($C1259,'Ajustes'!$A$5:$A$8,0)),IF(MATCH($C1259,'Ajustes'!$A$5:$A$8,0)=3,-($D1259+$E1259*INDEX('Equipo'!$B$5:$B$29,MATCH($B1259,'Equipo'!$A$5:$A$29,0))),0))),"")</f>
        <v/>
      </c>
      <c r="H1259" s="25">
        <f>IFERROR(IF(OR($B1259="",$C1259=""),"",IF(MATCH($C1259,'Ajustes'!$A$5:$A$8,0)=4,$D1259/INDEX('Equipo'!$B$5:$B$29,MATCH($B1259,'Equipo'!$A$5:$A$29,0))+$E1259,0)),"")</f>
        <v/>
      </c>
      <c r="I1259" s="26">
        <f>IF($B1259='Perfil'!$B$3,COUNTIF($B$4:$B1259,'Perfil'!$B$3),"")</f>
        <v/>
      </c>
    </row>
    <row r="1260">
      <c r="A1260" s="22" t="n"/>
      <c r="B1260" s="23" t="n"/>
      <c r="C1260" s="23" t="n"/>
      <c r="D1260" s="24" t="n"/>
      <c r="E1260" s="24" t="n"/>
      <c r="F1260" s="23" t="n"/>
      <c r="G1260" s="19">
        <f>IFERROR(IF(OR($B1260="",$C1260=""),"",IF(MATCH($C1260,'Ajustes'!$A$5:$A$8,0)&lt;=2,$D1260*INDEX('Ajustes'!$C$5:$C$6,MATCH($C1260,'Ajustes'!$A$5:$A$8,0)),IF(MATCH($C1260,'Ajustes'!$A$5:$A$8,0)=3,-($D1260+$E1260*INDEX('Equipo'!$B$5:$B$29,MATCH($B1260,'Equipo'!$A$5:$A$29,0))),0))),"")</f>
        <v/>
      </c>
      <c r="H1260" s="25">
        <f>IFERROR(IF(OR($B1260="",$C1260=""),"",IF(MATCH($C1260,'Ajustes'!$A$5:$A$8,0)=4,$D1260/INDEX('Equipo'!$B$5:$B$29,MATCH($B1260,'Equipo'!$A$5:$A$29,0))+$E1260,0)),"")</f>
        <v/>
      </c>
      <c r="I1260" s="26">
        <f>IF($B1260='Perfil'!$B$3,COUNTIF($B$4:$B1260,'Perfil'!$B$3),"")</f>
        <v/>
      </c>
    </row>
    <row r="1261">
      <c r="A1261" s="22" t="n"/>
      <c r="B1261" s="23" t="n"/>
      <c r="C1261" s="23" t="n"/>
      <c r="D1261" s="24" t="n"/>
      <c r="E1261" s="24" t="n"/>
      <c r="F1261" s="23" t="n"/>
      <c r="G1261" s="19">
        <f>IFERROR(IF(OR($B1261="",$C1261=""),"",IF(MATCH($C1261,'Ajustes'!$A$5:$A$8,0)&lt;=2,$D1261*INDEX('Ajustes'!$C$5:$C$6,MATCH($C1261,'Ajustes'!$A$5:$A$8,0)),IF(MATCH($C1261,'Ajustes'!$A$5:$A$8,0)=3,-($D1261+$E1261*INDEX('Equipo'!$B$5:$B$29,MATCH($B1261,'Equipo'!$A$5:$A$29,0))),0))),"")</f>
        <v/>
      </c>
      <c r="H1261" s="25">
        <f>IFERROR(IF(OR($B1261="",$C1261=""),"",IF(MATCH($C1261,'Ajustes'!$A$5:$A$8,0)=4,$D1261/INDEX('Equipo'!$B$5:$B$29,MATCH($B1261,'Equipo'!$A$5:$A$29,0))+$E1261,0)),"")</f>
        <v/>
      </c>
      <c r="I1261" s="26">
        <f>IF($B1261='Perfil'!$B$3,COUNTIF($B$4:$B1261,'Perfil'!$B$3),"")</f>
        <v/>
      </c>
    </row>
    <row r="1262">
      <c r="A1262" s="22" t="n"/>
      <c r="B1262" s="23" t="n"/>
      <c r="C1262" s="23" t="n"/>
      <c r="D1262" s="24" t="n"/>
      <c r="E1262" s="24" t="n"/>
      <c r="F1262" s="23" t="n"/>
      <c r="G1262" s="19">
        <f>IFERROR(IF(OR($B1262="",$C1262=""),"",IF(MATCH($C1262,'Ajustes'!$A$5:$A$8,0)&lt;=2,$D1262*INDEX('Ajustes'!$C$5:$C$6,MATCH($C1262,'Ajustes'!$A$5:$A$8,0)),IF(MATCH($C1262,'Ajustes'!$A$5:$A$8,0)=3,-($D1262+$E1262*INDEX('Equipo'!$B$5:$B$29,MATCH($B1262,'Equipo'!$A$5:$A$29,0))),0))),"")</f>
        <v/>
      </c>
      <c r="H1262" s="25">
        <f>IFERROR(IF(OR($B1262="",$C1262=""),"",IF(MATCH($C1262,'Ajustes'!$A$5:$A$8,0)=4,$D1262/INDEX('Equipo'!$B$5:$B$29,MATCH($B1262,'Equipo'!$A$5:$A$29,0))+$E1262,0)),"")</f>
        <v/>
      </c>
      <c r="I1262" s="26">
        <f>IF($B1262='Perfil'!$B$3,COUNTIF($B$4:$B1262,'Perfil'!$B$3),"")</f>
        <v/>
      </c>
    </row>
    <row r="1263">
      <c r="A1263" s="22" t="n"/>
      <c r="B1263" s="23" t="n"/>
      <c r="C1263" s="23" t="n"/>
      <c r="D1263" s="24" t="n"/>
      <c r="E1263" s="24" t="n"/>
      <c r="F1263" s="23" t="n"/>
      <c r="G1263" s="19">
        <f>IFERROR(IF(OR($B1263="",$C1263=""),"",IF(MATCH($C1263,'Ajustes'!$A$5:$A$8,0)&lt;=2,$D1263*INDEX('Ajustes'!$C$5:$C$6,MATCH($C1263,'Ajustes'!$A$5:$A$8,0)),IF(MATCH($C1263,'Ajustes'!$A$5:$A$8,0)=3,-($D1263+$E1263*INDEX('Equipo'!$B$5:$B$29,MATCH($B1263,'Equipo'!$A$5:$A$29,0))),0))),"")</f>
        <v/>
      </c>
      <c r="H1263" s="25">
        <f>IFERROR(IF(OR($B1263="",$C1263=""),"",IF(MATCH($C1263,'Ajustes'!$A$5:$A$8,0)=4,$D1263/INDEX('Equipo'!$B$5:$B$29,MATCH($B1263,'Equipo'!$A$5:$A$29,0))+$E1263,0)),"")</f>
        <v/>
      </c>
      <c r="I1263" s="26">
        <f>IF($B1263='Perfil'!$B$3,COUNTIF($B$4:$B1263,'Perfil'!$B$3),"")</f>
        <v/>
      </c>
    </row>
    <row r="1264">
      <c r="A1264" s="22" t="n"/>
      <c r="B1264" s="23" t="n"/>
      <c r="C1264" s="23" t="n"/>
      <c r="D1264" s="24" t="n"/>
      <c r="E1264" s="24" t="n"/>
      <c r="F1264" s="23" t="n"/>
      <c r="G1264" s="19">
        <f>IFERROR(IF(OR($B1264="",$C1264=""),"",IF(MATCH($C1264,'Ajustes'!$A$5:$A$8,0)&lt;=2,$D1264*INDEX('Ajustes'!$C$5:$C$6,MATCH($C1264,'Ajustes'!$A$5:$A$8,0)),IF(MATCH($C1264,'Ajustes'!$A$5:$A$8,0)=3,-($D1264+$E1264*INDEX('Equipo'!$B$5:$B$29,MATCH($B1264,'Equipo'!$A$5:$A$29,0))),0))),"")</f>
        <v/>
      </c>
      <c r="H1264" s="25">
        <f>IFERROR(IF(OR($B1264="",$C1264=""),"",IF(MATCH($C1264,'Ajustes'!$A$5:$A$8,0)=4,$D1264/INDEX('Equipo'!$B$5:$B$29,MATCH($B1264,'Equipo'!$A$5:$A$29,0))+$E1264,0)),"")</f>
        <v/>
      </c>
      <c r="I1264" s="26">
        <f>IF($B1264='Perfil'!$B$3,COUNTIF($B$4:$B1264,'Perfil'!$B$3),"")</f>
        <v/>
      </c>
    </row>
    <row r="1265">
      <c r="A1265" s="22" t="n"/>
      <c r="B1265" s="23" t="n"/>
      <c r="C1265" s="23" t="n"/>
      <c r="D1265" s="24" t="n"/>
      <c r="E1265" s="24" t="n"/>
      <c r="F1265" s="23" t="n"/>
      <c r="G1265" s="19">
        <f>IFERROR(IF(OR($B1265="",$C1265=""),"",IF(MATCH($C1265,'Ajustes'!$A$5:$A$8,0)&lt;=2,$D1265*INDEX('Ajustes'!$C$5:$C$6,MATCH($C1265,'Ajustes'!$A$5:$A$8,0)),IF(MATCH($C1265,'Ajustes'!$A$5:$A$8,0)=3,-($D1265+$E1265*INDEX('Equipo'!$B$5:$B$29,MATCH($B1265,'Equipo'!$A$5:$A$29,0))),0))),"")</f>
        <v/>
      </c>
      <c r="H1265" s="25">
        <f>IFERROR(IF(OR($B1265="",$C1265=""),"",IF(MATCH($C1265,'Ajustes'!$A$5:$A$8,0)=4,$D1265/INDEX('Equipo'!$B$5:$B$29,MATCH($B1265,'Equipo'!$A$5:$A$29,0))+$E1265,0)),"")</f>
        <v/>
      </c>
      <c r="I1265" s="26">
        <f>IF($B1265='Perfil'!$B$3,COUNTIF($B$4:$B1265,'Perfil'!$B$3),"")</f>
        <v/>
      </c>
    </row>
    <row r="1266">
      <c r="A1266" s="22" t="n"/>
      <c r="B1266" s="23" t="n"/>
      <c r="C1266" s="23" t="n"/>
      <c r="D1266" s="24" t="n"/>
      <c r="E1266" s="24" t="n"/>
      <c r="F1266" s="23" t="n"/>
      <c r="G1266" s="19">
        <f>IFERROR(IF(OR($B1266="",$C1266=""),"",IF(MATCH($C1266,'Ajustes'!$A$5:$A$8,0)&lt;=2,$D1266*INDEX('Ajustes'!$C$5:$C$6,MATCH($C1266,'Ajustes'!$A$5:$A$8,0)),IF(MATCH($C1266,'Ajustes'!$A$5:$A$8,0)=3,-($D1266+$E1266*INDEX('Equipo'!$B$5:$B$29,MATCH($B1266,'Equipo'!$A$5:$A$29,0))),0))),"")</f>
        <v/>
      </c>
      <c r="H1266" s="25">
        <f>IFERROR(IF(OR($B1266="",$C1266=""),"",IF(MATCH($C1266,'Ajustes'!$A$5:$A$8,0)=4,$D1266/INDEX('Equipo'!$B$5:$B$29,MATCH($B1266,'Equipo'!$A$5:$A$29,0))+$E1266,0)),"")</f>
        <v/>
      </c>
      <c r="I1266" s="26">
        <f>IF($B1266='Perfil'!$B$3,COUNTIF($B$4:$B1266,'Perfil'!$B$3),"")</f>
        <v/>
      </c>
    </row>
    <row r="1267">
      <c r="A1267" s="22" t="n"/>
      <c r="B1267" s="23" t="n"/>
      <c r="C1267" s="23" t="n"/>
      <c r="D1267" s="24" t="n"/>
      <c r="E1267" s="24" t="n"/>
      <c r="F1267" s="23" t="n"/>
      <c r="G1267" s="19">
        <f>IFERROR(IF(OR($B1267="",$C1267=""),"",IF(MATCH($C1267,'Ajustes'!$A$5:$A$8,0)&lt;=2,$D1267*INDEX('Ajustes'!$C$5:$C$6,MATCH($C1267,'Ajustes'!$A$5:$A$8,0)),IF(MATCH($C1267,'Ajustes'!$A$5:$A$8,0)=3,-($D1267+$E1267*INDEX('Equipo'!$B$5:$B$29,MATCH($B1267,'Equipo'!$A$5:$A$29,0))),0))),"")</f>
        <v/>
      </c>
      <c r="H1267" s="25">
        <f>IFERROR(IF(OR($B1267="",$C1267=""),"",IF(MATCH($C1267,'Ajustes'!$A$5:$A$8,0)=4,$D1267/INDEX('Equipo'!$B$5:$B$29,MATCH($B1267,'Equipo'!$A$5:$A$29,0))+$E1267,0)),"")</f>
        <v/>
      </c>
      <c r="I1267" s="26">
        <f>IF($B1267='Perfil'!$B$3,COUNTIF($B$4:$B1267,'Perfil'!$B$3),"")</f>
        <v/>
      </c>
    </row>
    <row r="1268">
      <c r="A1268" s="22" t="n"/>
      <c r="B1268" s="23" t="n"/>
      <c r="C1268" s="23" t="n"/>
      <c r="D1268" s="24" t="n"/>
      <c r="E1268" s="24" t="n"/>
      <c r="F1268" s="23" t="n"/>
      <c r="G1268" s="19">
        <f>IFERROR(IF(OR($B1268="",$C1268=""),"",IF(MATCH($C1268,'Ajustes'!$A$5:$A$8,0)&lt;=2,$D1268*INDEX('Ajustes'!$C$5:$C$6,MATCH($C1268,'Ajustes'!$A$5:$A$8,0)),IF(MATCH($C1268,'Ajustes'!$A$5:$A$8,0)=3,-($D1268+$E1268*INDEX('Equipo'!$B$5:$B$29,MATCH($B1268,'Equipo'!$A$5:$A$29,0))),0))),"")</f>
        <v/>
      </c>
      <c r="H1268" s="25">
        <f>IFERROR(IF(OR($B1268="",$C1268=""),"",IF(MATCH($C1268,'Ajustes'!$A$5:$A$8,0)=4,$D1268/INDEX('Equipo'!$B$5:$B$29,MATCH($B1268,'Equipo'!$A$5:$A$29,0))+$E1268,0)),"")</f>
        <v/>
      </c>
      <c r="I1268" s="26">
        <f>IF($B1268='Perfil'!$B$3,COUNTIF($B$4:$B1268,'Perfil'!$B$3),"")</f>
        <v/>
      </c>
    </row>
    <row r="1269">
      <c r="A1269" s="22" t="n"/>
      <c r="B1269" s="23" t="n"/>
      <c r="C1269" s="23" t="n"/>
      <c r="D1269" s="24" t="n"/>
      <c r="E1269" s="24" t="n"/>
      <c r="F1269" s="23" t="n"/>
      <c r="G1269" s="19">
        <f>IFERROR(IF(OR($B1269="",$C1269=""),"",IF(MATCH($C1269,'Ajustes'!$A$5:$A$8,0)&lt;=2,$D1269*INDEX('Ajustes'!$C$5:$C$6,MATCH($C1269,'Ajustes'!$A$5:$A$8,0)),IF(MATCH($C1269,'Ajustes'!$A$5:$A$8,0)=3,-($D1269+$E1269*INDEX('Equipo'!$B$5:$B$29,MATCH($B1269,'Equipo'!$A$5:$A$29,0))),0))),"")</f>
        <v/>
      </c>
      <c r="H1269" s="25">
        <f>IFERROR(IF(OR($B1269="",$C1269=""),"",IF(MATCH($C1269,'Ajustes'!$A$5:$A$8,0)=4,$D1269/INDEX('Equipo'!$B$5:$B$29,MATCH($B1269,'Equipo'!$A$5:$A$29,0))+$E1269,0)),"")</f>
        <v/>
      </c>
      <c r="I1269" s="26">
        <f>IF($B1269='Perfil'!$B$3,COUNTIF($B$4:$B1269,'Perfil'!$B$3),"")</f>
        <v/>
      </c>
    </row>
    <row r="1270">
      <c r="A1270" s="22" t="n"/>
      <c r="B1270" s="23" t="n"/>
      <c r="C1270" s="23" t="n"/>
      <c r="D1270" s="24" t="n"/>
      <c r="E1270" s="24" t="n"/>
      <c r="F1270" s="23" t="n"/>
      <c r="G1270" s="19">
        <f>IFERROR(IF(OR($B1270="",$C1270=""),"",IF(MATCH($C1270,'Ajustes'!$A$5:$A$8,0)&lt;=2,$D1270*INDEX('Ajustes'!$C$5:$C$6,MATCH($C1270,'Ajustes'!$A$5:$A$8,0)),IF(MATCH($C1270,'Ajustes'!$A$5:$A$8,0)=3,-($D1270+$E1270*INDEX('Equipo'!$B$5:$B$29,MATCH($B1270,'Equipo'!$A$5:$A$29,0))),0))),"")</f>
        <v/>
      </c>
      <c r="H1270" s="25">
        <f>IFERROR(IF(OR($B1270="",$C1270=""),"",IF(MATCH($C1270,'Ajustes'!$A$5:$A$8,0)=4,$D1270/INDEX('Equipo'!$B$5:$B$29,MATCH($B1270,'Equipo'!$A$5:$A$29,0))+$E1270,0)),"")</f>
        <v/>
      </c>
      <c r="I1270" s="26">
        <f>IF($B1270='Perfil'!$B$3,COUNTIF($B$4:$B1270,'Perfil'!$B$3),"")</f>
        <v/>
      </c>
    </row>
    <row r="1271">
      <c r="A1271" s="22" t="n"/>
      <c r="B1271" s="23" t="n"/>
      <c r="C1271" s="23" t="n"/>
      <c r="D1271" s="24" t="n"/>
      <c r="E1271" s="24" t="n"/>
      <c r="F1271" s="23" t="n"/>
      <c r="G1271" s="19">
        <f>IFERROR(IF(OR($B1271="",$C1271=""),"",IF(MATCH($C1271,'Ajustes'!$A$5:$A$8,0)&lt;=2,$D1271*INDEX('Ajustes'!$C$5:$C$6,MATCH($C1271,'Ajustes'!$A$5:$A$8,0)),IF(MATCH($C1271,'Ajustes'!$A$5:$A$8,0)=3,-($D1271+$E1271*INDEX('Equipo'!$B$5:$B$29,MATCH($B1271,'Equipo'!$A$5:$A$29,0))),0))),"")</f>
        <v/>
      </c>
      <c r="H1271" s="25">
        <f>IFERROR(IF(OR($B1271="",$C1271=""),"",IF(MATCH($C1271,'Ajustes'!$A$5:$A$8,0)=4,$D1271/INDEX('Equipo'!$B$5:$B$29,MATCH($B1271,'Equipo'!$A$5:$A$29,0))+$E1271,0)),"")</f>
        <v/>
      </c>
      <c r="I1271" s="26">
        <f>IF($B1271='Perfil'!$B$3,COUNTIF($B$4:$B1271,'Perfil'!$B$3),"")</f>
        <v/>
      </c>
    </row>
    <row r="1272">
      <c r="A1272" s="22" t="n"/>
      <c r="B1272" s="23" t="n"/>
      <c r="C1272" s="23" t="n"/>
      <c r="D1272" s="24" t="n"/>
      <c r="E1272" s="24" t="n"/>
      <c r="F1272" s="23" t="n"/>
      <c r="G1272" s="19">
        <f>IFERROR(IF(OR($B1272="",$C1272=""),"",IF(MATCH($C1272,'Ajustes'!$A$5:$A$8,0)&lt;=2,$D1272*INDEX('Ajustes'!$C$5:$C$6,MATCH($C1272,'Ajustes'!$A$5:$A$8,0)),IF(MATCH($C1272,'Ajustes'!$A$5:$A$8,0)=3,-($D1272+$E1272*INDEX('Equipo'!$B$5:$B$29,MATCH($B1272,'Equipo'!$A$5:$A$29,0))),0))),"")</f>
        <v/>
      </c>
      <c r="H1272" s="25">
        <f>IFERROR(IF(OR($B1272="",$C1272=""),"",IF(MATCH($C1272,'Ajustes'!$A$5:$A$8,0)=4,$D1272/INDEX('Equipo'!$B$5:$B$29,MATCH($B1272,'Equipo'!$A$5:$A$29,0))+$E1272,0)),"")</f>
        <v/>
      </c>
      <c r="I1272" s="26">
        <f>IF($B1272='Perfil'!$B$3,COUNTIF($B$4:$B1272,'Perfil'!$B$3),"")</f>
        <v/>
      </c>
    </row>
    <row r="1273">
      <c r="A1273" s="22" t="n"/>
      <c r="B1273" s="23" t="n"/>
      <c r="C1273" s="23" t="n"/>
      <c r="D1273" s="24" t="n"/>
      <c r="E1273" s="24" t="n"/>
      <c r="F1273" s="23" t="n"/>
      <c r="G1273" s="19">
        <f>IFERROR(IF(OR($B1273="",$C1273=""),"",IF(MATCH($C1273,'Ajustes'!$A$5:$A$8,0)&lt;=2,$D1273*INDEX('Ajustes'!$C$5:$C$6,MATCH($C1273,'Ajustes'!$A$5:$A$8,0)),IF(MATCH($C1273,'Ajustes'!$A$5:$A$8,0)=3,-($D1273+$E1273*INDEX('Equipo'!$B$5:$B$29,MATCH($B1273,'Equipo'!$A$5:$A$29,0))),0))),"")</f>
        <v/>
      </c>
      <c r="H1273" s="25">
        <f>IFERROR(IF(OR($B1273="",$C1273=""),"",IF(MATCH($C1273,'Ajustes'!$A$5:$A$8,0)=4,$D1273/INDEX('Equipo'!$B$5:$B$29,MATCH($B1273,'Equipo'!$A$5:$A$29,0))+$E1273,0)),"")</f>
        <v/>
      </c>
      <c r="I1273" s="26">
        <f>IF($B1273='Perfil'!$B$3,COUNTIF($B$4:$B1273,'Perfil'!$B$3),"")</f>
        <v/>
      </c>
    </row>
    <row r="1274">
      <c r="A1274" s="22" t="n"/>
      <c r="B1274" s="23" t="n"/>
      <c r="C1274" s="23" t="n"/>
      <c r="D1274" s="24" t="n"/>
      <c r="E1274" s="24" t="n"/>
      <c r="F1274" s="23" t="n"/>
      <c r="G1274" s="19">
        <f>IFERROR(IF(OR($B1274="",$C1274=""),"",IF(MATCH($C1274,'Ajustes'!$A$5:$A$8,0)&lt;=2,$D1274*INDEX('Ajustes'!$C$5:$C$6,MATCH($C1274,'Ajustes'!$A$5:$A$8,0)),IF(MATCH($C1274,'Ajustes'!$A$5:$A$8,0)=3,-($D1274+$E1274*INDEX('Equipo'!$B$5:$B$29,MATCH($B1274,'Equipo'!$A$5:$A$29,0))),0))),"")</f>
        <v/>
      </c>
      <c r="H1274" s="25">
        <f>IFERROR(IF(OR($B1274="",$C1274=""),"",IF(MATCH($C1274,'Ajustes'!$A$5:$A$8,0)=4,$D1274/INDEX('Equipo'!$B$5:$B$29,MATCH($B1274,'Equipo'!$A$5:$A$29,0))+$E1274,0)),"")</f>
        <v/>
      </c>
      <c r="I1274" s="26">
        <f>IF($B1274='Perfil'!$B$3,COUNTIF($B$4:$B1274,'Perfil'!$B$3),"")</f>
        <v/>
      </c>
    </row>
    <row r="1275">
      <c r="A1275" s="22" t="n"/>
      <c r="B1275" s="23" t="n"/>
      <c r="C1275" s="23" t="n"/>
      <c r="D1275" s="24" t="n"/>
      <c r="E1275" s="24" t="n"/>
      <c r="F1275" s="23" t="n"/>
      <c r="G1275" s="19">
        <f>IFERROR(IF(OR($B1275="",$C1275=""),"",IF(MATCH($C1275,'Ajustes'!$A$5:$A$8,0)&lt;=2,$D1275*INDEX('Ajustes'!$C$5:$C$6,MATCH($C1275,'Ajustes'!$A$5:$A$8,0)),IF(MATCH($C1275,'Ajustes'!$A$5:$A$8,0)=3,-($D1275+$E1275*INDEX('Equipo'!$B$5:$B$29,MATCH($B1275,'Equipo'!$A$5:$A$29,0))),0))),"")</f>
        <v/>
      </c>
      <c r="H1275" s="25">
        <f>IFERROR(IF(OR($B1275="",$C1275=""),"",IF(MATCH($C1275,'Ajustes'!$A$5:$A$8,0)=4,$D1275/INDEX('Equipo'!$B$5:$B$29,MATCH($B1275,'Equipo'!$A$5:$A$29,0))+$E1275,0)),"")</f>
        <v/>
      </c>
      <c r="I1275" s="26">
        <f>IF($B1275='Perfil'!$B$3,COUNTIF($B$4:$B1275,'Perfil'!$B$3),"")</f>
        <v/>
      </c>
    </row>
    <row r="1276">
      <c r="A1276" s="22" t="n"/>
      <c r="B1276" s="23" t="n"/>
      <c r="C1276" s="23" t="n"/>
      <c r="D1276" s="24" t="n"/>
      <c r="E1276" s="24" t="n"/>
      <c r="F1276" s="23" t="n"/>
      <c r="G1276" s="19">
        <f>IFERROR(IF(OR($B1276="",$C1276=""),"",IF(MATCH($C1276,'Ajustes'!$A$5:$A$8,0)&lt;=2,$D1276*INDEX('Ajustes'!$C$5:$C$6,MATCH($C1276,'Ajustes'!$A$5:$A$8,0)),IF(MATCH($C1276,'Ajustes'!$A$5:$A$8,0)=3,-($D1276+$E1276*INDEX('Equipo'!$B$5:$B$29,MATCH($B1276,'Equipo'!$A$5:$A$29,0))),0))),"")</f>
        <v/>
      </c>
      <c r="H1276" s="25">
        <f>IFERROR(IF(OR($B1276="",$C1276=""),"",IF(MATCH($C1276,'Ajustes'!$A$5:$A$8,0)=4,$D1276/INDEX('Equipo'!$B$5:$B$29,MATCH($B1276,'Equipo'!$A$5:$A$29,0))+$E1276,0)),"")</f>
        <v/>
      </c>
      <c r="I1276" s="26">
        <f>IF($B1276='Perfil'!$B$3,COUNTIF($B$4:$B1276,'Perfil'!$B$3),"")</f>
        <v/>
      </c>
    </row>
    <row r="1277">
      <c r="A1277" s="22" t="n"/>
      <c r="B1277" s="23" t="n"/>
      <c r="C1277" s="23" t="n"/>
      <c r="D1277" s="24" t="n"/>
      <c r="E1277" s="24" t="n"/>
      <c r="F1277" s="23" t="n"/>
      <c r="G1277" s="19">
        <f>IFERROR(IF(OR($B1277="",$C1277=""),"",IF(MATCH($C1277,'Ajustes'!$A$5:$A$8,0)&lt;=2,$D1277*INDEX('Ajustes'!$C$5:$C$6,MATCH($C1277,'Ajustes'!$A$5:$A$8,0)),IF(MATCH($C1277,'Ajustes'!$A$5:$A$8,0)=3,-($D1277+$E1277*INDEX('Equipo'!$B$5:$B$29,MATCH($B1277,'Equipo'!$A$5:$A$29,0))),0))),"")</f>
        <v/>
      </c>
      <c r="H1277" s="25">
        <f>IFERROR(IF(OR($B1277="",$C1277=""),"",IF(MATCH($C1277,'Ajustes'!$A$5:$A$8,0)=4,$D1277/INDEX('Equipo'!$B$5:$B$29,MATCH($B1277,'Equipo'!$A$5:$A$29,0))+$E1277,0)),"")</f>
        <v/>
      </c>
      <c r="I1277" s="26">
        <f>IF($B1277='Perfil'!$B$3,COUNTIF($B$4:$B1277,'Perfil'!$B$3),"")</f>
        <v/>
      </c>
    </row>
    <row r="1278">
      <c r="A1278" s="22" t="n"/>
      <c r="B1278" s="23" t="n"/>
      <c r="C1278" s="23" t="n"/>
      <c r="D1278" s="24" t="n"/>
      <c r="E1278" s="24" t="n"/>
      <c r="F1278" s="23" t="n"/>
      <c r="G1278" s="19">
        <f>IFERROR(IF(OR($B1278="",$C1278=""),"",IF(MATCH($C1278,'Ajustes'!$A$5:$A$8,0)&lt;=2,$D1278*INDEX('Ajustes'!$C$5:$C$6,MATCH($C1278,'Ajustes'!$A$5:$A$8,0)),IF(MATCH($C1278,'Ajustes'!$A$5:$A$8,0)=3,-($D1278+$E1278*INDEX('Equipo'!$B$5:$B$29,MATCH($B1278,'Equipo'!$A$5:$A$29,0))),0))),"")</f>
        <v/>
      </c>
      <c r="H1278" s="25">
        <f>IFERROR(IF(OR($B1278="",$C1278=""),"",IF(MATCH($C1278,'Ajustes'!$A$5:$A$8,0)=4,$D1278/INDEX('Equipo'!$B$5:$B$29,MATCH($B1278,'Equipo'!$A$5:$A$29,0))+$E1278,0)),"")</f>
        <v/>
      </c>
      <c r="I1278" s="26">
        <f>IF($B1278='Perfil'!$B$3,COUNTIF($B$4:$B1278,'Perfil'!$B$3),"")</f>
        <v/>
      </c>
    </row>
    <row r="1279">
      <c r="A1279" s="22" t="n"/>
      <c r="B1279" s="23" t="n"/>
      <c r="C1279" s="23" t="n"/>
      <c r="D1279" s="24" t="n"/>
      <c r="E1279" s="24" t="n"/>
      <c r="F1279" s="23" t="n"/>
      <c r="G1279" s="19">
        <f>IFERROR(IF(OR($B1279="",$C1279=""),"",IF(MATCH($C1279,'Ajustes'!$A$5:$A$8,0)&lt;=2,$D1279*INDEX('Ajustes'!$C$5:$C$6,MATCH($C1279,'Ajustes'!$A$5:$A$8,0)),IF(MATCH($C1279,'Ajustes'!$A$5:$A$8,0)=3,-($D1279+$E1279*INDEX('Equipo'!$B$5:$B$29,MATCH($B1279,'Equipo'!$A$5:$A$29,0))),0))),"")</f>
        <v/>
      </c>
      <c r="H1279" s="25">
        <f>IFERROR(IF(OR($B1279="",$C1279=""),"",IF(MATCH($C1279,'Ajustes'!$A$5:$A$8,0)=4,$D1279/INDEX('Equipo'!$B$5:$B$29,MATCH($B1279,'Equipo'!$A$5:$A$29,0))+$E1279,0)),"")</f>
        <v/>
      </c>
      <c r="I1279" s="26">
        <f>IF($B1279='Perfil'!$B$3,COUNTIF($B$4:$B1279,'Perfil'!$B$3),"")</f>
        <v/>
      </c>
    </row>
    <row r="1280">
      <c r="A1280" s="22" t="n"/>
      <c r="B1280" s="23" t="n"/>
      <c r="C1280" s="23" t="n"/>
      <c r="D1280" s="24" t="n"/>
      <c r="E1280" s="24" t="n"/>
      <c r="F1280" s="23" t="n"/>
      <c r="G1280" s="19">
        <f>IFERROR(IF(OR($B1280="",$C1280=""),"",IF(MATCH($C1280,'Ajustes'!$A$5:$A$8,0)&lt;=2,$D1280*INDEX('Ajustes'!$C$5:$C$6,MATCH($C1280,'Ajustes'!$A$5:$A$8,0)),IF(MATCH($C1280,'Ajustes'!$A$5:$A$8,0)=3,-($D1280+$E1280*INDEX('Equipo'!$B$5:$B$29,MATCH($B1280,'Equipo'!$A$5:$A$29,0))),0))),"")</f>
        <v/>
      </c>
      <c r="H1280" s="25">
        <f>IFERROR(IF(OR($B1280="",$C1280=""),"",IF(MATCH($C1280,'Ajustes'!$A$5:$A$8,0)=4,$D1280/INDEX('Equipo'!$B$5:$B$29,MATCH($B1280,'Equipo'!$A$5:$A$29,0))+$E1280,0)),"")</f>
        <v/>
      </c>
      <c r="I1280" s="26">
        <f>IF($B1280='Perfil'!$B$3,COUNTIF($B$4:$B1280,'Perfil'!$B$3),"")</f>
        <v/>
      </c>
    </row>
    <row r="1281">
      <c r="A1281" s="22" t="n"/>
      <c r="B1281" s="23" t="n"/>
      <c r="C1281" s="23" t="n"/>
      <c r="D1281" s="24" t="n"/>
      <c r="E1281" s="24" t="n"/>
      <c r="F1281" s="23" t="n"/>
      <c r="G1281" s="19">
        <f>IFERROR(IF(OR($B1281="",$C1281=""),"",IF(MATCH($C1281,'Ajustes'!$A$5:$A$8,0)&lt;=2,$D1281*INDEX('Ajustes'!$C$5:$C$6,MATCH($C1281,'Ajustes'!$A$5:$A$8,0)),IF(MATCH($C1281,'Ajustes'!$A$5:$A$8,0)=3,-($D1281+$E1281*INDEX('Equipo'!$B$5:$B$29,MATCH($B1281,'Equipo'!$A$5:$A$29,0))),0))),"")</f>
        <v/>
      </c>
      <c r="H1281" s="25">
        <f>IFERROR(IF(OR($B1281="",$C1281=""),"",IF(MATCH($C1281,'Ajustes'!$A$5:$A$8,0)=4,$D1281/INDEX('Equipo'!$B$5:$B$29,MATCH($B1281,'Equipo'!$A$5:$A$29,0))+$E1281,0)),"")</f>
        <v/>
      </c>
      <c r="I1281" s="26">
        <f>IF($B1281='Perfil'!$B$3,COUNTIF($B$4:$B1281,'Perfil'!$B$3),"")</f>
        <v/>
      </c>
    </row>
    <row r="1282">
      <c r="A1282" s="22" t="n"/>
      <c r="B1282" s="23" t="n"/>
      <c r="C1282" s="23" t="n"/>
      <c r="D1282" s="24" t="n"/>
      <c r="E1282" s="24" t="n"/>
      <c r="F1282" s="23" t="n"/>
      <c r="G1282" s="19">
        <f>IFERROR(IF(OR($B1282="",$C1282=""),"",IF(MATCH($C1282,'Ajustes'!$A$5:$A$8,0)&lt;=2,$D1282*INDEX('Ajustes'!$C$5:$C$6,MATCH($C1282,'Ajustes'!$A$5:$A$8,0)),IF(MATCH($C1282,'Ajustes'!$A$5:$A$8,0)=3,-($D1282+$E1282*INDEX('Equipo'!$B$5:$B$29,MATCH($B1282,'Equipo'!$A$5:$A$29,0))),0))),"")</f>
        <v/>
      </c>
      <c r="H1282" s="25">
        <f>IFERROR(IF(OR($B1282="",$C1282=""),"",IF(MATCH($C1282,'Ajustes'!$A$5:$A$8,0)=4,$D1282/INDEX('Equipo'!$B$5:$B$29,MATCH($B1282,'Equipo'!$A$5:$A$29,0))+$E1282,0)),"")</f>
        <v/>
      </c>
      <c r="I1282" s="26">
        <f>IF($B1282='Perfil'!$B$3,COUNTIF($B$4:$B1282,'Perfil'!$B$3),"")</f>
        <v/>
      </c>
    </row>
    <row r="1283">
      <c r="A1283" s="22" t="n"/>
      <c r="B1283" s="23" t="n"/>
      <c r="C1283" s="23" t="n"/>
      <c r="D1283" s="24" t="n"/>
      <c r="E1283" s="24" t="n"/>
      <c r="F1283" s="23" t="n"/>
      <c r="G1283" s="19">
        <f>IFERROR(IF(OR($B1283="",$C1283=""),"",IF(MATCH($C1283,'Ajustes'!$A$5:$A$8,0)&lt;=2,$D1283*INDEX('Ajustes'!$C$5:$C$6,MATCH($C1283,'Ajustes'!$A$5:$A$8,0)),IF(MATCH($C1283,'Ajustes'!$A$5:$A$8,0)=3,-($D1283+$E1283*INDEX('Equipo'!$B$5:$B$29,MATCH($B1283,'Equipo'!$A$5:$A$29,0))),0))),"")</f>
        <v/>
      </c>
      <c r="H1283" s="25">
        <f>IFERROR(IF(OR($B1283="",$C1283=""),"",IF(MATCH($C1283,'Ajustes'!$A$5:$A$8,0)=4,$D1283/INDEX('Equipo'!$B$5:$B$29,MATCH($B1283,'Equipo'!$A$5:$A$29,0))+$E1283,0)),"")</f>
        <v/>
      </c>
      <c r="I1283" s="26">
        <f>IF($B1283='Perfil'!$B$3,COUNTIF($B$4:$B1283,'Perfil'!$B$3),"")</f>
        <v/>
      </c>
    </row>
    <row r="1284">
      <c r="A1284" s="22" t="n"/>
      <c r="B1284" s="23" t="n"/>
      <c r="C1284" s="23" t="n"/>
      <c r="D1284" s="24" t="n"/>
      <c r="E1284" s="24" t="n"/>
      <c r="F1284" s="23" t="n"/>
      <c r="G1284" s="19">
        <f>IFERROR(IF(OR($B1284="",$C1284=""),"",IF(MATCH($C1284,'Ajustes'!$A$5:$A$8,0)&lt;=2,$D1284*INDEX('Ajustes'!$C$5:$C$6,MATCH($C1284,'Ajustes'!$A$5:$A$8,0)),IF(MATCH($C1284,'Ajustes'!$A$5:$A$8,0)=3,-($D1284+$E1284*INDEX('Equipo'!$B$5:$B$29,MATCH($B1284,'Equipo'!$A$5:$A$29,0))),0))),"")</f>
        <v/>
      </c>
      <c r="H1284" s="25">
        <f>IFERROR(IF(OR($B1284="",$C1284=""),"",IF(MATCH($C1284,'Ajustes'!$A$5:$A$8,0)=4,$D1284/INDEX('Equipo'!$B$5:$B$29,MATCH($B1284,'Equipo'!$A$5:$A$29,0))+$E1284,0)),"")</f>
        <v/>
      </c>
      <c r="I1284" s="26">
        <f>IF($B1284='Perfil'!$B$3,COUNTIF($B$4:$B1284,'Perfil'!$B$3),"")</f>
        <v/>
      </c>
    </row>
    <row r="1285">
      <c r="A1285" s="22" t="n"/>
      <c r="B1285" s="23" t="n"/>
      <c r="C1285" s="23" t="n"/>
      <c r="D1285" s="24" t="n"/>
      <c r="E1285" s="24" t="n"/>
      <c r="F1285" s="23" t="n"/>
      <c r="G1285" s="19">
        <f>IFERROR(IF(OR($B1285="",$C1285=""),"",IF(MATCH($C1285,'Ajustes'!$A$5:$A$8,0)&lt;=2,$D1285*INDEX('Ajustes'!$C$5:$C$6,MATCH($C1285,'Ajustes'!$A$5:$A$8,0)),IF(MATCH($C1285,'Ajustes'!$A$5:$A$8,0)=3,-($D1285+$E1285*INDEX('Equipo'!$B$5:$B$29,MATCH($B1285,'Equipo'!$A$5:$A$29,0))),0))),"")</f>
        <v/>
      </c>
      <c r="H1285" s="25">
        <f>IFERROR(IF(OR($B1285="",$C1285=""),"",IF(MATCH($C1285,'Ajustes'!$A$5:$A$8,0)=4,$D1285/INDEX('Equipo'!$B$5:$B$29,MATCH($B1285,'Equipo'!$A$5:$A$29,0))+$E1285,0)),"")</f>
        <v/>
      </c>
      <c r="I1285" s="26">
        <f>IF($B1285='Perfil'!$B$3,COUNTIF($B$4:$B1285,'Perfil'!$B$3),"")</f>
        <v/>
      </c>
    </row>
    <row r="1286">
      <c r="A1286" s="22" t="n"/>
      <c r="B1286" s="23" t="n"/>
      <c r="C1286" s="23" t="n"/>
      <c r="D1286" s="24" t="n"/>
      <c r="E1286" s="24" t="n"/>
      <c r="F1286" s="23" t="n"/>
      <c r="G1286" s="19">
        <f>IFERROR(IF(OR($B1286="",$C1286=""),"",IF(MATCH($C1286,'Ajustes'!$A$5:$A$8,0)&lt;=2,$D1286*INDEX('Ajustes'!$C$5:$C$6,MATCH($C1286,'Ajustes'!$A$5:$A$8,0)),IF(MATCH($C1286,'Ajustes'!$A$5:$A$8,0)=3,-($D1286+$E1286*INDEX('Equipo'!$B$5:$B$29,MATCH($B1286,'Equipo'!$A$5:$A$29,0))),0))),"")</f>
        <v/>
      </c>
      <c r="H1286" s="25">
        <f>IFERROR(IF(OR($B1286="",$C1286=""),"",IF(MATCH($C1286,'Ajustes'!$A$5:$A$8,0)=4,$D1286/INDEX('Equipo'!$B$5:$B$29,MATCH($B1286,'Equipo'!$A$5:$A$29,0))+$E1286,0)),"")</f>
        <v/>
      </c>
      <c r="I1286" s="26">
        <f>IF($B1286='Perfil'!$B$3,COUNTIF($B$4:$B1286,'Perfil'!$B$3),"")</f>
        <v/>
      </c>
    </row>
    <row r="1287">
      <c r="A1287" s="22" t="n"/>
      <c r="B1287" s="23" t="n"/>
      <c r="C1287" s="23" t="n"/>
      <c r="D1287" s="24" t="n"/>
      <c r="E1287" s="24" t="n"/>
      <c r="F1287" s="23" t="n"/>
      <c r="G1287" s="19">
        <f>IFERROR(IF(OR($B1287="",$C1287=""),"",IF(MATCH($C1287,'Ajustes'!$A$5:$A$8,0)&lt;=2,$D1287*INDEX('Ajustes'!$C$5:$C$6,MATCH($C1287,'Ajustes'!$A$5:$A$8,0)),IF(MATCH($C1287,'Ajustes'!$A$5:$A$8,0)=3,-($D1287+$E1287*INDEX('Equipo'!$B$5:$B$29,MATCH($B1287,'Equipo'!$A$5:$A$29,0))),0))),"")</f>
        <v/>
      </c>
      <c r="H1287" s="25">
        <f>IFERROR(IF(OR($B1287="",$C1287=""),"",IF(MATCH($C1287,'Ajustes'!$A$5:$A$8,0)=4,$D1287/INDEX('Equipo'!$B$5:$B$29,MATCH($B1287,'Equipo'!$A$5:$A$29,0))+$E1287,0)),"")</f>
        <v/>
      </c>
      <c r="I1287" s="26">
        <f>IF($B1287='Perfil'!$B$3,COUNTIF($B$4:$B1287,'Perfil'!$B$3),"")</f>
        <v/>
      </c>
    </row>
    <row r="1288">
      <c r="A1288" s="22" t="n"/>
      <c r="B1288" s="23" t="n"/>
      <c r="C1288" s="23" t="n"/>
      <c r="D1288" s="24" t="n"/>
      <c r="E1288" s="24" t="n"/>
      <c r="F1288" s="23" t="n"/>
      <c r="G1288" s="19">
        <f>IFERROR(IF(OR($B1288="",$C1288=""),"",IF(MATCH($C1288,'Ajustes'!$A$5:$A$8,0)&lt;=2,$D1288*INDEX('Ajustes'!$C$5:$C$6,MATCH($C1288,'Ajustes'!$A$5:$A$8,0)),IF(MATCH($C1288,'Ajustes'!$A$5:$A$8,0)=3,-($D1288+$E1288*INDEX('Equipo'!$B$5:$B$29,MATCH($B1288,'Equipo'!$A$5:$A$29,0))),0))),"")</f>
        <v/>
      </c>
      <c r="H1288" s="25">
        <f>IFERROR(IF(OR($B1288="",$C1288=""),"",IF(MATCH($C1288,'Ajustes'!$A$5:$A$8,0)=4,$D1288/INDEX('Equipo'!$B$5:$B$29,MATCH($B1288,'Equipo'!$A$5:$A$29,0))+$E1288,0)),"")</f>
        <v/>
      </c>
      <c r="I1288" s="26">
        <f>IF($B1288='Perfil'!$B$3,COUNTIF($B$4:$B1288,'Perfil'!$B$3),"")</f>
        <v/>
      </c>
    </row>
    <row r="1289">
      <c r="A1289" s="22" t="n"/>
      <c r="B1289" s="23" t="n"/>
      <c r="C1289" s="23" t="n"/>
      <c r="D1289" s="24" t="n"/>
      <c r="E1289" s="24" t="n"/>
      <c r="F1289" s="23" t="n"/>
      <c r="G1289" s="19">
        <f>IFERROR(IF(OR($B1289="",$C1289=""),"",IF(MATCH($C1289,'Ajustes'!$A$5:$A$8,0)&lt;=2,$D1289*INDEX('Ajustes'!$C$5:$C$6,MATCH($C1289,'Ajustes'!$A$5:$A$8,0)),IF(MATCH($C1289,'Ajustes'!$A$5:$A$8,0)=3,-($D1289+$E1289*INDEX('Equipo'!$B$5:$B$29,MATCH($B1289,'Equipo'!$A$5:$A$29,0))),0))),"")</f>
        <v/>
      </c>
      <c r="H1289" s="25">
        <f>IFERROR(IF(OR($B1289="",$C1289=""),"",IF(MATCH($C1289,'Ajustes'!$A$5:$A$8,0)=4,$D1289/INDEX('Equipo'!$B$5:$B$29,MATCH($B1289,'Equipo'!$A$5:$A$29,0))+$E1289,0)),"")</f>
        <v/>
      </c>
      <c r="I1289" s="26">
        <f>IF($B1289='Perfil'!$B$3,COUNTIF($B$4:$B1289,'Perfil'!$B$3),"")</f>
        <v/>
      </c>
    </row>
    <row r="1290">
      <c r="A1290" s="22" t="n"/>
      <c r="B1290" s="23" t="n"/>
      <c r="C1290" s="23" t="n"/>
      <c r="D1290" s="24" t="n"/>
      <c r="E1290" s="24" t="n"/>
      <c r="F1290" s="23" t="n"/>
      <c r="G1290" s="19">
        <f>IFERROR(IF(OR($B1290="",$C1290=""),"",IF(MATCH($C1290,'Ajustes'!$A$5:$A$8,0)&lt;=2,$D1290*INDEX('Ajustes'!$C$5:$C$6,MATCH($C1290,'Ajustes'!$A$5:$A$8,0)),IF(MATCH($C1290,'Ajustes'!$A$5:$A$8,0)=3,-($D1290+$E1290*INDEX('Equipo'!$B$5:$B$29,MATCH($B1290,'Equipo'!$A$5:$A$29,0))),0))),"")</f>
        <v/>
      </c>
      <c r="H1290" s="25">
        <f>IFERROR(IF(OR($B1290="",$C1290=""),"",IF(MATCH($C1290,'Ajustes'!$A$5:$A$8,0)=4,$D1290/INDEX('Equipo'!$B$5:$B$29,MATCH($B1290,'Equipo'!$A$5:$A$29,0))+$E1290,0)),"")</f>
        <v/>
      </c>
      <c r="I1290" s="26">
        <f>IF($B1290='Perfil'!$B$3,COUNTIF($B$4:$B1290,'Perfil'!$B$3),"")</f>
        <v/>
      </c>
    </row>
    <row r="1291">
      <c r="A1291" s="22" t="n"/>
      <c r="B1291" s="23" t="n"/>
      <c r="C1291" s="23" t="n"/>
      <c r="D1291" s="24" t="n"/>
      <c r="E1291" s="24" t="n"/>
      <c r="F1291" s="23" t="n"/>
      <c r="G1291" s="19">
        <f>IFERROR(IF(OR($B1291="",$C1291=""),"",IF(MATCH($C1291,'Ajustes'!$A$5:$A$8,0)&lt;=2,$D1291*INDEX('Ajustes'!$C$5:$C$6,MATCH($C1291,'Ajustes'!$A$5:$A$8,0)),IF(MATCH($C1291,'Ajustes'!$A$5:$A$8,0)=3,-($D1291+$E1291*INDEX('Equipo'!$B$5:$B$29,MATCH($B1291,'Equipo'!$A$5:$A$29,0))),0))),"")</f>
        <v/>
      </c>
      <c r="H1291" s="25">
        <f>IFERROR(IF(OR($B1291="",$C1291=""),"",IF(MATCH($C1291,'Ajustes'!$A$5:$A$8,0)=4,$D1291/INDEX('Equipo'!$B$5:$B$29,MATCH($B1291,'Equipo'!$A$5:$A$29,0))+$E1291,0)),"")</f>
        <v/>
      </c>
      <c r="I1291" s="26">
        <f>IF($B1291='Perfil'!$B$3,COUNTIF($B$4:$B1291,'Perfil'!$B$3),"")</f>
        <v/>
      </c>
    </row>
    <row r="1292">
      <c r="A1292" s="22" t="n"/>
      <c r="B1292" s="23" t="n"/>
      <c r="C1292" s="23" t="n"/>
      <c r="D1292" s="24" t="n"/>
      <c r="E1292" s="24" t="n"/>
      <c r="F1292" s="23" t="n"/>
      <c r="G1292" s="19">
        <f>IFERROR(IF(OR($B1292="",$C1292=""),"",IF(MATCH($C1292,'Ajustes'!$A$5:$A$8,0)&lt;=2,$D1292*INDEX('Ajustes'!$C$5:$C$6,MATCH($C1292,'Ajustes'!$A$5:$A$8,0)),IF(MATCH($C1292,'Ajustes'!$A$5:$A$8,0)=3,-($D1292+$E1292*INDEX('Equipo'!$B$5:$B$29,MATCH($B1292,'Equipo'!$A$5:$A$29,0))),0))),"")</f>
        <v/>
      </c>
      <c r="H1292" s="25">
        <f>IFERROR(IF(OR($B1292="",$C1292=""),"",IF(MATCH($C1292,'Ajustes'!$A$5:$A$8,0)=4,$D1292/INDEX('Equipo'!$B$5:$B$29,MATCH($B1292,'Equipo'!$A$5:$A$29,0))+$E1292,0)),"")</f>
        <v/>
      </c>
      <c r="I1292" s="26">
        <f>IF($B1292='Perfil'!$B$3,COUNTIF($B$4:$B1292,'Perfil'!$B$3),"")</f>
        <v/>
      </c>
    </row>
    <row r="1293">
      <c r="A1293" s="22" t="n"/>
      <c r="B1293" s="23" t="n"/>
      <c r="C1293" s="23" t="n"/>
      <c r="D1293" s="24" t="n"/>
      <c r="E1293" s="24" t="n"/>
      <c r="F1293" s="23" t="n"/>
      <c r="G1293" s="19">
        <f>IFERROR(IF(OR($B1293="",$C1293=""),"",IF(MATCH($C1293,'Ajustes'!$A$5:$A$8,0)&lt;=2,$D1293*INDEX('Ajustes'!$C$5:$C$6,MATCH($C1293,'Ajustes'!$A$5:$A$8,0)),IF(MATCH($C1293,'Ajustes'!$A$5:$A$8,0)=3,-($D1293+$E1293*INDEX('Equipo'!$B$5:$B$29,MATCH($B1293,'Equipo'!$A$5:$A$29,0))),0))),"")</f>
        <v/>
      </c>
      <c r="H1293" s="25">
        <f>IFERROR(IF(OR($B1293="",$C1293=""),"",IF(MATCH($C1293,'Ajustes'!$A$5:$A$8,0)=4,$D1293/INDEX('Equipo'!$B$5:$B$29,MATCH($B1293,'Equipo'!$A$5:$A$29,0))+$E1293,0)),"")</f>
        <v/>
      </c>
      <c r="I1293" s="26">
        <f>IF($B1293='Perfil'!$B$3,COUNTIF($B$4:$B1293,'Perfil'!$B$3),"")</f>
        <v/>
      </c>
    </row>
    <row r="1294">
      <c r="A1294" s="22" t="n"/>
      <c r="B1294" s="23" t="n"/>
      <c r="C1294" s="23" t="n"/>
      <c r="D1294" s="24" t="n"/>
      <c r="E1294" s="24" t="n"/>
      <c r="F1294" s="23" t="n"/>
      <c r="G1294" s="19">
        <f>IFERROR(IF(OR($B1294="",$C1294=""),"",IF(MATCH($C1294,'Ajustes'!$A$5:$A$8,0)&lt;=2,$D1294*INDEX('Ajustes'!$C$5:$C$6,MATCH($C1294,'Ajustes'!$A$5:$A$8,0)),IF(MATCH($C1294,'Ajustes'!$A$5:$A$8,0)=3,-($D1294+$E1294*INDEX('Equipo'!$B$5:$B$29,MATCH($B1294,'Equipo'!$A$5:$A$29,0))),0))),"")</f>
        <v/>
      </c>
      <c r="H1294" s="25">
        <f>IFERROR(IF(OR($B1294="",$C1294=""),"",IF(MATCH($C1294,'Ajustes'!$A$5:$A$8,0)=4,$D1294/INDEX('Equipo'!$B$5:$B$29,MATCH($B1294,'Equipo'!$A$5:$A$29,0))+$E1294,0)),"")</f>
        <v/>
      </c>
      <c r="I1294" s="26">
        <f>IF($B1294='Perfil'!$B$3,COUNTIF($B$4:$B1294,'Perfil'!$B$3),"")</f>
        <v/>
      </c>
    </row>
    <row r="1295">
      <c r="A1295" s="22" t="n"/>
      <c r="B1295" s="23" t="n"/>
      <c r="C1295" s="23" t="n"/>
      <c r="D1295" s="24" t="n"/>
      <c r="E1295" s="24" t="n"/>
      <c r="F1295" s="23" t="n"/>
      <c r="G1295" s="19">
        <f>IFERROR(IF(OR($B1295="",$C1295=""),"",IF(MATCH($C1295,'Ajustes'!$A$5:$A$8,0)&lt;=2,$D1295*INDEX('Ajustes'!$C$5:$C$6,MATCH($C1295,'Ajustes'!$A$5:$A$8,0)),IF(MATCH($C1295,'Ajustes'!$A$5:$A$8,0)=3,-($D1295+$E1295*INDEX('Equipo'!$B$5:$B$29,MATCH($B1295,'Equipo'!$A$5:$A$29,0))),0))),"")</f>
        <v/>
      </c>
      <c r="H1295" s="25">
        <f>IFERROR(IF(OR($B1295="",$C1295=""),"",IF(MATCH($C1295,'Ajustes'!$A$5:$A$8,0)=4,$D1295/INDEX('Equipo'!$B$5:$B$29,MATCH($B1295,'Equipo'!$A$5:$A$29,0))+$E1295,0)),"")</f>
        <v/>
      </c>
      <c r="I1295" s="26">
        <f>IF($B1295='Perfil'!$B$3,COUNTIF($B$4:$B1295,'Perfil'!$B$3),"")</f>
        <v/>
      </c>
    </row>
    <row r="1296">
      <c r="A1296" s="22" t="n"/>
      <c r="B1296" s="23" t="n"/>
      <c r="C1296" s="23" t="n"/>
      <c r="D1296" s="24" t="n"/>
      <c r="E1296" s="24" t="n"/>
      <c r="F1296" s="23" t="n"/>
      <c r="G1296" s="19">
        <f>IFERROR(IF(OR($B1296="",$C1296=""),"",IF(MATCH($C1296,'Ajustes'!$A$5:$A$8,0)&lt;=2,$D1296*INDEX('Ajustes'!$C$5:$C$6,MATCH($C1296,'Ajustes'!$A$5:$A$8,0)),IF(MATCH($C1296,'Ajustes'!$A$5:$A$8,0)=3,-($D1296+$E1296*INDEX('Equipo'!$B$5:$B$29,MATCH($B1296,'Equipo'!$A$5:$A$29,0))),0))),"")</f>
        <v/>
      </c>
      <c r="H1296" s="25">
        <f>IFERROR(IF(OR($B1296="",$C1296=""),"",IF(MATCH($C1296,'Ajustes'!$A$5:$A$8,0)=4,$D1296/INDEX('Equipo'!$B$5:$B$29,MATCH($B1296,'Equipo'!$A$5:$A$29,0))+$E1296,0)),"")</f>
        <v/>
      </c>
      <c r="I1296" s="26">
        <f>IF($B1296='Perfil'!$B$3,COUNTIF($B$4:$B1296,'Perfil'!$B$3),"")</f>
        <v/>
      </c>
    </row>
    <row r="1297">
      <c r="A1297" s="22" t="n"/>
      <c r="B1297" s="23" t="n"/>
      <c r="C1297" s="23" t="n"/>
      <c r="D1297" s="24" t="n"/>
      <c r="E1297" s="24" t="n"/>
      <c r="F1297" s="23" t="n"/>
      <c r="G1297" s="19">
        <f>IFERROR(IF(OR($B1297="",$C1297=""),"",IF(MATCH($C1297,'Ajustes'!$A$5:$A$8,0)&lt;=2,$D1297*INDEX('Ajustes'!$C$5:$C$6,MATCH($C1297,'Ajustes'!$A$5:$A$8,0)),IF(MATCH($C1297,'Ajustes'!$A$5:$A$8,0)=3,-($D1297+$E1297*INDEX('Equipo'!$B$5:$B$29,MATCH($B1297,'Equipo'!$A$5:$A$29,0))),0))),"")</f>
        <v/>
      </c>
      <c r="H1297" s="25">
        <f>IFERROR(IF(OR($B1297="",$C1297=""),"",IF(MATCH($C1297,'Ajustes'!$A$5:$A$8,0)=4,$D1297/INDEX('Equipo'!$B$5:$B$29,MATCH($B1297,'Equipo'!$A$5:$A$29,0))+$E1297,0)),"")</f>
        <v/>
      </c>
      <c r="I1297" s="26">
        <f>IF($B1297='Perfil'!$B$3,COUNTIF($B$4:$B1297,'Perfil'!$B$3),"")</f>
        <v/>
      </c>
    </row>
    <row r="1298">
      <c r="A1298" s="22" t="n"/>
      <c r="B1298" s="23" t="n"/>
      <c r="C1298" s="23" t="n"/>
      <c r="D1298" s="24" t="n"/>
      <c r="E1298" s="24" t="n"/>
      <c r="F1298" s="23" t="n"/>
      <c r="G1298" s="19">
        <f>IFERROR(IF(OR($B1298="",$C1298=""),"",IF(MATCH($C1298,'Ajustes'!$A$5:$A$8,0)&lt;=2,$D1298*INDEX('Ajustes'!$C$5:$C$6,MATCH($C1298,'Ajustes'!$A$5:$A$8,0)),IF(MATCH($C1298,'Ajustes'!$A$5:$A$8,0)=3,-($D1298+$E1298*INDEX('Equipo'!$B$5:$B$29,MATCH($B1298,'Equipo'!$A$5:$A$29,0))),0))),"")</f>
        <v/>
      </c>
      <c r="H1298" s="25">
        <f>IFERROR(IF(OR($B1298="",$C1298=""),"",IF(MATCH($C1298,'Ajustes'!$A$5:$A$8,0)=4,$D1298/INDEX('Equipo'!$B$5:$B$29,MATCH($B1298,'Equipo'!$A$5:$A$29,0))+$E1298,0)),"")</f>
        <v/>
      </c>
      <c r="I1298" s="26">
        <f>IF($B1298='Perfil'!$B$3,COUNTIF($B$4:$B1298,'Perfil'!$B$3),"")</f>
        <v/>
      </c>
    </row>
    <row r="1299">
      <c r="A1299" s="22" t="n"/>
      <c r="B1299" s="23" t="n"/>
      <c r="C1299" s="23" t="n"/>
      <c r="D1299" s="24" t="n"/>
      <c r="E1299" s="24" t="n"/>
      <c r="F1299" s="23" t="n"/>
      <c r="G1299" s="19">
        <f>IFERROR(IF(OR($B1299="",$C1299=""),"",IF(MATCH($C1299,'Ajustes'!$A$5:$A$8,0)&lt;=2,$D1299*INDEX('Ajustes'!$C$5:$C$6,MATCH($C1299,'Ajustes'!$A$5:$A$8,0)),IF(MATCH($C1299,'Ajustes'!$A$5:$A$8,0)=3,-($D1299+$E1299*INDEX('Equipo'!$B$5:$B$29,MATCH($B1299,'Equipo'!$A$5:$A$29,0))),0))),"")</f>
        <v/>
      </c>
      <c r="H1299" s="25">
        <f>IFERROR(IF(OR($B1299="",$C1299=""),"",IF(MATCH($C1299,'Ajustes'!$A$5:$A$8,0)=4,$D1299/INDEX('Equipo'!$B$5:$B$29,MATCH($B1299,'Equipo'!$A$5:$A$29,0))+$E1299,0)),"")</f>
        <v/>
      </c>
      <c r="I1299" s="26">
        <f>IF($B1299='Perfil'!$B$3,COUNTIF($B$4:$B1299,'Perfil'!$B$3),"")</f>
        <v/>
      </c>
    </row>
    <row r="1300">
      <c r="A1300" s="22" t="n"/>
      <c r="B1300" s="23" t="n"/>
      <c r="C1300" s="23" t="n"/>
      <c r="D1300" s="24" t="n"/>
      <c r="E1300" s="24" t="n"/>
      <c r="F1300" s="23" t="n"/>
      <c r="G1300" s="19">
        <f>IFERROR(IF(OR($B1300="",$C1300=""),"",IF(MATCH($C1300,'Ajustes'!$A$5:$A$8,0)&lt;=2,$D1300*INDEX('Ajustes'!$C$5:$C$6,MATCH($C1300,'Ajustes'!$A$5:$A$8,0)),IF(MATCH($C1300,'Ajustes'!$A$5:$A$8,0)=3,-($D1300+$E1300*INDEX('Equipo'!$B$5:$B$29,MATCH($B1300,'Equipo'!$A$5:$A$29,0))),0))),"")</f>
        <v/>
      </c>
      <c r="H1300" s="25">
        <f>IFERROR(IF(OR($B1300="",$C1300=""),"",IF(MATCH($C1300,'Ajustes'!$A$5:$A$8,0)=4,$D1300/INDEX('Equipo'!$B$5:$B$29,MATCH($B1300,'Equipo'!$A$5:$A$29,0))+$E1300,0)),"")</f>
        <v/>
      </c>
      <c r="I1300" s="26">
        <f>IF($B1300='Perfil'!$B$3,COUNTIF($B$4:$B1300,'Perfil'!$B$3),"")</f>
        <v/>
      </c>
    </row>
    <row r="1301">
      <c r="A1301" s="22" t="n"/>
      <c r="B1301" s="23" t="n"/>
      <c r="C1301" s="23" t="n"/>
      <c r="D1301" s="24" t="n"/>
      <c r="E1301" s="24" t="n"/>
      <c r="F1301" s="23" t="n"/>
      <c r="G1301" s="19">
        <f>IFERROR(IF(OR($B1301="",$C1301=""),"",IF(MATCH($C1301,'Ajustes'!$A$5:$A$8,0)&lt;=2,$D1301*INDEX('Ajustes'!$C$5:$C$6,MATCH($C1301,'Ajustes'!$A$5:$A$8,0)),IF(MATCH($C1301,'Ajustes'!$A$5:$A$8,0)=3,-($D1301+$E1301*INDEX('Equipo'!$B$5:$B$29,MATCH($B1301,'Equipo'!$A$5:$A$29,0))),0))),"")</f>
        <v/>
      </c>
      <c r="H1301" s="25">
        <f>IFERROR(IF(OR($B1301="",$C1301=""),"",IF(MATCH($C1301,'Ajustes'!$A$5:$A$8,0)=4,$D1301/INDEX('Equipo'!$B$5:$B$29,MATCH($B1301,'Equipo'!$A$5:$A$29,0))+$E1301,0)),"")</f>
        <v/>
      </c>
      <c r="I1301" s="26">
        <f>IF($B1301='Perfil'!$B$3,COUNTIF($B$4:$B1301,'Perfil'!$B$3),"")</f>
        <v/>
      </c>
    </row>
    <row r="1302">
      <c r="A1302" s="22" t="n"/>
      <c r="B1302" s="23" t="n"/>
      <c r="C1302" s="23" t="n"/>
      <c r="D1302" s="24" t="n"/>
      <c r="E1302" s="24" t="n"/>
      <c r="F1302" s="23" t="n"/>
      <c r="G1302" s="19">
        <f>IFERROR(IF(OR($B1302="",$C1302=""),"",IF(MATCH($C1302,'Ajustes'!$A$5:$A$8,0)&lt;=2,$D1302*INDEX('Ajustes'!$C$5:$C$6,MATCH($C1302,'Ajustes'!$A$5:$A$8,0)),IF(MATCH($C1302,'Ajustes'!$A$5:$A$8,0)=3,-($D1302+$E1302*INDEX('Equipo'!$B$5:$B$29,MATCH($B1302,'Equipo'!$A$5:$A$29,0))),0))),"")</f>
        <v/>
      </c>
      <c r="H1302" s="25">
        <f>IFERROR(IF(OR($B1302="",$C1302=""),"",IF(MATCH($C1302,'Ajustes'!$A$5:$A$8,0)=4,$D1302/INDEX('Equipo'!$B$5:$B$29,MATCH($B1302,'Equipo'!$A$5:$A$29,0))+$E1302,0)),"")</f>
        <v/>
      </c>
      <c r="I1302" s="26">
        <f>IF($B1302='Perfil'!$B$3,COUNTIF($B$4:$B1302,'Perfil'!$B$3),"")</f>
        <v/>
      </c>
    </row>
    <row r="1303">
      <c r="A1303" s="22" t="n"/>
      <c r="B1303" s="23" t="n"/>
      <c r="C1303" s="23" t="n"/>
      <c r="D1303" s="24" t="n"/>
      <c r="E1303" s="24" t="n"/>
      <c r="F1303" s="23" t="n"/>
      <c r="G1303" s="19">
        <f>IFERROR(IF(OR($B1303="",$C1303=""),"",IF(MATCH($C1303,'Ajustes'!$A$5:$A$8,0)&lt;=2,$D1303*INDEX('Ajustes'!$C$5:$C$6,MATCH($C1303,'Ajustes'!$A$5:$A$8,0)),IF(MATCH($C1303,'Ajustes'!$A$5:$A$8,0)=3,-($D1303+$E1303*INDEX('Equipo'!$B$5:$B$29,MATCH($B1303,'Equipo'!$A$5:$A$29,0))),0))),"")</f>
        <v/>
      </c>
      <c r="H1303" s="25">
        <f>IFERROR(IF(OR($B1303="",$C1303=""),"",IF(MATCH($C1303,'Ajustes'!$A$5:$A$8,0)=4,$D1303/INDEX('Equipo'!$B$5:$B$29,MATCH($B1303,'Equipo'!$A$5:$A$29,0))+$E1303,0)),"")</f>
        <v/>
      </c>
      <c r="I1303" s="26">
        <f>IF($B1303='Perfil'!$B$3,COUNTIF($B$4:$B1303,'Perfil'!$B$3),"")</f>
        <v/>
      </c>
    </row>
    <row r="1304">
      <c r="A1304" s="22" t="n"/>
      <c r="B1304" s="23" t="n"/>
      <c r="C1304" s="23" t="n"/>
      <c r="D1304" s="24" t="n"/>
      <c r="E1304" s="24" t="n"/>
      <c r="F1304" s="23" t="n"/>
      <c r="G1304" s="19">
        <f>IFERROR(IF(OR($B1304="",$C1304=""),"",IF(MATCH($C1304,'Ajustes'!$A$5:$A$8,0)&lt;=2,$D1304*INDEX('Ajustes'!$C$5:$C$6,MATCH($C1304,'Ajustes'!$A$5:$A$8,0)),IF(MATCH($C1304,'Ajustes'!$A$5:$A$8,0)=3,-($D1304+$E1304*INDEX('Equipo'!$B$5:$B$29,MATCH($B1304,'Equipo'!$A$5:$A$29,0))),0))),"")</f>
        <v/>
      </c>
      <c r="H1304" s="25">
        <f>IFERROR(IF(OR($B1304="",$C1304=""),"",IF(MATCH($C1304,'Ajustes'!$A$5:$A$8,0)=4,$D1304/INDEX('Equipo'!$B$5:$B$29,MATCH($B1304,'Equipo'!$A$5:$A$29,0))+$E1304,0)),"")</f>
        <v/>
      </c>
      <c r="I1304" s="26">
        <f>IF($B1304='Perfil'!$B$3,COUNTIF($B$4:$B1304,'Perfil'!$B$3),"")</f>
        <v/>
      </c>
    </row>
    <row r="1305">
      <c r="A1305" s="22" t="n"/>
      <c r="B1305" s="23" t="n"/>
      <c r="C1305" s="23" t="n"/>
      <c r="D1305" s="24" t="n"/>
      <c r="E1305" s="24" t="n"/>
      <c r="F1305" s="23" t="n"/>
      <c r="G1305" s="19">
        <f>IFERROR(IF(OR($B1305="",$C1305=""),"",IF(MATCH($C1305,'Ajustes'!$A$5:$A$8,0)&lt;=2,$D1305*INDEX('Ajustes'!$C$5:$C$6,MATCH($C1305,'Ajustes'!$A$5:$A$8,0)),IF(MATCH($C1305,'Ajustes'!$A$5:$A$8,0)=3,-($D1305+$E1305*INDEX('Equipo'!$B$5:$B$29,MATCH($B1305,'Equipo'!$A$5:$A$29,0))),0))),"")</f>
        <v/>
      </c>
      <c r="H1305" s="25">
        <f>IFERROR(IF(OR($B1305="",$C1305=""),"",IF(MATCH($C1305,'Ajustes'!$A$5:$A$8,0)=4,$D1305/INDEX('Equipo'!$B$5:$B$29,MATCH($B1305,'Equipo'!$A$5:$A$29,0))+$E1305,0)),"")</f>
        <v/>
      </c>
      <c r="I1305" s="26">
        <f>IF($B1305='Perfil'!$B$3,COUNTIF($B$4:$B1305,'Perfil'!$B$3),"")</f>
        <v/>
      </c>
    </row>
    <row r="1306">
      <c r="A1306" s="22" t="n"/>
      <c r="B1306" s="23" t="n"/>
      <c r="C1306" s="23" t="n"/>
      <c r="D1306" s="24" t="n"/>
      <c r="E1306" s="24" t="n"/>
      <c r="F1306" s="23" t="n"/>
      <c r="G1306" s="19">
        <f>IFERROR(IF(OR($B1306="",$C1306=""),"",IF(MATCH($C1306,'Ajustes'!$A$5:$A$8,0)&lt;=2,$D1306*INDEX('Ajustes'!$C$5:$C$6,MATCH($C1306,'Ajustes'!$A$5:$A$8,0)),IF(MATCH($C1306,'Ajustes'!$A$5:$A$8,0)=3,-($D1306+$E1306*INDEX('Equipo'!$B$5:$B$29,MATCH($B1306,'Equipo'!$A$5:$A$29,0))),0))),"")</f>
        <v/>
      </c>
      <c r="H1306" s="25">
        <f>IFERROR(IF(OR($B1306="",$C1306=""),"",IF(MATCH($C1306,'Ajustes'!$A$5:$A$8,0)=4,$D1306/INDEX('Equipo'!$B$5:$B$29,MATCH($B1306,'Equipo'!$A$5:$A$29,0))+$E1306,0)),"")</f>
        <v/>
      </c>
      <c r="I1306" s="26">
        <f>IF($B1306='Perfil'!$B$3,COUNTIF($B$4:$B1306,'Perfil'!$B$3),"")</f>
        <v/>
      </c>
    </row>
    <row r="1307">
      <c r="A1307" s="22" t="n"/>
      <c r="B1307" s="23" t="n"/>
      <c r="C1307" s="23" t="n"/>
      <c r="D1307" s="24" t="n"/>
      <c r="E1307" s="24" t="n"/>
      <c r="F1307" s="23" t="n"/>
      <c r="G1307" s="19">
        <f>IFERROR(IF(OR($B1307="",$C1307=""),"",IF(MATCH($C1307,'Ajustes'!$A$5:$A$8,0)&lt;=2,$D1307*INDEX('Ajustes'!$C$5:$C$6,MATCH($C1307,'Ajustes'!$A$5:$A$8,0)),IF(MATCH($C1307,'Ajustes'!$A$5:$A$8,0)=3,-($D1307+$E1307*INDEX('Equipo'!$B$5:$B$29,MATCH($B1307,'Equipo'!$A$5:$A$29,0))),0))),"")</f>
        <v/>
      </c>
      <c r="H1307" s="25">
        <f>IFERROR(IF(OR($B1307="",$C1307=""),"",IF(MATCH($C1307,'Ajustes'!$A$5:$A$8,0)=4,$D1307/INDEX('Equipo'!$B$5:$B$29,MATCH($B1307,'Equipo'!$A$5:$A$29,0))+$E1307,0)),"")</f>
        <v/>
      </c>
      <c r="I1307" s="26">
        <f>IF($B1307='Perfil'!$B$3,COUNTIF($B$4:$B1307,'Perfil'!$B$3),"")</f>
        <v/>
      </c>
    </row>
    <row r="1308">
      <c r="A1308" s="22" t="n"/>
      <c r="B1308" s="23" t="n"/>
      <c r="C1308" s="23" t="n"/>
      <c r="D1308" s="24" t="n"/>
      <c r="E1308" s="24" t="n"/>
      <c r="F1308" s="23" t="n"/>
      <c r="G1308" s="19">
        <f>IFERROR(IF(OR($B1308="",$C1308=""),"",IF(MATCH($C1308,'Ajustes'!$A$5:$A$8,0)&lt;=2,$D1308*INDEX('Ajustes'!$C$5:$C$6,MATCH($C1308,'Ajustes'!$A$5:$A$8,0)),IF(MATCH($C1308,'Ajustes'!$A$5:$A$8,0)=3,-($D1308+$E1308*INDEX('Equipo'!$B$5:$B$29,MATCH($B1308,'Equipo'!$A$5:$A$29,0))),0))),"")</f>
        <v/>
      </c>
      <c r="H1308" s="25">
        <f>IFERROR(IF(OR($B1308="",$C1308=""),"",IF(MATCH($C1308,'Ajustes'!$A$5:$A$8,0)=4,$D1308/INDEX('Equipo'!$B$5:$B$29,MATCH($B1308,'Equipo'!$A$5:$A$29,0))+$E1308,0)),"")</f>
        <v/>
      </c>
      <c r="I1308" s="26">
        <f>IF($B1308='Perfil'!$B$3,COUNTIF($B$4:$B1308,'Perfil'!$B$3),"")</f>
        <v/>
      </c>
    </row>
    <row r="1309">
      <c r="A1309" s="22" t="n"/>
      <c r="B1309" s="23" t="n"/>
      <c r="C1309" s="23" t="n"/>
      <c r="D1309" s="24" t="n"/>
      <c r="E1309" s="24" t="n"/>
      <c r="F1309" s="23" t="n"/>
      <c r="G1309" s="19">
        <f>IFERROR(IF(OR($B1309="",$C1309=""),"",IF(MATCH($C1309,'Ajustes'!$A$5:$A$8,0)&lt;=2,$D1309*INDEX('Ajustes'!$C$5:$C$6,MATCH($C1309,'Ajustes'!$A$5:$A$8,0)),IF(MATCH($C1309,'Ajustes'!$A$5:$A$8,0)=3,-($D1309+$E1309*INDEX('Equipo'!$B$5:$B$29,MATCH($B1309,'Equipo'!$A$5:$A$29,0))),0))),"")</f>
        <v/>
      </c>
      <c r="H1309" s="25">
        <f>IFERROR(IF(OR($B1309="",$C1309=""),"",IF(MATCH($C1309,'Ajustes'!$A$5:$A$8,0)=4,$D1309/INDEX('Equipo'!$B$5:$B$29,MATCH($B1309,'Equipo'!$A$5:$A$29,0))+$E1309,0)),"")</f>
        <v/>
      </c>
      <c r="I1309" s="26">
        <f>IF($B1309='Perfil'!$B$3,COUNTIF($B$4:$B1309,'Perfil'!$B$3),"")</f>
        <v/>
      </c>
    </row>
    <row r="1310">
      <c r="A1310" s="22" t="n"/>
      <c r="B1310" s="23" t="n"/>
      <c r="C1310" s="23" t="n"/>
      <c r="D1310" s="24" t="n"/>
      <c r="E1310" s="24" t="n"/>
      <c r="F1310" s="23" t="n"/>
      <c r="G1310" s="19">
        <f>IFERROR(IF(OR($B1310="",$C1310=""),"",IF(MATCH($C1310,'Ajustes'!$A$5:$A$8,0)&lt;=2,$D1310*INDEX('Ajustes'!$C$5:$C$6,MATCH($C1310,'Ajustes'!$A$5:$A$8,0)),IF(MATCH($C1310,'Ajustes'!$A$5:$A$8,0)=3,-($D1310+$E1310*INDEX('Equipo'!$B$5:$B$29,MATCH($B1310,'Equipo'!$A$5:$A$29,0))),0))),"")</f>
        <v/>
      </c>
      <c r="H1310" s="25">
        <f>IFERROR(IF(OR($B1310="",$C1310=""),"",IF(MATCH($C1310,'Ajustes'!$A$5:$A$8,0)=4,$D1310/INDEX('Equipo'!$B$5:$B$29,MATCH($B1310,'Equipo'!$A$5:$A$29,0))+$E1310,0)),"")</f>
        <v/>
      </c>
      <c r="I1310" s="26">
        <f>IF($B1310='Perfil'!$B$3,COUNTIF($B$4:$B1310,'Perfil'!$B$3),"")</f>
        <v/>
      </c>
    </row>
    <row r="1311">
      <c r="A1311" s="22" t="n"/>
      <c r="B1311" s="23" t="n"/>
      <c r="C1311" s="23" t="n"/>
      <c r="D1311" s="24" t="n"/>
      <c r="E1311" s="24" t="n"/>
      <c r="F1311" s="23" t="n"/>
      <c r="G1311" s="19">
        <f>IFERROR(IF(OR($B1311="",$C1311=""),"",IF(MATCH($C1311,'Ajustes'!$A$5:$A$8,0)&lt;=2,$D1311*INDEX('Ajustes'!$C$5:$C$6,MATCH($C1311,'Ajustes'!$A$5:$A$8,0)),IF(MATCH($C1311,'Ajustes'!$A$5:$A$8,0)=3,-($D1311+$E1311*INDEX('Equipo'!$B$5:$B$29,MATCH($B1311,'Equipo'!$A$5:$A$29,0))),0))),"")</f>
        <v/>
      </c>
      <c r="H1311" s="25">
        <f>IFERROR(IF(OR($B1311="",$C1311=""),"",IF(MATCH($C1311,'Ajustes'!$A$5:$A$8,0)=4,$D1311/INDEX('Equipo'!$B$5:$B$29,MATCH($B1311,'Equipo'!$A$5:$A$29,0))+$E1311,0)),"")</f>
        <v/>
      </c>
      <c r="I1311" s="26">
        <f>IF($B1311='Perfil'!$B$3,COUNTIF($B$4:$B1311,'Perfil'!$B$3),"")</f>
        <v/>
      </c>
    </row>
    <row r="1312">
      <c r="A1312" s="22" t="n"/>
      <c r="B1312" s="23" t="n"/>
      <c r="C1312" s="23" t="n"/>
      <c r="D1312" s="24" t="n"/>
      <c r="E1312" s="24" t="n"/>
      <c r="F1312" s="23" t="n"/>
      <c r="G1312" s="19">
        <f>IFERROR(IF(OR($B1312="",$C1312=""),"",IF(MATCH($C1312,'Ajustes'!$A$5:$A$8,0)&lt;=2,$D1312*INDEX('Ajustes'!$C$5:$C$6,MATCH($C1312,'Ajustes'!$A$5:$A$8,0)),IF(MATCH($C1312,'Ajustes'!$A$5:$A$8,0)=3,-($D1312+$E1312*INDEX('Equipo'!$B$5:$B$29,MATCH($B1312,'Equipo'!$A$5:$A$29,0))),0))),"")</f>
        <v/>
      </c>
      <c r="H1312" s="25">
        <f>IFERROR(IF(OR($B1312="",$C1312=""),"",IF(MATCH($C1312,'Ajustes'!$A$5:$A$8,0)=4,$D1312/INDEX('Equipo'!$B$5:$B$29,MATCH($B1312,'Equipo'!$A$5:$A$29,0))+$E1312,0)),"")</f>
        <v/>
      </c>
      <c r="I1312" s="26">
        <f>IF($B1312='Perfil'!$B$3,COUNTIF($B$4:$B1312,'Perfil'!$B$3),"")</f>
        <v/>
      </c>
    </row>
    <row r="1313">
      <c r="A1313" s="22" t="n"/>
      <c r="B1313" s="23" t="n"/>
      <c r="C1313" s="23" t="n"/>
      <c r="D1313" s="24" t="n"/>
      <c r="E1313" s="24" t="n"/>
      <c r="F1313" s="23" t="n"/>
      <c r="G1313" s="19">
        <f>IFERROR(IF(OR($B1313="",$C1313=""),"",IF(MATCH($C1313,'Ajustes'!$A$5:$A$8,0)&lt;=2,$D1313*INDEX('Ajustes'!$C$5:$C$6,MATCH($C1313,'Ajustes'!$A$5:$A$8,0)),IF(MATCH($C1313,'Ajustes'!$A$5:$A$8,0)=3,-($D1313+$E1313*INDEX('Equipo'!$B$5:$B$29,MATCH($B1313,'Equipo'!$A$5:$A$29,0))),0))),"")</f>
        <v/>
      </c>
      <c r="H1313" s="25">
        <f>IFERROR(IF(OR($B1313="",$C1313=""),"",IF(MATCH($C1313,'Ajustes'!$A$5:$A$8,0)=4,$D1313/INDEX('Equipo'!$B$5:$B$29,MATCH($B1313,'Equipo'!$A$5:$A$29,0))+$E1313,0)),"")</f>
        <v/>
      </c>
      <c r="I1313" s="26">
        <f>IF($B1313='Perfil'!$B$3,COUNTIF($B$4:$B1313,'Perfil'!$B$3),"")</f>
        <v/>
      </c>
    </row>
    <row r="1314">
      <c r="A1314" s="22" t="n"/>
      <c r="B1314" s="23" t="n"/>
      <c r="C1314" s="23" t="n"/>
      <c r="D1314" s="24" t="n"/>
      <c r="E1314" s="24" t="n"/>
      <c r="F1314" s="23" t="n"/>
      <c r="G1314" s="19">
        <f>IFERROR(IF(OR($B1314="",$C1314=""),"",IF(MATCH($C1314,'Ajustes'!$A$5:$A$8,0)&lt;=2,$D1314*INDEX('Ajustes'!$C$5:$C$6,MATCH($C1314,'Ajustes'!$A$5:$A$8,0)),IF(MATCH($C1314,'Ajustes'!$A$5:$A$8,0)=3,-($D1314+$E1314*INDEX('Equipo'!$B$5:$B$29,MATCH($B1314,'Equipo'!$A$5:$A$29,0))),0))),"")</f>
        <v/>
      </c>
      <c r="H1314" s="25">
        <f>IFERROR(IF(OR($B1314="",$C1314=""),"",IF(MATCH($C1314,'Ajustes'!$A$5:$A$8,0)=4,$D1314/INDEX('Equipo'!$B$5:$B$29,MATCH($B1314,'Equipo'!$A$5:$A$29,0))+$E1314,0)),"")</f>
        <v/>
      </c>
      <c r="I1314" s="26">
        <f>IF($B1314='Perfil'!$B$3,COUNTIF($B$4:$B1314,'Perfil'!$B$3),"")</f>
        <v/>
      </c>
    </row>
    <row r="1315">
      <c r="A1315" s="22" t="n"/>
      <c r="B1315" s="23" t="n"/>
      <c r="C1315" s="23" t="n"/>
      <c r="D1315" s="24" t="n"/>
      <c r="E1315" s="24" t="n"/>
      <c r="F1315" s="23" t="n"/>
      <c r="G1315" s="19">
        <f>IFERROR(IF(OR($B1315="",$C1315=""),"",IF(MATCH($C1315,'Ajustes'!$A$5:$A$8,0)&lt;=2,$D1315*INDEX('Ajustes'!$C$5:$C$6,MATCH($C1315,'Ajustes'!$A$5:$A$8,0)),IF(MATCH($C1315,'Ajustes'!$A$5:$A$8,0)=3,-($D1315+$E1315*INDEX('Equipo'!$B$5:$B$29,MATCH($B1315,'Equipo'!$A$5:$A$29,0))),0))),"")</f>
        <v/>
      </c>
      <c r="H1315" s="25">
        <f>IFERROR(IF(OR($B1315="",$C1315=""),"",IF(MATCH($C1315,'Ajustes'!$A$5:$A$8,0)=4,$D1315/INDEX('Equipo'!$B$5:$B$29,MATCH($B1315,'Equipo'!$A$5:$A$29,0))+$E1315,0)),"")</f>
        <v/>
      </c>
      <c r="I1315" s="26">
        <f>IF($B1315='Perfil'!$B$3,COUNTIF($B$4:$B1315,'Perfil'!$B$3),"")</f>
        <v/>
      </c>
    </row>
    <row r="1316">
      <c r="A1316" s="22" t="n"/>
      <c r="B1316" s="23" t="n"/>
      <c r="C1316" s="23" t="n"/>
      <c r="D1316" s="24" t="n"/>
      <c r="E1316" s="24" t="n"/>
      <c r="F1316" s="23" t="n"/>
      <c r="G1316" s="19">
        <f>IFERROR(IF(OR($B1316="",$C1316=""),"",IF(MATCH($C1316,'Ajustes'!$A$5:$A$8,0)&lt;=2,$D1316*INDEX('Ajustes'!$C$5:$C$6,MATCH($C1316,'Ajustes'!$A$5:$A$8,0)),IF(MATCH($C1316,'Ajustes'!$A$5:$A$8,0)=3,-($D1316+$E1316*INDEX('Equipo'!$B$5:$B$29,MATCH($B1316,'Equipo'!$A$5:$A$29,0))),0))),"")</f>
        <v/>
      </c>
      <c r="H1316" s="25">
        <f>IFERROR(IF(OR($B1316="",$C1316=""),"",IF(MATCH($C1316,'Ajustes'!$A$5:$A$8,0)=4,$D1316/INDEX('Equipo'!$B$5:$B$29,MATCH($B1316,'Equipo'!$A$5:$A$29,0))+$E1316,0)),"")</f>
        <v/>
      </c>
      <c r="I1316" s="26">
        <f>IF($B1316='Perfil'!$B$3,COUNTIF($B$4:$B1316,'Perfil'!$B$3),"")</f>
        <v/>
      </c>
    </row>
    <row r="1317">
      <c r="A1317" s="22" t="n"/>
      <c r="B1317" s="23" t="n"/>
      <c r="C1317" s="23" t="n"/>
      <c r="D1317" s="24" t="n"/>
      <c r="E1317" s="24" t="n"/>
      <c r="F1317" s="23" t="n"/>
      <c r="G1317" s="19">
        <f>IFERROR(IF(OR($B1317="",$C1317=""),"",IF(MATCH($C1317,'Ajustes'!$A$5:$A$8,0)&lt;=2,$D1317*INDEX('Ajustes'!$C$5:$C$6,MATCH($C1317,'Ajustes'!$A$5:$A$8,0)),IF(MATCH($C1317,'Ajustes'!$A$5:$A$8,0)=3,-($D1317+$E1317*INDEX('Equipo'!$B$5:$B$29,MATCH($B1317,'Equipo'!$A$5:$A$29,0))),0))),"")</f>
        <v/>
      </c>
      <c r="H1317" s="25">
        <f>IFERROR(IF(OR($B1317="",$C1317=""),"",IF(MATCH($C1317,'Ajustes'!$A$5:$A$8,0)=4,$D1317/INDEX('Equipo'!$B$5:$B$29,MATCH($B1317,'Equipo'!$A$5:$A$29,0))+$E1317,0)),"")</f>
        <v/>
      </c>
      <c r="I1317" s="26">
        <f>IF($B1317='Perfil'!$B$3,COUNTIF($B$4:$B1317,'Perfil'!$B$3),"")</f>
        <v/>
      </c>
    </row>
    <row r="1318">
      <c r="A1318" s="22" t="n"/>
      <c r="B1318" s="23" t="n"/>
      <c r="C1318" s="23" t="n"/>
      <c r="D1318" s="24" t="n"/>
      <c r="E1318" s="24" t="n"/>
      <c r="F1318" s="23" t="n"/>
      <c r="G1318" s="19">
        <f>IFERROR(IF(OR($B1318="",$C1318=""),"",IF(MATCH($C1318,'Ajustes'!$A$5:$A$8,0)&lt;=2,$D1318*INDEX('Ajustes'!$C$5:$C$6,MATCH($C1318,'Ajustes'!$A$5:$A$8,0)),IF(MATCH($C1318,'Ajustes'!$A$5:$A$8,0)=3,-($D1318+$E1318*INDEX('Equipo'!$B$5:$B$29,MATCH($B1318,'Equipo'!$A$5:$A$29,0))),0))),"")</f>
        <v/>
      </c>
      <c r="H1318" s="25">
        <f>IFERROR(IF(OR($B1318="",$C1318=""),"",IF(MATCH($C1318,'Ajustes'!$A$5:$A$8,0)=4,$D1318/INDEX('Equipo'!$B$5:$B$29,MATCH($B1318,'Equipo'!$A$5:$A$29,0))+$E1318,0)),"")</f>
        <v/>
      </c>
      <c r="I1318" s="26">
        <f>IF($B1318='Perfil'!$B$3,COUNTIF($B$4:$B1318,'Perfil'!$B$3),"")</f>
        <v/>
      </c>
    </row>
    <row r="1319">
      <c r="A1319" s="22" t="n"/>
      <c r="B1319" s="23" t="n"/>
      <c r="C1319" s="23" t="n"/>
      <c r="D1319" s="24" t="n"/>
      <c r="E1319" s="24" t="n"/>
      <c r="F1319" s="23" t="n"/>
      <c r="G1319" s="19">
        <f>IFERROR(IF(OR($B1319="",$C1319=""),"",IF(MATCH($C1319,'Ajustes'!$A$5:$A$8,0)&lt;=2,$D1319*INDEX('Ajustes'!$C$5:$C$6,MATCH($C1319,'Ajustes'!$A$5:$A$8,0)),IF(MATCH($C1319,'Ajustes'!$A$5:$A$8,0)=3,-($D1319+$E1319*INDEX('Equipo'!$B$5:$B$29,MATCH($B1319,'Equipo'!$A$5:$A$29,0))),0))),"")</f>
        <v/>
      </c>
      <c r="H1319" s="25">
        <f>IFERROR(IF(OR($B1319="",$C1319=""),"",IF(MATCH($C1319,'Ajustes'!$A$5:$A$8,0)=4,$D1319/INDEX('Equipo'!$B$5:$B$29,MATCH($B1319,'Equipo'!$A$5:$A$29,0))+$E1319,0)),"")</f>
        <v/>
      </c>
      <c r="I1319" s="26">
        <f>IF($B1319='Perfil'!$B$3,COUNTIF($B$4:$B1319,'Perfil'!$B$3),"")</f>
        <v/>
      </c>
    </row>
    <row r="1320">
      <c r="A1320" s="22" t="n"/>
      <c r="B1320" s="23" t="n"/>
      <c r="C1320" s="23" t="n"/>
      <c r="D1320" s="24" t="n"/>
      <c r="E1320" s="24" t="n"/>
      <c r="F1320" s="23" t="n"/>
      <c r="G1320" s="19">
        <f>IFERROR(IF(OR($B1320="",$C1320=""),"",IF(MATCH($C1320,'Ajustes'!$A$5:$A$8,0)&lt;=2,$D1320*INDEX('Ajustes'!$C$5:$C$6,MATCH($C1320,'Ajustes'!$A$5:$A$8,0)),IF(MATCH($C1320,'Ajustes'!$A$5:$A$8,0)=3,-($D1320+$E1320*INDEX('Equipo'!$B$5:$B$29,MATCH($B1320,'Equipo'!$A$5:$A$29,0))),0))),"")</f>
        <v/>
      </c>
      <c r="H1320" s="25">
        <f>IFERROR(IF(OR($B1320="",$C1320=""),"",IF(MATCH($C1320,'Ajustes'!$A$5:$A$8,0)=4,$D1320/INDEX('Equipo'!$B$5:$B$29,MATCH($B1320,'Equipo'!$A$5:$A$29,0))+$E1320,0)),"")</f>
        <v/>
      </c>
      <c r="I1320" s="26">
        <f>IF($B1320='Perfil'!$B$3,COUNTIF($B$4:$B1320,'Perfil'!$B$3),"")</f>
        <v/>
      </c>
    </row>
    <row r="1321">
      <c r="A1321" s="22" t="n"/>
      <c r="B1321" s="23" t="n"/>
      <c r="C1321" s="23" t="n"/>
      <c r="D1321" s="24" t="n"/>
      <c r="E1321" s="24" t="n"/>
      <c r="F1321" s="23" t="n"/>
      <c r="G1321" s="19">
        <f>IFERROR(IF(OR($B1321="",$C1321=""),"",IF(MATCH($C1321,'Ajustes'!$A$5:$A$8,0)&lt;=2,$D1321*INDEX('Ajustes'!$C$5:$C$6,MATCH($C1321,'Ajustes'!$A$5:$A$8,0)),IF(MATCH($C1321,'Ajustes'!$A$5:$A$8,0)=3,-($D1321+$E1321*INDEX('Equipo'!$B$5:$B$29,MATCH($B1321,'Equipo'!$A$5:$A$29,0))),0))),"")</f>
        <v/>
      </c>
      <c r="H1321" s="25">
        <f>IFERROR(IF(OR($B1321="",$C1321=""),"",IF(MATCH($C1321,'Ajustes'!$A$5:$A$8,0)=4,$D1321/INDEX('Equipo'!$B$5:$B$29,MATCH($B1321,'Equipo'!$A$5:$A$29,0))+$E1321,0)),"")</f>
        <v/>
      </c>
      <c r="I1321" s="26">
        <f>IF($B1321='Perfil'!$B$3,COUNTIF($B$4:$B1321,'Perfil'!$B$3),"")</f>
        <v/>
      </c>
    </row>
    <row r="1322">
      <c r="A1322" s="22" t="n"/>
      <c r="B1322" s="23" t="n"/>
      <c r="C1322" s="23" t="n"/>
      <c r="D1322" s="24" t="n"/>
      <c r="E1322" s="24" t="n"/>
      <c r="F1322" s="23" t="n"/>
      <c r="G1322" s="19">
        <f>IFERROR(IF(OR($B1322="",$C1322=""),"",IF(MATCH($C1322,'Ajustes'!$A$5:$A$8,0)&lt;=2,$D1322*INDEX('Ajustes'!$C$5:$C$6,MATCH($C1322,'Ajustes'!$A$5:$A$8,0)),IF(MATCH($C1322,'Ajustes'!$A$5:$A$8,0)=3,-($D1322+$E1322*INDEX('Equipo'!$B$5:$B$29,MATCH($B1322,'Equipo'!$A$5:$A$29,0))),0))),"")</f>
        <v/>
      </c>
      <c r="H1322" s="25">
        <f>IFERROR(IF(OR($B1322="",$C1322=""),"",IF(MATCH($C1322,'Ajustes'!$A$5:$A$8,0)=4,$D1322/INDEX('Equipo'!$B$5:$B$29,MATCH($B1322,'Equipo'!$A$5:$A$29,0))+$E1322,0)),"")</f>
        <v/>
      </c>
      <c r="I1322" s="26">
        <f>IF($B1322='Perfil'!$B$3,COUNTIF($B$4:$B1322,'Perfil'!$B$3),"")</f>
        <v/>
      </c>
    </row>
    <row r="1323">
      <c r="A1323" s="22" t="n"/>
      <c r="B1323" s="23" t="n"/>
      <c r="C1323" s="23" t="n"/>
      <c r="D1323" s="24" t="n"/>
      <c r="E1323" s="24" t="n"/>
      <c r="F1323" s="23" t="n"/>
      <c r="G1323" s="19">
        <f>IFERROR(IF(OR($B1323="",$C1323=""),"",IF(MATCH($C1323,'Ajustes'!$A$5:$A$8,0)&lt;=2,$D1323*INDEX('Ajustes'!$C$5:$C$6,MATCH($C1323,'Ajustes'!$A$5:$A$8,0)),IF(MATCH($C1323,'Ajustes'!$A$5:$A$8,0)=3,-($D1323+$E1323*INDEX('Equipo'!$B$5:$B$29,MATCH($B1323,'Equipo'!$A$5:$A$29,0))),0))),"")</f>
        <v/>
      </c>
      <c r="H1323" s="25">
        <f>IFERROR(IF(OR($B1323="",$C1323=""),"",IF(MATCH($C1323,'Ajustes'!$A$5:$A$8,0)=4,$D1323/INDEX('Equipo'!$B$5:$B$29,MATCH($B1323,'Equipo'!$A$5:$A$29,0))+$E1323,0)),"")</f>
        <v/>
      </c>
      <c r="I1323" s="26">
        <f>IF($B1323='Perfil'!$B$3,COUNTIF($B$4:$B1323,'Perfil'!$B$3),"")</f>
        <v/>
      </c>
    </row>
    <row r="1324">
      <c r="A1324" s="22" t="n"/>
      <c r="B1324" s="23" t="n"/>
      <c r="C1324" s="23" t="n"/>
      <c r="D1324" s="24" t="n"/>
      <c r="E1324" s="24" t="n"/>
      <c r="F1324" s="23" t="n"/>
      <c r="G1324" s="19">
        <f>IFERROR(IF(OR($B1324="",$C1324=""),"",IF(MATCH($C1324,'Ajustes'!$A$5:$A$8,0)&lt;=2,$D1324*INDEX('Ajustes'!$C$5:$C$6,MATCH($C1324,'Ajustes'!$A$5:$A$8,0)),IF(MATCH($C1324,'Ajustes'!$A$5:$A$8,0)=3,-($D1324+$E1324*INDEX('Equipo'!$B$5:$B$29,MATCH($B1324,'Equipo'!$A$5:$A$29,0))),0))),"")</f>
        <v/>
      </c>
      <c r="H1324" s="25">
        <f>IFERROR(IF(OR($B1324="",$C1324=""),"",IF(MATCH($C1324,'Ajustes'!$A$5:$A$8,0)=4,$D1324/INDEX('Equipo'!$B$5:$B$29,MATCH($B1324,'Equipo'!$A$5:$A$29,0))+$E1324,0)),"")</f>
        <v/>
      </c>
      <c r="I1324" s="26">
        <f>IF($B1324='Perfil'!$B$3,COUNTIF($B$4:$B1324,'Perfil'!$B$3),"")</f>
        <v/>
      </c>
    </row>
    <row r="1325">
      <c r="A1325" s="22" t="n"/>
      <c r="B1325" s="23" t="n"/>
      <c r="C1325" s="23" t="n"/>
      <c r="D1325" s="24" t="n"/>
      <c r="E1325" s="24" t="n"/>
      <c r="F1325" s="23" t="n"/>
      <c r="G1325" s="19">
        <f>IFERROR(IF(OR($B1325="",$C1325=""),"",IF(MATCH($C1325,'Ajustes'!$A$5:$A$8,0)&lt;=2,$D1325*INDEX('Ajustes'!$C$5:$C$6,MATCH($C1325,'Ajustes'!$A$5:$A$8,0)),IF(MATCH($C1325,'Ajustes'!$A$5:$A$8,0)=3,-($D1325+$E1325*INDEX('Equipo'!$B$5:$B$29,MATCH($B1325,'Equipo'!$A$5:$A$29,0))),0))),"")</f>
        <v/>
      </c>
      <c r="H1325" s="25">
        <f>IFERROR(IF(OR($B1325="",$C1325=""),"",IF(MATCH($C1325,'Ajustes'!$A$5:$A$8,0)=4,$D1325/INDEX('Equipo'!$B$5:$B$29,MATCH($B1325,'Equipo'!$A$5:$A$29,0))+$E1325,0)),"")</f>
        <v/>
      </c>
      <c r="I1325" s="26">
        <f>IF($B1325='Perfil'!$B$3,COUNTIF($B$4:$B1325,'Perfil'!$B$3),"")</f>
        <v/>
      </c>
    </row>
    <row r="1326">
      <c r="A1326" s="22" t="n"/>
      <c r="B1326" s="23" t="n"/>
      <c r="C1326" s="23" t="n"/>
      <c r="D1326" s="24" t="n"/>
      <c r="E1326" s="24" t="n"/>
      <c r="F1326" s="23" t="n"/>
      <c r="G1326" s="19">
        <f>IFERROR(IF(OR($B1326="",$C1326=""),"",IF(MATCH($C1326,'Ajustes'!$A$5:$A$8,0)&lt;=2,$D1326*INDEX('Ajustes'!$C$5:$C$6,MATCH($C1326,'Ajustes'!$A$5:$A$8,0)),IF(MATCH($C1326,'Ajustes'!$A$5:$A$8,0)=3,-($D1326+$E1326*INDEX('Equipo'!$B$5:$B$29,MATCH($B1326,'Equipo'!$A$5:$A$29,0))),0))),"")</f>
        <v/>
      </c>
      <c r="H1326" s="25">
        <f>IFERROR(IF(OR($B1326="",$C1326=""),"",IF(MATCH($C1326,'Ajustes'!$A$5:$A$8,0)=4,$D1326/INDEX('Equipo'!$B$5:$B$29,MATCH($B1326,'Equipo'!$A$5:$A$29,0))+$E1326,0)),"")</f>
        <v/>
      </c>
      <c r="I1326" s="26">
        <f>IF($B1326='Perfil'!$B$3,COUNTIF($B$4:$B1326,'Perfil'!$B$3),"")</f>
        <v/>
      </c>
    </row>
    <row r="1327">
      <c r="A1327" s="22" t="n"/>
      <c r="B1327" s="23" t="n"/>
      <c r="C1327" s="23" t="n"/>
      <c r="D1327" s="24" t="n"/>
      <c r="E1327" s="24" t="n"/>
      <c r="F1327" s="23" t="n"/>
      <c r="G1327" s="19">
        <f>IFERROR(IF(OR($B1327="",$C1327=""),"",IF(MATCH($C1327,'Ajustes'!$A$5:$A$8,0)&lt;=2,$D1327*INDEX('Ajustes'!$C$5:$C$6,MATCH($C1327,'Ajustes'!$A$5:$A$8,0)),IF(MATCH($C1327,'Ajustes'!$A$5:$A$8,0)=3,-($D1327+$E1327*INDEX('Equipo'!$B$5:$B$29,MATCH($B1327,'Equipo'!$A$5:$A$29,0))),0))),"")</f>
        <v/>
      </c>
      <c r="H1327" s="25">
        <f>IFERROR(IF(OR($B1327="",$C1327=""),"",IF(MATCH($C1327,'Ajustes'!$A$5:$A$8,0)=4,$D1327/INDEX('Equipo'!$B$5:$B$29,MATCH($B1327,'Equipo'!$A$5:$A$29,0))+$E1327,0)),"")</f>
        <v/>
      </c>
      <c r="I1327" s="26">
        <f>IF($B1327='Perfil'!$B$3,COUNTIF($B$4:$B1327,'Perfil'!$B$3),"")</f>
        <v/>
      </c>
    </row>
    <row r="1328">
      <c r="A1328" s="22" t="n"/>
      <c r="B1328" s="23" t="n"/>
      <c r="C1328" s="23" t="n"/>
      <c r="D1328" s="24" t="n"/>
      <c r="E1328" s="24" t="n"/>
      <c r="F1328" s="23" t="n"/>
      <c r="G1328" s="19">
        <f>IFERROR(IF(OR($B1328="",$C1328=""),"",IF(MATCH($C1328,'Ajustes'!$A$5:$A$8,0)&lt;=2,$D1328*INDEX('Ajustes'!$C$5:$C$6,MATCH($C1328,'Ajustes'!$A$5:$A$8,0)),IF(MATCH($C1328,'Ajustes'!$A$5:$A$8,0)=3,-($D1328+$E1328*INDEX('Equipo'!$B$5:$B$29,MATCH($B1328,'Equipo'!$A$5:$A$29,0))),0))),"")</f>
        <v/>
      </c>
      <c r="H1328" s="25">
        <f>IFERROR(IF(OR($B1328="",$C1328=""),"",IF(MATCH($C1328,'Ajustes'!$A$5:$A$8,0)=4,$D1328/INDEX('Equipo'!$B$5:$B$29,MATCH($B1328,'Equipo'!$A$5:$A$29,0))+$E1328,0)),"")</f>
        <v/>
      </c>
      <c r="I1328" s="26">
        <f>IF($B1328='Perfil'!$B$3,COUNTIF($B$4:$B1328,'Perfil'!$B$3),"")</f>
        <v/>
      </c>
    </row>
    <row r="1329">
      <c r="A1329" s="22" t="n"/>
      <c r="B1329" s="23" t="n"/>
      <c r="C1329" s="23" t="n"/>
      <c r="D1329" s="24" t="n"/>
      <c r="E1329" s="24" t="n"/>
      <c r="F1329" s="23" t="n"/>
      <c r="G1329" s="19">
        <f>IFERROR(IF(OR($B1329="",$C1329=""),"",IF(MATCH($C1329,'Ajustes'!$A$5:$A$8,0)&lt;=2,$D1329*INDEX('Ajustes'!$C$5:$C$6,MATCH($C1329,'Ajustes'!$A$5:$A$8,0)),IF(MATCH($C1329,'Ajustes'!$A$5:$A$8,0)=3,-($D1329+$E1329*INDEX('Equipo'!$B$5:$B$29,MATCH($B1329,'Equipo'!$A$5:$A$29,0))),0))),"")</f>
        <v/>
      </c>
      <c r="H1329" s="25">
        <f>IFERROR(IF(OR($B1329="",$C1329=""),"",IF(MATCH($C1329,'Ajustes'!$A$5:$A$8,0)=4,$D1329/INDEX('Equipo'!$B$5:$B$29,MATCH($B1329,'Equipo'!$A$5:$A$29,0))+$E1329,0)),"")</f>
        <v/>
      </c>
      <c r="I1329" s="26">
        <f>IF($B1329='Perfil'!$B$3,COUNTIF($B$4:$B1329,'Perfil'!$B$3),"")</f>
        <v/>
      </c>
    </row>
    <row r="1330">
      <c r="A1330" s="22" t="n"/>
      <c r="B1330" s="23" t="n"/>
      <c r="C1330" s="23" t="n"/>
      <c r="D1330" s="24" t="n"/>
      <c r="E1330" s="24" t="n"/>
      <c r="F1330" s="23" t="n"/>
      <c r="G1330" s="19">
        <f>IFERROR(IF(OR($B1330="",$C1330=""),"",IF(MATCH($C1330,'Ajustes'!$A$5:$A$8,0)&lt;=2,$D1330*INDEX('Ajustes'!$C$5:$C$6,MATCH($C1330,'Ajustes'!$A$5:$A$8,0)),IF(MATCH($C1330,'Ajustes'!$A$5:$A$8,0)=3,-($D1330+$E1330*INDEX('Equipo'!$B$5:$B$29,MATCH($B1330,'Equipo'!$A$5:$A$29,0))),0))),"")</f>
        <v/>
      </c>
      <c r="H1330" s="25">
        <f>IFERROR(IF(OR($B1330="",$C1330=""),"",IF(MATCH($C1330,'Ajustes'!$A$5:$A$8,0)=4,$D1330/INDEX('Equipo'!$B$5:$B$29,MATCH($B1330,'Equipo'!$A$5:$A$29,0))+$E1330,0)),"")</f>
        <v/>
      </c>
      <c r="I1330" s="26">
        <f>IF($B1330='Perfil'!$B$3,COUNTIF($B$4:$B1330,'Perfil'!$B$3),"")</f>
        <v/>
      </c>
    </row>
    <row r="1331">
      <c r="A1331" s="22" t="n"/>
      <c r="B1331" s="23" t="n"/>
      <c r="C1331" s="23" t="n"/>
      <c r="D1331" s="24" t="n"/>
      <c r="E1331" s="24" t="n"/>
      <c r="F1331" s="23" t="n"/>
      <c r="G1331" s="19">
        <f>IFERROR(IF(OR($B1331="",$C1331=""),"",IF(MATCH($C1331,'Ajustes'!$A$5:$A$8,0)&lt;=2,$D1331*INDEX('Ajustes'!$C$5:$C$6,MATCH($C1331,'Ajustes'!$A$5:$A$8,0)),IF(MATCH($C1331,'Ajustes'!$A$5:$A$8,0)=3,-($D1331+$E1331*INDEX('Equipo'!$B$5:$B$29,MATCH($B1331,'Equipo'!$A$5:$A$29,0))),0))),"")</f>
        <v/>
      </c>
      <c r="H1331" s="25">
        <f>IFERROR(IF(OR($B1331="",$C1331=""),"",IF(MATCH($C1331,'Ajustes'!$A$5:$A$8,0)=4,$D1331/INDEX('Equipo'!$B$5:$B$29,MATCH($B1331,'Equipo'!$A$5:$A$29,0))+$E1331,0)),"")</f>
        <v/>
      </c>
      <c r="I1331" s="26">
        <f>IF($B1331='Perfil'!$B$3,COUNTIF($B$4:$B1331,'Perfil'!$B$3),"")</f>
        <v/>
      </c>
    </row>
    <row r="1332">
      <c r="A1332" s="22" t="n"/>
      <c r="B1332" s="23" t="n"/>
      <c r="C1332" s="23" t="n"/>
      <c r="D1332" s="24" t="n"/>
      <c r="E1332" s="24" t="n"/>
      <c r="F1332" s="23" t="n"/>
      <c r="G1332" s="19">
        <f>IFERROR(IF(OR($B1332="",$C1332=""),"",IF(MATCH($C1332,'Ajustes'!$A$5:$A$8,0)&lt;=2,$D1332*INDEX('Ajustes'!$C$5:$C$6,MATCH($C1332,'Ajustes'!$A$5:$A$8,0)),IF(MATCH($C1332,'Ajustes'!$A$5:$A$8,0)=3,-($D1332+$E1332*INDEX('Equipo'!$B$5:$B$29,MATCH($B1332,'Equipo'!$A$5:$A$29,0))),0))),"")</f>
        <v/>
      </c>
      <c r="H1332" s="25">
        <f>IFERROR(IF(OR($B1332="",$C1332=""),"",IF(MATCH($C1332,'Ajustes'!$A$5:$A$8,0)=4,$D1332/INDEX('Equipo'!$B$5:$B$29,MATCH($B1332,'Equipo'!$A$5:$A$29,0))+$E1332,0)),"")</f>
        <v/>
      </c>
      <c r="I1332" s="26">
        <f>IF($B1332='Perfil'!$B$3,COUNTIF($B$4:$B1332,'Perfil'!$B$3),"")</f>
        <v/>
      </c>
    </row>
    <row r="1333">
      <c r="A1333" s="22" t="n"/>
      <c r="B1333" s="23" t="n"/>
      <c r="C1333" s="23" t="n"/>
      <c r="D1333" s="24" t="n"/>
      <c r="E1333" s="24" t="n"/>
      <c r="F1333" s="23" t="n"/>
      <c r="G1333" s="19">
        <f>IFERROR(IF(OR($B1333="",$C1333=""),"",IF(MATCH($C1333,'Ajustes'!$A$5:$A$8,0)&lt;=2,$D1333*INDEX('Ajustes'!$C$5:$C$6,MATCH($C1333,'Ajustes'!$A$5:$A$8,0)),IF(MATCH($C1333,'Ajustes'!$A$5:$A$8,0)=3,-($D1333+$E1333*INDEX('Equipo'!$B$5:$B$29,MATCH($B1333,'Equipo'!$A$5:$A$29,0))),0))),"")</f>
        <v/>
      </c>
      <c r="H1333" s="25">
        <f>IFERROR(IF(OR($B1333="",$C1333=""),"",IF(MATCH($C1333,'Ajustes'!$A$5:$A$8,0)=4,$D1333/INDEX('Equipo'!$B$5:$B$29,MATCH($B1333,'Equipo'!$A$5:$A$29,0))+$E1333,0)),"")</f>
        <v/>
      </c>
      <c r="I1333" s="26">
        <f>IF($B1333='Perfil'!$B$3,COUNTIF($B$4:$B1333,'Perfil'!$B$3),"")</f>
        <v/>
      </c>
    </row>
    <row r="1334">
      <c r="A1334" s="22" t="n"/>
      <c r="B1334" s="23" t="n"/>
      <c r="C1334" s="23" t="n"/>
      <c r="D1334" s="24" t="n"/>
      <c r="E1334" s="24" t="n"/>
      <c r="F1334" s="23" t="n"/>
      <c r="G1334" s="19">
        <f>IFERROR(IF(OR($B1334="",$C1334=""),"",IF(MATCH($C1334,'Ajustes'!$A$5:$A$8,0)&lt;=2,$D1334*INDEX('Ajustes'!$C$5:$C$6,MATCH($C1334,'Ajustes'!$A$5:$A$8,0)),IF(MATCH($C1334,'Ajustes'!$A$5:$A$8,0)=3,-($D1334+$E1334*INDEX('Equipo'!$B$5:$B$29,MATCH($B1334,'Equipo'!$A$5:$A$29,0))),0))),"")</f>
        <v/>
      </c>
      <c r="H1334" s="25">
        <f>IFERROR(IF(OR($B1334="",$C1334=""),"",IF(MATCH($C1334,'Ajustes'!$A$5:$A$8,0)=4,$D1334/INDEX('Equipo'!$B$5:$B$29,MATCH($B1334,'Equipo'!$A$5:$A$29,0))+$E1334,0)),"")</f>
        <v/>
      </c>
      <c r="I1334" s="26">
        <f>IF($B1334='Perfil'!$B$3,COUNTIF($B$4:$B1334,'Perfil'!$B$3),"")</f>
        <v/>
      </c>
    </row>
    <row r="1335">
      <c r="A1335" s="22" t="n"/>
      <c r="B1335" s="23" t="n"/>
      <c r="C1335" s="23" t="n"/>
      <c r="D1335" s="24" t="n"/>
      <c r="E1335" s="24" t="n"/>
      <c r="F1335" s="23" t="n"/>
      <c r="G1335" s="19">
        <f>IFERROR(IF(OR($B1335="",$C1335=""),"",IF(MATCH($C1335,'Ajustes'!$A$5:$A$8,0)&lt;=2,$D1335*INDEX('Ajustes'!$C$5:$C$6,MATCH($C1335,'Ajustes'!$A$5:$A$8,0)),IF(MATCH($C1335,'Ajustes'!$A$5:$A$8,0)=3,-($D1335+$E1335*INDEX('Equipo'!$B$5:$B$29,MATCH($B1335,'Equipo'!$A$5:$A$29,0))),0))),"")</f>
        <v/>
      </c>
      <c r="H1335" s="25">
        <f>IFERROR(IF(OR($B1335="",$C1335=""),"",IF(MATCH($C1335,'Ajustes'!$A$5:$A$8,0)=4,$D1335/INDEX('Equipo'!$B$5:$B$29,MATCH($B1335,'Equipo'!$A$5:$A$29,0))+$E1335,0)),"")</f>
        <v/>
      </c>
      <c r="I1335" s="26">
        <f>IF($B1335='Perfil'!$B$3,COUNTIF($B$4:$B1335,'Perfil'!$B$3),"")</f>
        <v/>
      </c>
    </row>
    <row r="1336">
      <c r="A1336" s="22" t="n"/>
      <c r="B1336" s="23" t="n"/>
      <c r="C1336" s="23" t="n"/>
      <c r="D1336" s="24" t="n"/>
      <c r="E1336" s="24" t="n"/>
      <c r="F1336" s="23" t="n"/>
      <c r="G1336" s="19">
        <f>IFERROR(IF(OR($B1336="",$C1336=""),"",IF(MATCH($C1336,'Ajustes'!$A$5:$A$8,0)&lt;=2,$D1336*INDEX('Ajustes'!$C$5:$C$6,MATCH($C1336,'Ajustes'!$A$5:$A$8,0)),IF(MATCH($C1336,'Ajustes'!$A$5:$A$8,0)=3,-($D1336+$E1336*INDEX('Equipo'!$B$5:$B$29,MATCH($B1336,'Equipo'!$A$5:$A$29,0))),0))),"")</f>
        <v/>
      </c>
      <c r="H1336" s="25">
        <f>IFERROR(IF(OR($B1336="",$C1336=""),"",IF(MATCH($C1336,'Ajustes'!$A$5:$A$8,0)=4,$D1336/INDEX('Equipo'!$B$5:$B$29,MATCH($B1336,'Equipo'!$A$5:$A$29,0))+$E1336,0)),"")</f>
        <v/>
      </c>
      <c r="I1336" s="26">
        <f>IF($B1336='Perfil'!$B$3,COUNTIF($B$4:$B1336,'Perfil'!$B$3),"")</f>
        <v/>
      </c>
    </row>
    <row r="1337">
      <c r="A1337" s="22" t="n"/>
      <c r="B1337" s="23" t="n"/>
      <c r="C1337" s="23" t="n"/>
      <c r="D1337" s="24" t="n"/>
      <c r="E1337" s="24" t="n"/>
      <c r="F1337" s="23" t="n"/>
      <c r="G1337" s="19">
        <f>IFERROR(IF(OR($B1337="",$C1337=""),"",IF(MATCH($C1337,'Ajustes'!$A$5:$A$8,0)&lt;=2,$D1337*INDEX('Ajustes'!$C$5:$C$6,MATCH($C1337,'Ajustes'!$A$5:$A$8,0)),IF(MATCH($C1337,'Ajustes'!$A$5:$A$8,0)=3,-($D1337+$E1337*INDEX('Equipo'!$B$5:$B$29,MATCH($B1337,'Equipo'!$A$5:$A$29,0))),0))),"")</f>
        <v/>
      </c>
      <c r="H1337" s="25">
        <f>IFERROR(IF(OR($B1337="",$C1337=""),"",IF(MATCH($C1337,'Ajustes'!$A$5:$A$8,0)=4,$D1337/INDEX('Equipo'!$B$5:$B$29,MATCH($B1337,'Equipo'!$A$5:$A$29,0))+$E1337,0)),"")</f>
        <v/>
      </c>
      <c r="I1337" s="26">
        <f>IF($B1337='Perfil'!$B$3,COUNTIF($B$4:$B1337,'Perfil'!$B$3),"")</f>
        <v/>
      </c>
    </row>
    <row r="1338">
      <c r="A1338" s="22" t="n"/>
      <c r="B1338" s="23" t="n"/>
      <c r="C1338" s="23" t="n"/>
      <c r="D1338" s="24" t="n"/>
      <c r="E1338" s="24" t="n"/>
      <c r="F1338" s="23" t="n"/>
      <c r="G1338" s="19">
        <f>IFERROR(IF(OR($B1338="",$C1338=""),"",IF(MATCH($C1338,'Ajustes'!$A$5:$A$8,0)&lt;=2,$D1338*INDEX('Ajustes'!$C$5:$C$6,MATCH($C1338,'Ajustes'!$A$5:$A$8,0)),IF(MATCH($C1338,'Ajustes'!$A$5:$A$8,0)=3,-($D1338+$E1338*INDEX('Equipo'!$B$5:$B$29,MATCH($B1338,'Equipo'!$A$5:$A$29,0))),0))),"")</f>
        <v/>
      </c>
      <c r="H1338" s="25">
        <f>IFERROR(IF(OR($B1338="",$C1338=""),"",IF(MATCH($C1338,'Ajustes'!$A$5:$A$8,0)=4,$D1338/INDEX('Equipo'!$B$5:$B$29,MATCH($B1338,'Equipo'!$A$5:$A$29,0))+$E1338,0)),"")</f>
        <v/>
      </c>
      <c r="I1338" s="26">
        <f>IF($B1338='Perfil'!$B$3,COUNTIF($B$4:$B1338,'Perfil'!$B$3),"")</f>
        <v/>
      </c>
    </row>
    <row r="1339">
      <c r="A1339" s="22" t="n"/>
      <c r="B1339" s="23" t="n"/>
      <c r="C1339" s="23" t="n"/>
      <c r="D1339" s="24" t="n"/>
      <c r="E1339" s="24" t="n"/>
      <c r="F1339" s="23" t="n"/>
      <c r="G1339" s="19">
        <f>IFERROR(IF(OR($B1339="",$C1339=""),"",IF(MATCH($C1339,'Ajustes'!$A$5:$A$8,0)&lt;=2,$D1339*INDEX('Ajustes'!$C$5:$C$6,MATCH($C1339,'Ajustes'!$A$5:$A$8,0)),IF(MATCH($C1339,'Ajustes'!$A$5:$A$8,0)=3,-($D1339+$E1339*INDEX('Equipo'!$B$5:$B$29,MATCH($B1339,'Equipo'!$A$5:$A$29,0))),0))),"")</f>
        <v/>
      </c>
      <c r="H1339" s="25">
        <f>IFERROR(IF(OR($B1339="",$C1339=""),"",IF(MATCH($C1339,'Ajustes'!$A$5:$A$8,0)=4,$D1339/INDEX('Equipo'!$B$5:$B$29,MATCH($B1339,'Equipo'!$A$5:$A$29,0))+$E1339,0)),"")</f>
        <v/>
      </c>
      <c r="I1339" s="26">
        <f>IF($B1339='Perfil'!$B$3,COUNTIF($B$4:$B1339,'Perfil'!$B$3),"")</f>
        <v/>
      </c>
    </row>
    <row r="1340">
      <c r="A1340" s="22" t="n"/>
      <c r="B1340" s="23" t="n"/>
      <c r="C1340" s="23" t="n"/>
      <c r="D1340" s="24" t="n"/>
      <c r="E1340" s="24" t="n"/>
      <c r="F1340" s="23" t="n"/>
      <c r="G1340" s="19">
        <f>IFERROR(IF(OR($B1340="",$C1340=""),"",IF(MATCH($C1340,'Ajustes'!$A$5:$A$8,0)&lt;=2,$D1340*INDEX('Ajustes'!$C$5:$C$6,MATCH($C1340,'Ajustes'!$A$5:$A$8,0)),IF(MATCH($C1340,'Ajustes'!$A$5:$A$8,0)=3,-($D1340+$E1340*INDEX('Equipo'!$B$5:$B$29,MATCH($B1340,'Equipo'!$A$5:$A$29,0))),0))),"")</f>
        <v/>
      </c>
      <c r="H1340" s="25">
        <f>IFERROR(IF(OR($B1340="",$C1340=""),"",IF(MATCH($C1340,'Ajustes'!$A$5:$A$8,0)=4,$D1340/INDEX('Equipo'!$B$5:$B$29,MATCH($B1340,'Equipo'!$A$5:$A$29,0))+$E1340,0)),"")</f>
        <v/>
      </c>
      <c r="I1340" s="26">
        <f>IF($B1340='Perfil'!$B$3,COUNTIF($B$4:$B1340,'Perfil'!$B$3),"")</f>
        <v/>
      </c>
    </row>
    <row r="1341">
      <c r="A1341" s="22" t="n"/>
      <c r="B1341" s="23" t="n"/>
      <c r="C1341" s="23" t="n"/>
      <c r="D1341" s="24" t="n"/>
      <c r="E1341" s="24" t="n"/>
      <c r="F1341" s="23" t="n"/>
      <c r="G1341" s="19">
        <f>IFERROR(IF(OR($B1341="",$C1341=""),"",IF(MATCH($C1341,'Ajustes'!$A$5:$A$8,0)&lt;=2,$D1341*INDEX('Ajustes'!$C$5:$C$6,MATCH($C1341,'Ajustes'!$A$5:$A$8,0)),IF(MATCH($C1341,'Ajustes'!$A$5:$A$8,0)=3,-($D1341+$E1341*INDEX('Equipo'!$B$5:$B$29,MATCH($B1341,'Equipo'!$A$5:$A$29,0))),0))),"")</f>
        <v/>
      </c>
      <c r="H1341" s="25">
        <f>IFERROR(IF(OR($B1341="",$C1341=""),"",IF(MATCH($C1341,'Ajustes'!$A$5:$A$8,0)=4,$D1341/INDEX('Equipo'!$B$5:$B$29,MATCH($B1341,'Equipo'!$A$5:$A$29,0))+$E1341,0)),"")</f>
        <v/>
      </c>
      <c r="I1341" s="26">
        <f>IF($B1341='Perfil'!$B$3,COUNTIF($B$4:$B1341,'Perfil'!$B$3),"")</f>
        <v/>
      </c>
    </row>
    <row r="1342">
      <c r="A1342" s="22" t="n"/>
      <c r="B1342" s="23" t="n"/>
      <c r="C1342" s="23" t="n"/>
      <c r="D1342" s="24" t="n"/>
      <c r="E1342" s="24" t="n"/>
      <c r="F1342" s="23" t="n"/>
      <c r="G1342" s="19">
        <f>IFERROR(IF(OR($B1342="",$C1342=""),"",IF(MATCH($C1342,'Ajustes'!$A$5:$A$8,0)&lt;=2,$D1342*INDEX('Ajustes'!$C$5:$C$6,MATCH($C1342,'Ajustes'!$A$5:$A$8,0)),IF(MATCH($C1342,'Ajustes'!$A$5:$A$8,0)=3,-($D1342+$E1342*INDEX('Equipo'!$B$5:$B$29,MATCH($B1342,'Equipo'!$A$5:$A$29,0))),0))),"")</f>
        <v/>
      </c>
      <c r="H1342" s="25">
        <f>IFERROR(IF(OR($B1342="",$C1342=""),"",IF(MATCH($C1342,'Ajustes'!$A$5:$A$8,0)=4,$D1342/INDEX('Equipo'!$B$5:$B$29,MATCH($B1342,'Equipo'!$A$5:$A$29,0))+$E1342,0)),"")</f>
        <v/>
      </c>
      <c r="I1342" s="26">
        <f>IF($B1342='Perfil'!$B$3,COUNTIF($B$4:$B1342,'Perfil'!$B$3),"")</f>
        <v/>
      </c>
    </row>
    <row r="1343">
      <c r="A1343" s="22" t="n"/>
      <c r="B1343" s="23" t="n"/>
      <c r="C1343" s="23" t="n"/>
      <c r="D1343" s="24" t="n"/>
      <c r="E1343" s="24" t="n"/>
      <c r="F1343" s="23" t="n"/>
      <c r="G1343" s="19">
        <f>IFERROR(IF(OR($B1343="",$C1343=""),"",IF(MATCH($C1343,'Ajustes'!$A$5:$A$8,0)&lt;=2,$D1343*INDEX('Ajustes'!$C$5:$C$6,MATCH($C1343,'Ajustes'!$A$5:$A$8,0)),IF(MATCH($C1343,'Ajustes'!$A$5:$A$8,0)=3,-($D1343+$E1343*INDEX('Equipo'!$B$5:$B$29,MATCH($B1343,'Equipo'!$A$5:$A$29,0))),0))),"")</f>
        <v/>
      </c>
      <c r="H1343" s="25">
        <f>IFERROR(IF(OR($B1343="",$C1343=""),"",IF(MATCH($C1343,'Ajustes'!$A$5:$A$8,0)=4,$D1343/INDEX('Equipo'!$B$5:$B$29,MATCH($B1343,'Equipo'!$A$5:$A$29,0))+$E1343,0)),"")</f>
        <v/>
      </c>
      <c r="I1343" s="26">
        <f>IF($B1343='Perfil'!$B$3,COUNTIF($B$4:$B1343,'Perfil'!$B$3),"")</f>
        <v/>
      </c>
    </row>
    <row r="1344">
      <c r="A1344" s="22" t="n"/>
      <c r="B1344" s="23" t="n"/>
      <c r="C1344" s="23" t="n"/>
      <c r="D1344" s="24" t="n"/>
      <c r="E1344" s="24" t="n"/>
      <c r="F1344" s="23" t="n"/>
      <c r="G1344" s="19">
        <f>IFERROR(IF(OR($B1344="",$C1344=""),"",IF(MATCH($C1344,'Ajustes'!$A$5:$A$8,0)&lt;=2,$D1344*INDEX('Ajustes'!$C$5:$C$6,MATCH($C1344,'Ajustes'!$A$5:$A$8,0)),IF(MATCH($C1344,'Ajustes'!$A$5:$A$8,0)=3,-($D1344+$E1344*INDEX('Equipo'!$B$5:$B$29,MATCH($B1344,'Equipo'!$A$5:$A$29,0))),0))),"")</f>
        <v/>
      </c>
      <c r="H1344" s="25">
        <f>IFERROR(IF(OR($B1344="",$C1344=""),"",IF(MATCH($C1344,'Ajustes'!$A$5:$A$8,0)=4,$D1344/INDEX('Equipo'!$B$5:$B$29,MATCH($B1344,'Equipo'!$A$5:$A$29,0))+$E1344,0)),"")</f>
        <v/>
      </c>
      <c r="I1344" s="26">
        <f>IF($B1344='Perfil'!$B$3,COUNTIF($B$4:$B1344,'Perfil'!$B$3),"")</f>
        <v/>
      </c>
    </row>
    <row r="1345">
      <c r="A1345" s="22" t="n"/>
      <c r="B1345" s="23" t="n"/>
      <c r="C1345" s="23" t="n"/>
      <c r="D1345" s="24" t="n"/>
      <c r="E1345" s="24" t="n"/>
      <c r="F1345" s="23" t="n"/>
      <c r="G1345" s="19">
        <f>IFERROR(IF(OR($B1345="",$C1345=""),"",IF(MATCH($C1345,'Ajustes'!$A$5:$A$8,0)&lt;=2,$D1345*INDEX('Ajustes'!$C$5:$C$6,MATCH($C1345,'Ajustes'!$A$5:$A$8,0)),IF(MATCH($C1345,'Ajustes'!$A$5:$A$8,0)=3,-($D1345+$E1345*INDEX('Equipo'!$B$5:$B$29,MATCH($B1345,'Equipo'!$A$5:$A$29,0))),0))),"")</f>
        <v/>
      </c>
      <c r="H1345" s="25">
        <f>IFERROR(IF(OR($B1345="",$C1345=""),"",IF(MATCH($C1345,'Ajustes'!$A$5:$A$8,0)=4,$D1345/INDEX('Equipo'!$B$5:$B$29,MATCH($B1345,'Equipo'!$A$5:$A$29,0))+$E1345,0)),"")</f>
        <v/>
      </c>
      <c r="I1345" s="26">
        <f>IF($B1345='Perfil'!$B$3,COUNTIF($B$4:$B1345,'Perfil'!$B$3),"")</f>
        <v/>
      </c>
    </row>
    <row r="1346">
      <c r="A1346" s="22" t="n"/>
      <c r="B1346" s="23" t="n"/>
      <c r="C1346" s="23" t="n"/>
      <c r="D1346" s="24" t="n"/>
      <c r="E1346" s="24" t="n"/>
      <c r="F1346" s="23" t="n"/>
      <c r="G1346" s="19">
        <f>IFERROR(IF(OR($B1346="",$C1346=""),"",IF(MATCH($C1346,'Ajustes'!$A$5:$A$8,0)&lt;=2,$D1346*INDEX('Ajustes'!$C$5:$C$6,MATCH($C1346,'Ajustes'!$A$5:$A$8,0)),IF(MATCH($C1346,'Ajustes'!$A$5:$A$8,0)=3,-($D1346+$E1346*INDEX('Equipo'!$B$5:$B$29,MATCH($B1346,'Equipo'!$A$5:$A$29,0))),0))),"")</f>
        <v/>
      </c>
      <c r="H1346" s="25">
        <f>IFERROR(IF(OR($B1346="",$C1346=""),"",IF(MATCH($C1346,'Ajustes'!$A$5:$A$8,0)=4,$D1346/INDEX('Equipo'!$B$5:$B$29,MATCH($B1346,'Equipo'!$A$5:$A$29,0))+$E1346,0)),"")</f>
        <v/>
      </c>
      <c r="I1346" s="26">
        <f>IF($B1346='Perfil'!$B$3,COUNTIF($B$4:$B1346,'Perfil'!$B$3),"")</f>
        <v/>
      </c>
    </row>
    <row r="1347">
      <c r="A1347" s="22" t="n"/>
      <c r="B1347" s="23" t="n"/>
      <c r="C1347" s="23" t="n"/>
      <c r="D1347" s="24" t="n"/>
      <c r="E1347" s="24" t="n"/>
      <c r="F1347" s="23" t="n"/>
      <c r="G1347" s="19">
        <f>IFERROR(IF(OR($B1347="",$C1347=""),"",IF(MATCH($C1347,'Ajustes'!$A$5:$A$8,0)&lt;=2,$D1347*INDEX('Ajustes'!$C$5:$C$6,MATCH($C1347,'Ajustes'!$A$5:$A$8,0)),IF(MATCH($C1347,'Ajustes'!$A$5:$A$8,0)=3,-($D1347+$E1347*INDEX('Equipo'!$B$5:$B$29,MATCH($B1347,'Equipo'!$A$5:$A$29,0))),0))),"")</f>
        <v/>
      </c>
      <c r="H1347" s="25">
        <f>IFERROR(IF(OR($B1347="",$C1347=""),"",IF(MATCH($C1347,'Ajustes'!$A$5:$A$8,0)=4,$D1347/INDEX('Equipo'!$B$5:$B$29,MATCH($B1347,'Equipo'!$A$5:$A$29,0))+$E1347,0)),"")</f>
        <v/>
      </c>
      <c r="I1347" s="26">
        <f>IF($B1347='Perfil'!$B$3,COUNTIF($B$4:$B1347,'Perfil'!$B$3),"")</f>
        <v/>
      </c>
    </row>
    <row r="1348">
      <c r="A1348" s="22" t="n"/>
      <c r="B1348" s="23" t="n"/>
      <c r="C1348" s="23" t="n"/>
      <c r="D1348" s="24" t="n"/>
      <c r="E1348" s="24" t="n"/>
      <c r="F1348" s="23" t="n"/>
      <c r="G1348" s="19">
        <f>IFERROR(IF(OR($B1348="",$C1348=""),"",IF(MATCH($C1348,'Ajustes'!$A$5:$A$8,0)&lt;=2,$D1348*INDEX('Ajustes'!$C$5:$C$6,MATCH($C1348,'Ajustes'!$A$5:$A$8,0)),IF(MATCH($C1348,'Ajustes'!$A$5:$A$8,0)=3,-($D1348+$E1348*INDEX('Equipo'!$B$5:$B$29,MATCH($B1348,'Equipo'!$A$5:$A$29,0))),0))),"")</f>
        <v/>
      </c>
      <c r="H1348" s="25">
        <f>IFERROR(IF(OR($B1348="",$C1348=""),"",IF(MATCH($C1348,'Ajustes'!$A$5:$A$8,0)=4,$D1348/INDEX('Equipo'!$B$5:$B$29,MATCH($B1348,'Equipo'!$A$5:$A$29,0))+$E1348,0)),"")</f>
        <v/>
      </c>
      <c r="I1348" s="26">
        <f>IF($B1348='Perfil'!$B$3,COUNTIF($B$4:$B1348,'Perfil'!$B$3),"")</f>
        <v/>
      </c>
    </row>
    <row r="1349">
      <c r="A1349" s="22" t="n"/>
      <c r="B1349" s="23" t="n"/>
      <c r="C1349" s="23" t="n"/>
      <c r="D1349" s="24" t="n"/>
      <c r="E1349" s="24" t="n"/>
      <c r="F1349" s="23" t="n"/>
      <c r="G1349" s="19">
        <f>IFERROR(IF(OR($B1349="",$C1349=""),"",IF(MATCH($C1349,'Ajustes'!$A$5:$A$8,0)&lt;=2,$D1349*INDEX('Ajustes'!$C$5:$C$6,MATCH($C1349,'Ajustes'!$A$5:$A$8,0)),IF(MATCH($C1349,'Ajustes'!$A$5:$A$8,0)=3,-($D1349+$E1349*INDEX('Equipo'!$B$5:$B$29,MATCH($B1349,'Equipo'!$A$5:$A$29,0))),0))),"")</f>
        <v/>
      </c>
      <c r="H1349" s="25">
        <f>IFERROR(IF(OR($B1349="",$C1349=""),"",IF(MATCH($C1349,'Ajustes'!$A$5:$A$8,0)=4,$D1349/INDEX('Equipo'!$B$5:$B$29,MATCH($B1349,'Equipo'!$A$5:$A$29,0))+$E1349,0)),"")</f>
        <v/>
      </c>
      <c r="I1349" s="26">
        <f>IF($B1349='Perfil'!$B$3,COUNTIF($B$4:$B1349,'Perfil'!$B$3),"")</f>
        <v/>
      </c>
    </row>
    <row r="1350">
      <c r="A1350" s="22" t="n"/>
      <c r="B1350" s="23" t="n"/>
      <c r="C1350" s="23" t="n"/>
      <c r="D1350" s="24" t="n"/>
      <c r="E1350" s="24" t="n"/>
      <c r="F1350" s="23" t="n"/>
      <c r="G1350" s="19">
        <f>IFERROR(IF(OR($B1350="",$C1350=""),"",IF(MATCH($C1350,'Ajustes'!$A$5:$A$8,0)&lt;=2,$D1350*INDEX('Ajustes'!$C$5:$C$6,MATCH($C1350,'Ajustes'!$A$5:$A$8,0)),IF(MATCH($C1350,'Ajustes'!$A$5:$A$8,0)=3,-($D1350+$E1350*INDEX('Equipo'!$B$5:$B$29,MATCH($B1350,'Equipo'!$A$5:$A$29,0))),0))),"")</f>
        <v/>
      </c>
      <c r="H1350" s="25">
        <f>IFERROR(IF(OR($B1350="",$C1350=""),"",IF(MATCH($C1350,'Ajustes'!$A$5:$A$8,0)=4,$D1350/INDEX('Equipo'!$B$5:$B$29,MATCH($B1350,'Equipo'!$A$5:$A$29,0))+$E1350,0)),"")</f>
        <v/>
      </c>
      <c r="I1350" s="26">
        <f>IF($B1350='Perfil'!$B$3,COUNTIF($B$4:$B1350,'Perfil'!$B$3),"")</f>
        <v/>
      </c>
    </row>
    <row r="1351">
      <c r="A1351" s="22" t="n"/>
      <c r="B1351" s="23" t="n"/>
      <c r="C1351" s="23" t="n"/>
      <c r="D1351" s="24" t="n"/>
      <c r="E1351" s="24" t="n"/>
      <c r="F1351" s="23" t="n"/>
      <c r="G1351" s="19">
        <f>IFERROR(IF(OR($B1351="",$C1351=""),"",IF(MATCH($C1351,'Ajustes'!$A$5:$A$8,0)&lt;=2,$D1351*INDEX('Ajustes'!$C$5:$C$6,MATCH($C1351,'Ajustes'!$A$5:$A$8,0)),IF(MATCH($C1351,'Ajustes'!$A$5:$A$8,0)=3,-($D1351+$E1351*INDEX('Equipo'!$B$5:$B$29,MATCH($B1351,'Equipo'!$A$5:$A$29,0))),0))),"")</f>
        <v/>
      </c>
      <c r="H1351" s="25">
        <f>IFERROR(IF(OR($B1351="",$C1351=""),"",IF(MATCH($C1351,'Ajustes'!$A$5:$A$8,0)=4,$D1351/INDEX('Equipo'!$B$5:$B$29,MATCH($B1351,'Equipo'!$A$5:$A$29,0))+$E1351,0)),"")</f>
        <v/>
      </c>
      <c r="I1351" s="26">
        <f>IF($B1351='Perfil'!$B$3,COUNTIF($B$4:$B1351,'Perfil'!$B$3),"")</f>
        <v/>
      </c>
    </row>
    <row r="1352">
      <c r="A1352" s="22" t="n"/>
      <c r="B1352" s="23" t="n"/>
      <c r="C1352" s="23" t="n"/>
      <c r="D1352" s="24" t="n"/>
      <c r="E1352" s="24" t="n"/>
      <c r="F1352" s="23" t="n"/>
      <c r="G1352" s="19">
        <f>IFERROR(IF(OR($B1352="",$C1352=""),"",IF(MATCH($C1352,'Ajustes'!$A$5:$A$8,0)&lt;=2,$D1352*INDEX('Ajustes'!$C$5:$C$6,MATCH($C1352,'Ajustes'!$A$5:$A$8,0)),IF(MATCH($C1352,'Ajustes'!$A$5:$A$8,0)=3,-($D1352+$E1352*INDEX('Equipo'!$B$5:$B$29,MATCH($B1352,'Equipo'!$A$5:$A$29,0))),0))),"")</f>
        <v/>
      </c>
      <c r="H1352" s="25">
        <f>IFERROR(IF(OR($B1352="",$C1352=""),"",IF(MATCH($C1352,'Ajustes'!$A$5:$A$8,0)=4,$D1352/INDEX('Equipo'!$B$5:$B$29,MATCH($B1352,'Equipo'!$A$5:$A$29,0))+$E1352,0)),"")</f>
        <v/>
      </c>
      <c r="I1352" s="26">
        <f>IF($B1352='Perfil'!$B$3,COUNTIF($B$4:$B1352,'Perfil'!$B$3),"")</f>
        <v/>
      </c>
    </row>
    <row r="1353">
      <c r="A1353" s="22" t="n"/>
      <c r="B1353" s="23" t="n"/>
      <c r="C1353" s="23" t="n"/>
      <c r="D1353" s="24" t="n"/>
      <c r="E1353" s="24" t="n"/>
      <c r="F1353" s="23" t="n"/>
      <c r="G1353" s="19">
        <f>IFERROR(IF(OR($B1353="",$C1353=""),"",IF(MATCH($C1353,'Ajustes'!$A$5:$A$8,0)&lt;=2,$D1353*INDEX('Ajustes'!$C$5:$C$6,MATCH($C1353,'Ajustes'!$A$5:$A$8,0)),IF(MATCH($C1353,'Ajustes'!$A$5:$A$8,0)=3,-($D1353+$E1353*INDEX('Equipo'!$B$5:$B$29,MATCH($B1353,'Equipo'!$A$5:$A$29,0))),0))),"")</f>
        <v/>
      </c>
      <c r="H1353" s="25">
        <f>IFERROR(IF(OR($B1353="",$C1353=""),"",IF(MATCH($C1353,'Ajustes'!$A$5:$A$8,0)=4,$D1353/INDEX('Equipo'!$B$5:$B$29,MATCH($B1353,'Equipo'!$A$5:$A$29,0))+$E1353,0)),"")</f>
        <v/>
      </c>
      <c r="I1353" s="26">
        <f>IF($B1353='Perfil'!$B$3,COUNTIF($B$4:$B1353,'Perfil'!$B$3),"")</f>
        <v/>
      </c>
    </row>
    <row r="1354">
      <c r="A1354" s="22" t="n"/>
      <c r="B1354" s="23" t="n"/>
      <c r="C1354" s="23" t="n"/>
      <c r="D1354" s="24" t="n"/>
      <c r="E1354" s="24" t="n"/>
      <c r="F1354" s="23" t="n"/>
      <c r="G1354" s="19">
        <f>IFERROR(IF(OR($B1354="",$C1354=""),"",IF(MATCH($C1354,'Ajustes'!$A$5:$A$8,0)&lt;=2,$D1354*INDEX('Ajustes'!$C$5:$C$6,MATCH($C1354,'Ajustes'!$A$5:$A$8,0)),IF(MATCH($C1354,'Ajustes'!$A$5:$A$8,0)=3,-($D1354+$E1354*INDEX('Equipo'!$B$5:$B$29,MATCH($B1354,'Equipo'!$A$5:$A$29,0))),0))),"")</f>
        <v/>
      </c>
      <c r="H1354" s="25">
        <f>IFERROR(IF(OR($B1354="",$C1354=""),"",IF(MATCH($C1354,'Ajustes'!$A$5:$A$8,0)=4,$D1354/INDEX('Equipo'!$B$5:$B$29,MATCH($B1354,'Equipo'!$A$5:$A$29,0))+$E1354,0)),"")</f>
        <v/>
      </c>
      <c r="I1354" s="26">
        <f>IF($B1354='Perfil'!$B$3,COUNTIF($B$4:$B1354,'Perfil'!$B$3),"")</f>
        <v/>
      </c>
    </row>
    <row r="1355">
      <c r="A1355" s="22" t="n"/>
      <c r="B1355" s="23" t="n"/>
      <c r="C1355" s="23" t="n"/>
      <c r="D1355" s="24" t="n"/>
      <c r="E1355" s="24" t="n"/>
      <c r="F1355" s="23" t="n"/>
      <c r="G1355" s="19">
        <f>IFERROR(IF(OR($B1355="",$C1355=""),"",IF(MATCH($C1355,'Ajustes'!$A$5:$A$8,0)&lt;=2,$D1355*INDEX('Ajustes'!$C$5:$C$6,MATCH($C1355,'Ajustes'!$A$5:$A$8,0)),IF(MATCH($C1355,'Ajustes'!$A$5:$A$8,0)=3,-($D1355+$E1355*INDEX('Equipo'!$B$5:$B$29,MATCH($B1355,'Equipo'!$A$5:$A$29,0))),0))),"")</f>
        <v/>
      </c>
      <c r="H1355" s="25">
        <f>IFERROR(IF(OR($B1355="",$C1355=""),"",IF(MATCH($C1355,'Ajustes'!$A$5:$A$8,0)=4,$D1355/INDEX('Equipo'!$B$5:$B$29,MATCH($B1355,'Equipo'!$A$5:$A$29,0))+$E1355,0)),"")</f>
        <v/>
      </c>
      <c r="I1355" s="26">
        <f>IF($B1355='Perfil'!$B$3,COUNTIF($B$4:$B1355,'Perfil'!$B$3),"")</f>
        <v/>
      </c>
    </row>
    <row r="1356">
      <c r="A1356" s="22" t="n"/>
      <c r="B1356" s="23" t="n"/>
      <c r="C1356" s="23" t="n"/>
      <c r="D1356" s="24" t="n"/>
      <c r="E1356" s="24" t="n"/>
      <c r="F1356" s="23" t="n"/>
      <c r="G1356" s="19">
        <f>IFERROR(IF(OR($B1356="",$C1356=""),"",IF(MATCH($C1356,'Ajustes'!$A$5:$A$8,0)&lt;=2,$D1356*INDEX('Ajustes'!$C$5:$C$6,MATCH($C1356,'Ajustes'!$A$5:$A$8,0)),IF(MATCH($C1356,'Ajustes'!$A$5:$A$8,0)=3,-($D1356+$E1356*INDEX('Equipo'!$B$5:$B$29,MATCH($B1356,'Equipo'!$A$5:$A$29,0))),0))),"")</f>
        <v/>
      </c>
      <c r="H1356" s="25">
        <f>IFERROR(IF(OR($B1356="",$C1356=""),"",IF(MATCH($C1356,'Ajustes'!$A$5:$A$8,0)=4,$D1356/INDEX('Equipo'!$B$5:$B$29,MATCH($B1356,'Equipo'!$A$5:$A$29,0))+$E1356,0)),"")</f>
        <v/>
      </c>
      <c r="I1356" s="26">
        <f>IF($B1356='Perfil'!$B$3,COUNTIF($B$4:$B1356,'Perfil'!$B$3),"")</f>
        <v/>
      </c>
    </row>
    <row r="1357">
      <c r="A1357" s="22" t="n"/>
      <c r="B1357" s="23" t="n"/>
      <c r="C1357" s="23" t="n"/>
      <c r="D1357" s="24" t="n"/>
      <c r="E1357" s="24" t="n"/>
      <c r="F1357" s="23" t="n"/>
      <c r="G1357" s="19">
        <f>IFERROR(IF(OR($B1357="",$C1357=""),"",IF(MATCH($C1357,'Ajustes'!$A$5:$A$8,0)&lt;=2,$D1357*INDEX('Ajustes'!$C$5:$C$6,MATCH($C1357,'Ajustes'!$A$5:$A$8,0)),IF(MATCH($C1357,'Ajustes'!$A$5:$A$8,0)=3,-($D1357+$E1357*INDEX('Equipo'!$B$5:$B$29,MATCH($B1357,'Equipo'!$A$5:$A$29,0))),0))),"")</f>
        <v/>
      </c>
      <c r="H1357" s="25">
        <f>IFERROR(IF(OR($B1357="",$C1357=""),"",IF(MATCH($C1357,'Ajustes'!$A$5:$A$8,0)=4,$D1357/INDEX('Equipo'!$B$5:$B$29,MATCH($B1357,'Equipo'!$A$5:$A$29,0))+$E1357,0)),"")</f>
        <v/>
      </c>
      <c r="I1357" s="26">
        <f>IF($B1357='Perfil'!$B$3,COUNTIF($B$4:$B1357,'Perfil'!$B$3),"")</f>
        <v/>
      </c>
    </row>
    <row r="1358">
      <c r="A1358" s="22" t="n"/>
      <c r="B1358" s="23" t="n"/>
      <c r="C1358" s="23" t="n"/>
      <c r="D1358" s="24" t="n"/>
      <c r="E1358" s="24" t="n"/>
      <c r="F1358" s="23" t="n"/>
      <c r="G1358" s="19">
        <f>IFERROR(IF(OR($B1358="",$C1358=""),"",IF(MATCH($C1358,'Ajustes'!$A$5:$A$8,0)&lt;=2,$D1358*INDEX('Ajustes'!$C$5:$C$6,MATCH($C1358,'Ajustes'!$A$5:$A$8,0)),IF(MATCH($C1358,'Ajustes'!$A$5:$A$8,0)=3,-($D1358+$E1358*INDEX('Equipo'!$B$5:$B$29,MATCH($B1358,'Equipo'!$A$5:$A$29,0))),0))),"")</f>
        <v/>
      </c>
      <c r="H1358" s="25">
        <f>IFERROR(IF(OR($B1358="",$C1358=""),"",IF(MATCH($C1358,'Ajustes'!$A$5:$A$8,0)=4,$D1358/INDEX('Equipo'!$B$5:$B$29,MATCH($B1358,'Equipo'!$A$5:$A$29,0))+$E1358,0)),"")</f>
        <v/>
      </c>
      <c r="I1358" s="26">
        <f>IF($B1358='Perfil'!$B$3,COUNTIF($B$4:$B1358,'Perfil'!$B$3),"")</f>
        <v/>
      </c>
    </row>
    <row r="1359">
      <c r="A1359" s="22" t="n"/>
      <c r="B1359" s="23" t="n"/>
      <c r="C1359" s="23" t="n"/>
      <c r="D1359" s="24" t="n"/>
      <c r="E1359" s="24" t="n"/>
      <c r="F1359" s="23" t="n"/>
      <c r="G1359" s="19">
        <f>IFERROR(IF(OR($B1359="",$C1359=""),"",IF(MATCH($C1359,'Ajustes'!$A$5:$A$8,0)&lt;=2,$D1359*INDEX('Ajustes'!$C$5:$C$6,MATCH($C1359,'Ajustes'!$A$5:$A$8,0)),IF(MATCH($C1359,'Ajustes'!$A$5:$A$8,0)=3,-($D1359+$E1359*INDEX('Equipo'!$B$5:$B$29,MATCH($B1359,'Equipo'!$A$5:$A$29,0))),0))),"")</f>
        <v/>
      </c>
      <c r="H1359" s="25">
        <f>IFERROR(IF(OR($B1359="",$C1359=""),"",IF(MATCH($C1359,'Ajustes'!$A$5:$A$8,0)=4,$D1359/INDEX('Equipo'!$B$5:$B$29,MATCH($B1359,'Equipo'!$A$5:$A$29,0))+$E1359,0)),"")</f>
        <v/>
      </c>
      <c r="I1359" s="26">
        <f>IF($B1359='Perfil'!$B$3,COUNTIF($B$4:$B1359,'Perfil'!$B$3),"")</f>
        <v/>
      </c>
    </row>
    <row r="1360">
      <c r="A1360" s="22" t="n"/>
      <c r="B1360" s="23" t="n"/>
      <c r="C1360" s="23" t="n"/>
      <c r="D1360" s="24" t="n"/>
      <c r="E1360" s="24" t="n"/>
      <c r="F1360" s="23" t="n"/>
      <c r="G1360" s="19">
        <f>IFERROR(IF(OR($B1360="",$C1360=""),"",IF(MATCH($C1360,'Ajustes'!$A$5:$A$8,0)&lt;=2,$D1360*INDEX('Ajustes'!$C$5:$C$6,MATCH($C1360,'Ajustes'!$A$5:$A$8,0)),IF(MATCH($C1360,'Ajustes'!$A$5:$A$8,0)=3,-($D1360+$E1360*INDEX('Equipo'!$B$5:$B$29,MATCH($B1360,'Equipo'!$A$5:$A$29,0))),0))),"")</f>
        <v/>
      </c>
      <c r="H1360" s="25">
        <f>IFERROR(IF(OR($B1360="",$C1360=""),"",IF(MATCH($C1360,'Ajustes'!$A$5:$A$8,0)=4,$D1360/INDEX('Equipo'!$B$5:$B$29,MATCH($B1360,'Equipo'!$A$5:$A$29,0))+$E1360,0)),"")</f>
        <v/>
      </c>
      <c r="I1360" s="26">
        <f>IF($B1360='Perfil'!$B$3,COUNTIF($B$4:$B1360,'Perfil'!$B$3),"")</f>
        <v/>
      </c>
    </row>
    <row r="1361">
      <c r="A1361" s="22" t="n"/>
      <c r="B1361" s="23" t="n"/>
      <c r="C1361" s="23" t="n"/>
      <c r="D1361" s="24" t="n"/>
      <c r="E1361" s="24" t="n"/>
      <c r="F1361" s="23" t="n"/>
      <c r="G1361" s="19">
        <f>IFERROR(IF(OR($B1361="",$C1361=""),"",IF(MATCH($C1361,'Ajustes'!$A$5:$A$8,0)&lt;=2,$D1361*INDEX('Ajustes'!$C$5:$C$6,MATCH($C1361,'Ajustes'!$A$5:$A$8,0)),IF(MATCH($C1361,'Ajustes'!$A$5:$A$8,0)=3,-($D1361+$E1361*INDEX('Equipo'!$B$5:$B$29,MATCH($B1361,'Equipo'!$A$5:$A$29,0))),0))),"")</f>
        <v/>
      </c>
      <c r="H1361" s="25">
        <f>IFERROR(IF(OR($B1361="",$C1361=""),"",IF(MATCH($C1361,'Ajustes'!$A$5:$A$8,0)=4,$D1361/INDEX('Equipo'!$B$5:$B$29,MATCH($B1361,'Equipo'!$A$5:$A$29,0))+$E1361,0)),"")</f>
        <v/>
      </c>
      <c r="I1361" s="26">
        <f>IF($B1361='Perfil'!$B$3,COUNTIF($B$4:$B1361,'Perfil'!$B$3),"")</f>
        <v/>
      </c>
    </row>
    <row r="1362">
      <c r="A1362" s="22" t="n"/>
      <c r="B1362" s="23" t="n"/>
      <c r="C1362" s="23" t="n"/>
      <c r="D1362" s="24" t="n"/>
      <c r="E1362" s="24" t="n"/>
      <c r="F1362" s="23" t="n"/>
      <c r="G1362" s="19">
        <f>IFERROR(IF(OR($B1362="",$C1362=""),"",IF(MATCH($C1362,'Ajustes'!$A$5:$A$8,0)&lt;=2,$D1362*INDEX('Ajustes'!$C$5:$C$6,MATCH($C1362,'Ajustes'!$A$5:$A$8,0)),IF(MATCH($C1362,'Ajustes'!$A$5:$A$8,0)=3,-($D1362+$E1362*INDEX('Equipo'!$B$5:$B$29,MATCH($B1362,'Equipo'!$A$5:$A$29,0))),0))),"")</f>
        <v/>
      </c>
      <c r="H1362" s="25">
        <f>IFERROR(IF(OR($B1362="",$C1362=""),"",IF(MATCH($C1362,'Ajustes'!$A$5:$A$8,0)=4,$D1362/INDEX('Equipo'!$B$5:$B$29,MATCH($B1362,'Equipo'!$A$5:$A$29,0))+$E1362,0)),"")</f>
        <v/>
      </c>
      <c r="I1362" s="26">
        <f>IF($B1362='Perfil'!$B$3,COUNTIF($B$4:$B1362,'Perfil'!$B$3),"")</f>
        <v/>
      </c>
    </row>
    <row r="1363">
      <c r="A1363" s="22" t="n"/>
      <c r="B1363" s="23" t="n"/>
      <c r="C1363" s="23" t="n"/>
      <c r="D1363" s="24" t="n"/>
      <c r="E1363" s="24" t="n"/>
      <c r="F1363" s="23" t="n"/>
      <c r="G1363" s="19">
        <f>IFERROR(IF(OR($B1363="",$C1363=""),"",IF(MATCH($C1363,'Ajustes'!$A$5:$A$8,0)&lt;=2,$D1363*INDEX('Ajustes'!$C$5:$C$6,MATCH($C1363,'Ajustes'!$A$5:$A$8,0)),IF(MATCH($C1363,'Ajustes'!$A$5:$A$8,0)=3,-($D1363+$E1363*INDEX('Equipo'!$B$5:$B$29,MATCH($B1363,'Equipo'!$A$5:$A$29,0))),0))),"")</f>
        <v/>
      </c>
      <c r="H1363" s="25">
        <f>IFERROR(IF(OR($B1363="",$C1363=""),"",IF(MATCH($C1363,'Ajustes'!$A$5:$A$8,0)=4,$D1363/INDEX('Equipo'!$B$5:$B$29,MATCH($B1363,'Equipo'!$A$5:$A$29,0))+$E1363,0)),"")</f>
        <v/>
      </c>
      <c r="I1363" s="26">
        <f>IF($B1363='Perfil'!$B$3,COUNTIF($B$4:$B1363,'Perfil'!$B$3),"")</f>
        <v/>
      </c>
    </row>
    <row r="1364">
      <c r="A1364" s="22" t="n"/>
      <c r="B1364" s="23" t="n"/>
      <c r="C1364" s="23" t="n"/>
      <c r="D1364" s="24" t="n"/>
      <c r="E1364" s="24" t="n"/>
      <c r="F1364" s="23" t="n"/>
      <c r="G1364" s="19">
        <f>IFERROR(IF(OR($B1364="",$C1364=""),"",IF(MATCH($C1364,'Ajustes'!$A$5:$A$8,0)&lt;=2,$D1364*INDEX('Ajustes'!$C$5:$C$6,MATCH($C1364,'Ajustes'!$A$5:$A$8,0)),IF(MATCH($C1364,'Ajustes'!$A$5:$A$8,0)=3,-($D1364+$E1364*INDEX('Equipo'!$B$5:$B$29,MATCH($B1364,'Equipo'!$A$5:$A$29,0))),0))),"")</f>
        <v/>
      </c>
      <c r="H1364" s="25">
        <f>IFERROR(IF(OR($B1364="",$C1364=""),"",IF(MATCH($C1364,'Ajustes'!$A$5:$A$8,0)=4,$D1364/INDEX('Equipo'!$B$5:$B$29,MATCH($B1364,'Equipo'!$A$5:$A$29,0))+$E1364,0)),"")</f>
        <v/>
      </c>
      <c r="I1364" s="26">
        <f>IF($B1364='Perfil'!$B$3,COUNTIF($B$4:$B1364,'Perfil'!$B$3),"")</f>
        <v/>
      </c>
    </row>
    <row r="1365">
      <c r="A1365" s="22" t="n"/>
      <c r="B1365" s="23" t="n"/>
      <c r="C1365" s="23" t="n"/>
      <c r="D1365" s="24" t="n"/>
      <c r="E1365" s="24" t="n"/>
      <c r="F1365" s="23" t="n"/>
      <c r="G1365" s="19">
        <f>IFERROR(IF(OR($B1365="",$C1365=""),"",IF(MATCH($C1365,'Ajustes'!$A$5:$A$8,0)&lt;=2,$D1365*INDEX('Ajustes'!$C$5:$C$6,MATCH($C1365,'Ajustes'!$A$5:$A$8,0)),IF(MATCH($C1365,'Ajustes'!$A$5:$A$8,0)=3,-($D1365+$E1365*INDEX('Equipo'!$B$5:$B$29,MATCH($B1365,'Equipo'!$A$5:$A$29,0))),0))),"")</f>
        <v/>
      </c>
      <c r="H1365" s="25">
        <f>IFERROR(IF(OR($B1365="",$C1365=""),"",IF(MATCH($C1365,'Ajustes'!$A$5:$A$8,0)=4,$D1365/INDEX('Equipo'!$B$5:$B$29,MATCH($B1365,'Equipo'!$A$5:$A$29,0))+$E1365,0)),"")</f>
        <v/>
      </c>
      <c r="I1365" s="26">
        <f>IF($B1365='Perfil'!$B$3,COUNTIF($B$4:$B1365,'Perfil'!$B$3),"")</f>
        <v/>
      </c>
    </row>
    <row r="1366">
      <c r="A1366" s="22" t="n"/>
      <c r="B1366" s="23" t="n"/>
      <c r="C1366" s="23" t="n"/>
      <c r="D1366" s="24" t="n"/>
      <c r="E1366" s="24" t="n"/>
      <c r="F1366" s="23" t="n"/>
      <c r="G1366" s="19">
        <f>IFERROR(IF(OR($B1366="",$C1366=""),"",IF(MATCH($C1366,'Ajustes'!$A$5:$A$8,0)&lt;=2,$D1366*INDEX('Ajustes'!$C$5:$C$6,MATCH($C1366,'Ajustes'!$A$5:$A$8,0)),IF(MATCH($C1366,'Ajustes'!$A$5:$A$8,0)=3,-($D1366+$E1366*INDEX('Equipo'!$B$5:$B$29,MATCH($B1366,'Equipo'!$A$5:$A$29,0))),0))),"")</f>
        <v/>
      </c>
      <c r="H1366" s="25">
        <f>IFERROR(IF(OR($B1366="",$C1366=""),"",IF(MATCH($C1366,'Ajustes'!$A$5:$A$8,0)=4,$D1366/INDEX('Equipo'!$B$5:$B$29,MATCH($B1366,'Equipo'!$A$5:$A$29,0))+$E1366,0)),"")</f>
        <v/>
      </c>
      <c r="I1366" s="26">
        <f>IF($B1366='Perfil'!$B$3,COUNTIF($B$4:$B1366,'Perfil'!$B$3),"")</f>
        <v/>
      </c>
    </row>
    <row r="1367">
      <c r="A1367" s="22" t="n"/>
      <c r="B1367" s="23" t="n"/>
      <c r="C1367" s="23" t="n"/>
      <c r="D1367" s="24" t="n"/>
      <c r="E1367" s="24" t="n"/>
      <c r="F1367" s="23" t="n"/>
      <c r="G1367" s="19">
        <f>IFERROR(IF(OR($B1367="",$C1367=""),"",IF(MATCH($C1367,'Ajustes'!$A$5:$A$8,0)&lt;=2,$D1367*INDEX('Ajustes'!$C$5:$C$6,MATCH($C1367,'Ajustes'!$A$5:$A$8,0)),IF(MATCH($C1367,'Ajustes'!$A$5:$A$8,0)=3,-($D1367+$E1367*INDEX('Equipo'!$B$5:$B$29,MATCH($B1367,'Equipo'!$A$5:$A$29,0))),0))),"")</f>
        <v/>
      </c>
      <c r="H1367" s="25">
        <f>IFERROR(IF(OR($B1367="",$C1367=""),"",IF(MATCH($C1367,'Ajustes'!$A$5:$A$8,0)=4,$D1367/INDEX('Equipo'!$B$5:$B$29,MATCH($B1367,'Equipo'!$A$5:$A$29,0))+$E1367,0)),"")</f>
        <v/>
      </c>
      <c r="I1367" s="26">
        <f>IF($B1367='Perfil'!$B$3,COUNTIF($B$4:$B1367,'Perfil'!$B$3),"")</f>
        <v/>
      </c>
    </row>
    <row r="1368">
      <c r="A1368" s="22" t="n"/>
      <c r="B1368" s="23" t="n"/>
      <c r="C1368" s="23" t="n"/>
      <c r="D1368" s="24" t="n"/>
      <c r="E1368" s="24" t="n"/>
      <c r="F1368" s="23" t="n"/>
      <c r="G1368" s="19">
        <f>IFERROR(IF(OR($B1368="",$C1368=""),"",IF(MATCH($C1368,'Ajustes'!$A$5:$A$8,0)&lt;=2,$D1368*INDEX('Ajustes'!$C$5:$C$6,MATCH($C1368,'Ajustes'!$A$5:$A$8,0)),IF(MATCH($C1368,'Ajustes'!$A$5:$A$8,0)=3,-($D1368+$E1368*INDEX('Equipo'!$B$5:$B$29,MATCH($B1368,'Equipo'!$A$5:$A$29,0))),0))),"")</f>
        <v/>
      </c>
      <c r="H1368" s="25">
        <f>IFERROR(IF(OR($B1368="",$C1368=""),"",IF(MATCH($C1368,'Ajustes'!$A$5:$A$8,0)=4,$D1368/INDEX('Equipo'!$B$5:$B$29,MATCH($B1368,'Equipo'!$A$5:$A$29,0))+$E1368,0)),"")</f>
        <v/>
      </c>
      <c r="I1368" s="26">
        <f>IF($B1368='Perfil'!$B$3,COUNTIF($B$4:$B1368,'Perfil'!$B$3),"")</f>
        <v/>
      </c>
    </row>
    <row r="1369">
      <c r="A1369" s="22" t="n"/>
      <c r="B1369" s="23" t="n"/>
      <c r="C1369" s="23" t="n"/>
      <c r="D1369" s="24" t="n"/>
      <c r="E1369" s="24" t="n"/>
      <c r="F1369" s="23" t="n"/>
      <c r="G1369" s="19">
        <f>IFERROR(IF(OR($B1369="",$C1369=""),"",IF(MATCH($C1369,'Ajustes'!$A$5:$A$8,0)&lt;=2,$D1369*INDEX('Ajustes'!$C$5:$C$6,MATCH($C1369,'Ajustes'!$A$5:$A$8,0)),IF(MATCH($C1369,'Ajustes'!$A$5:$A$8,0)=3,-($D1369+$E1369*INDEX('Equipo'!$B$5:$B$29,MATCH($B1369,'Equipo'!$A$5:$A$29,0))),0))),"")</f>
        <v/>
      </c>
      <c r="H1369" s="25">
        <f>IFERROR(IF(OR($B1369="",$C1369=""),"",IF(MATCH($C1369,'Ajustes'!$A$5:$A$8,0)=4,$D1369/INDEX('Equipo'!$B$5:$B$29,MATCH($B1369,'Equipo'!$A$5:$A$29,0))+$E1369,0)),"")</f>
        <v/>
      </c>
      <c r="I1369" s="26">
        <f>IF($B1369='Perfil'!$B$3,COUNTIF($B$4:$B1369,'Perfil'!$B$3),"")</f>
        <v/>
      </c>
    </row>
    <row r="1370">
      <c r="A1370" s="22" t="n"/>
      <c r="B1370" s="23" t="n"/>
      <c r="C1370" s="23" t="n"/>
      <c r="D1370" s="24" t="n"/>
      <c r="E1370" s="24" t="n"/>
      <c r="F1370" s="23" t="n"/>
      <c r="G1370" s="19">
        <f>IFERROR(IF(OR($B1370="",$C1370=""),"",IF(MATCH($C1370,'Ajustes'!$A$5:$A$8,0)&lt;=2,$D1370*INDEX('Ajustes'!$C$5:$C$6,MATCH($C1370,'Ajustes'!$A$5:$A$8,0)),IF(MATCH($C1370,'Ajustes'!$A$5:$A$8,0)=3,-($D1370+$E1370*INDEX('Equipo'!$B$5:$B$29,MATCH($B1370,'Equipo'!$A$5:$A$29,0))),0))),"")</f>
        <v/>
      </c>
      <c r="H1370" s="25">
        <f>IFERROR(IF(OR($B1370="",$C1370=""),"",IF(MATCH($C1370,'Ajustes'!$A$5:$A$8,0)=4,$D1370/INDEX('Equipo'!$B$5:$B$29,MATCH($B1370,'Equipo'!$A$5:$A$29,0))+$E1370,0)),"")</f>
        <v/>
      </c>
      <c r="I1370" s="26">
        <f>IF($B1370='Perfil'!$B$3,COUNTIF($B$4:$B1370,'Perfil'!$B$3),"")</f>
        <v/>
      </c>
    </row>
    <row r="1371">
      <c r="A1371" s="22" t="n"/>
      <c r="B1371" s="23" t="n"/>
      <c r="C1371" s="23" t="n"/>
      <c r="D1371" s="24" t="n"/>
      <c r="E1371" s="24" t="n"/>
      <c r="F1371" s="23" t="n"/>
      <c r="G1371" s="19">
        <f>IFERROR(IF(OR($B1371="",$C1371=""),"",IF(MATCH($C1371,'Ajustes'!$A$5:$A$8,0)&lt;=2,$D1371*INDEX('Ajustes'!$C$5:$C$6,MATCH($C1371,'Ajustes'!$A$5:$A$8,0)),IF(MATCH($C1371,'Ajustes'!$A$5:$A$8,0)=3,-($D1371+$E1371*INDEX('Equipo'!$B$5:$B$29,MATCH($B1371,'Equipo'!$A$5:$A$29,0))),0))),"")</f>
        <v/>
      </c>
      <c r="H1371" s="25">
        <f>IFERROR(IF(OR($B1371="",$C1371=""),"",IF(MATCH($C1371,'Ajustes'!$A$5:$A$8,0)=4,$D1371/INDEX('Equipo'!$B$5:$B$29,MATCH($B1371,'Equipo'!$A$5:$A$29,0))+$E1371,0)),"")</f>
        <v/>
      </c>
      <c r="I1371" s="26">
        <f>IF($B1371='Perfil'!$B$3,COUNTIF($B$4:$B1371,'Perfil'!$B$3),"")</f>
        <v/>
      </c>
    </row>
    <row r="1372">
      <c r="A1372" s="22" t="n"/>
      <c r="B1372" s="23" t="n"/>
      <c r="C1372" s="23" t="n"/>
      <c r="D1372" s="24" t="n"/>
      <c r="E1372" s="24" t="n"/>
      <c r="F1372" s="23" t="n"/>
      <c r="G1372" s="19">
        <f>IFERROR(IF(OR($B1372="",$C1372=""),"",IF(MATCH($C1372,'Ajustes'!$A$5:$A$8,0)&lt;=2,$D1372*INDEX('Ajustes'!$C$5:$C$6,MATCH($C1372,'Ajustes'!$A$5:$A$8,0)),IF(MATCH($C1372,'Ajustes'!$A$5:$A$8,0)=3,-($D1372+$E1372*INDEX('Equipo'!$B$5:$B$29,MATCH($B1372,'Equipo'!$A$5:$A$29,0))),0))),"")</f>
        <v/>
      </c>
      <c r="H1372" s="25">
        <f>IFERROR(IF(OR($B1372="",$C1372=""),"",IF(MATCH($C1372,'Ajustes'!$A$5:$A$8,0)=4,$D1372/INDEX('Equipo'!$B$5:$B$29,MATCH($B1372,'Equipo'!$A$5:$A$29,0))+$E1372,0)),"")</f>
        <v/>
      </c>
      <c r="I1372" s="26">
        <f>IF($B1372='Perfil'!$B$3,COUNTIF($B$4:$B1372,'Perfil'!$B$3),"")</f>
        <v/>
      </c>
    </row>
    <row r="1373">
      <c r="A1373" s="22" t="n"/>
      <c r="B1373" s="23" t="n"/>
      <c r="C1373" s="23" t="n"/>
      <c r="D1373" s="24" t="n"/>
      <c r="E1373" s="24" t="n"/>
      <c r="F1373" s="23" t="n"/>
      <c r="G1373" s="19">
        <f>IFERROR(IF(OR($B1373="",$C1373=""),"",IF(MATCH($C1373,'Ajustes'!$A$5:$A$8,0)&lt;=2,$D1373*INDEX('Ajustes'!$C$5:$C$6,MATCH($C1373,'Ajustes'!$A$5:$A$8,0)),IF(MATCH($C1373,'Ajustes'!$A$5:$A$8,0)=3,-($D1373+$E1373*INDEX('Equipo'!$B$5:$B$29,MATCH($B1373,'Equipo'!$A$5:$A$29,0))),0))),"")</f>
        <v/>
      </c>
      <c r="H1373" s="25">
        <f>IFERROR(IF(OR($B1373="",$C1373=""),"",IF(MATCH($C1373,'Ajustes'!$A$5:$A$8,0)=4,$D1373/INDEX('Equipo'!$B$5:$B$29,MATCH($B1373,'Equipo'!$A$5:$A$29,0))+$E1373,0)),"")</f>
        <v/>
      </c>
      <c r="I1373" s="26">
        <f>IF($B1373='Perfil'!$B$3,COUNTIF($B$4:$B1373,'Perfil'!$B$3),"")</f>
        <v/>
      </c>
    </row>
    <row r="1374">
      <c r="A1374" s="22" t="n"/>
      <c r="B1374" s="23" t="n"/>
      <c r="C1374" s="23" t="n"/>
      <c r="D1374" s="24" t="n"/>
      <c r="E1374" s="24" t="n"/>
      <c r="F1374" s="23" t="n"/>
      <c r="G1374" s="19">
        <f>IFERROR(IF(OR($B1374="",$C1374=""),"",IF(MATCH($C1374,'Ajustes'!$A$5:$A$8,0)&lt;=2,$D1374*INDEX('Ajustes'!$C$5:$C$6,MATCH($C1374,'Ajustes'!$A$5:$A$8,0)),IF(MATCH($C1374,'Ajustes'!$A$5:$A$8,0)=3,-($D1374+$E1374*INDEX('Equipo'!$B$5:$B$29,MATCH($B1374,'Equipo'!$A$5:$A$29,0))),0))),"")</f>
        <v/>
      </c>
      <c r="H1374" s="25">
        <f>IFERROR(IF(OR($B1374="",$C1374=""),"",IF(MATCH($C1374,'Ajustes'!$A$5:$A$8,0)=4,$D1374/INDEX('Equipo'!$B$5:$B$29,MATCH($B1374,'Equipo'!$A$5:$A$29,0))+$E1374,0)),"")</f>
        <v/>
      </c>
      <c r="I1374" s="26">
        <f>IF($B1374='Perfil'!$B$3,COUNTIF($B$4:$B1374,'Perfil'!$B$3),"")</f>
        <v/>
      </c>
    </row>
    <row r="1375">
      <c r="A1375" s="22" t="n"/>
      <c r="B1375" s="23" t="n"/>
      <c r="C1375" s="23" t="n"/>
      <c r="D1375" s="24" t="n"/>
      <c r="E1375" s="24" t="n"/>
      <c r="F1375" s="23" t="n"/>
      <c r="G1375" s="19">
        <f>IFERROR(IF(OR($B1375="",$C1375=""),"",IF(MATCH($C1375,'Ajustes'!$A$5:$A$8,0)&lt;=2,$D1375*INDEX('Ajustes'!$C$5:$C$6,MATCH($C1375,'Ajustes'!$A$5:$A$8,0)),IF(MATCH($C1375,'Ajustes'!$A$5:$A$8,0)=3,-($D1375+$E1375*INDEX('Equipo'!$B$5:$B$29,MATCH($B1375,'Equipo'!$A$5:$A$29,0))),0))),"")</f>
        <v/>
      </c>
      <c r="H1375" s="25">
        <f>IFERROR(IF(OR($B1375="",$C1375=""),"",IF(MATCH($C1375,'Ajustes'!$A$5:$A$8,0)=4,$D1375/INDEX('Equipo'!$B$5:$B$29,MATCH($B1375,'Equipo'!$A$5:$A$29,0))+$E1375,0)),"")</f>
        <v/>
      </c>
      <c r="I1375" s="26">
        <f>IF($B1375='Perfil'!$B$3,COUNTIF($B$4:$B1375,'Perfil'!$B$3),"")</f>
        <v/>
      </c>
    </row>
    <row r="1376">
      <c r="A1376" s="22" t="n"/>
      <c r="B1376" s="23" t="n"/>
      <c r="C1376" s="23" t="n"/>
      <c r="D1376" s="24" t="n"/>
      <c r="E1376" s="24" t="n"/>
      <c r="F1376" s="23" t="n"/>
      <c r="G1376" s="19">
        <f>IFERROR(IF(OR($B1376="",$C1376=""),"",IF(MATCH($C1376,'Ajustes'!$A$5:$A$8,0)&lt;=2,$D1376*INDEX('Ajustes'!$C$5:$C$6,MATCH($C1376,'Ajustes'!$A$5:$A$8,0)),IF(MATCH($C1376,'Ajustes'!$A$5:$A$8,0)=3,-($D1376+$E1376*INDEX('Equipo'!$B$5:$B$29,MATCH($B1376,'Equipo'!$A$5:$A$29,0))),0))),"")</f>
        <v/>
      </c>
      <c r="H1376" s="25">
        <f>IFERROR(IF(OR($B1376="",$C1376=""),"",IF(MATCH($C1376,'Ajustes'!$A$5:$A$8,0)=4,$D1376/INDEX('Equipo'!$B$5:$B$29,MATCH($B1376,'Equipo'!$A$5:$A$29,0))+$E1376,0)),"")</f>
        <v/>
      </c>
      <c r="I1376" s="26">
        <f>IF($B1376='Perfil'!$B$3,COUNTIF($B$4:$B1376,'Perfil'!$B$3),"")</f>
        <v/>
      </c>
    </row>
    <row r="1377">
      <c r="A1377" s="22" t="n"/>
      <c r="B1377" s="23" t="n"/>
      <c r="C1377" s="23" t="n"/>
      <c r="D1377" s="24" t="n"/>
      <c r="E1377" s="24" t="n"/>
      <c r="F1377" s="23" t="n"/>
      <c r="G1377" s="19">
        <f>IFERROR(IF(OR($B1377="",$C1377=""),"",IF(MATCH($C1377,'Ajustes'!$A$5:$A$8,0)&lt;=2,$D1377*INDEX('Ajustes'!$C$5:$C$6,MATCH($C1377,'Ajustes'!$A$5:$A$8,0)),IF(MATCH($C1377,'Ajustes'!$A$5:$A$8,0)=3,-($D1377+$E1377*INDEX('Equipo'!$B$5:$B$29,MATCH($B1377,'Equipo'!$A$5:$A$29,0))),0))),"")</f>
        <v/>
      </c>
      <c r="H1377" s="25">
        <f>IFERROR(IF(OR($B1377="",$C1377=""),"",IF(MATCH($C1377,'Ajustes'!$A$5:$A$8,0)=4,$D1377/INDEX('Equipo'!$B$5:$B$29,MATCH($B1377,'Equipo'!$A$5:$A$29,0))+$E1377,0)),"")</f>
        <v/>
      </c>
      <c r="I1377" s="26">
        <f>IF($B1377='Perfil'!$B$3,COUNTIF($B$4:$B1377,'Perfil'!$B$3),"")</f>
        <v/>
      </c>
    </row>
    <row r="1378">
      <c r="A1378" s="22" t="n"/>
      <c r="B1378" s="23" t="n"/>
      <c r="C1378" s="23" t="n"/>
      <c r="D1378" s="24" t="n"/>
      <c r="E1378" s="24" t="n"/>
      <c r="F1378" s="23" t="n"/>
      <c r="G1378" s="19">
        <f>IFERROR(IF(OR($B1378="",$C1378=""),"",IF(MATCH($C1378,'Ajustes'!$A$5:$A$8,0)&lt;=2,$D1378*INDEX('Ajustes'!$C$5:$C$6,MATCH($C1378,'Ajustes'!$A$5:$A$8,0)),IF(MATCH($C1378,'Ajustes'!$A$5:$A$8,0)=3,-($D1378+$E1378*INDEX('Equipo'!$B$5:$B$29,MATCH($B1378,'Equipo'!$A$5:$A$29,0))),0))),"")</f>
        <v/>
      </c>
      <c r="H1378" s="25">
        <f>IFERROR(IF(OR($B1378="",$C1378=""),"",IF(MATCH($C1378,'Ajustes'!$A$5:$A$8,0)=4,$D1378/INDEX('Equipo'!$B$5:$B$29,MATCH($B1378,'Equipo'!$A$5:$A$29,0))+$E1378,0)),"")</f>
        <v/>
      </c>
      <c r="I1378" s="26">
        <f>IF($B1378='Perfil'!$B$3,COUNTIF($B$4:$B1378,'Perfil'!$B$3),"")</f>
        <v/>
      </c>
    </row>
    <row r="1379">
      <c r="A1379" s="22" t="n"/>
      <c r="B1379" s="23" t="n"/>
      <c r="C1379" s="23" t="n"/>
      <c r="D1379" s="24" t="n"/>
      <c r="E1379" s="24" t="n"/>
      <c r="F1379" s="23" t="n"/>
      <c r="G1379" s="19">
        <f>IFERROR(IF(OR($B1379="",$C1379=""),"",IF(MATCH($C1379,'Ajustes'!$A$5:$A$8,0)&lt;=2,$D1379*INDEX('Ajustes'!$C$5:$C$6,MATCH($C1379,'Ajustes'!$A$5:$A$8,0)),IF(MATCH($C1379,'Ajustes'!$A$5:$A$8,0)=3,-($D1379+$E1379*INDEX('Equipo'!$B$5:$B$29,MATCH($B1379,'Equipo'!$A$5:$A$29,0))),0))),"")</f>
        <v/>
      </c>
      <c r="H1379" s="25">
        <f>IFERROR(IF(OR($B1379="",$C1379=""),"",IF(MATCH($C1379,'Ajustes'!$A$5:$A$8,0)=4,$D1379/INDEX('Equipo'!$B$5:$B$29,MATCH($B1379,'Equipo'!$A$5:$A$29,0))+$E1379,0)),"")</f>
        <v/>
      </c>
      <c r="I1379" s="26">
        <f>IF($B1379='Perfil'!$B$3,COUNTIF($B$4:$B1379,'Perfil'!$B$3),"")</f>
        <v/>
      </c>
    </row>
    <row r="1380">
      <c r="A1380" s="22" t="n"/>
      <c r="B1380" s="23" t="n"/>
      <c r="C1380" s="23" t="n"/>
      <c r="D1380" s="24" t="n"/>
      <c r="E1380" s="24" t="n"/>
      <c r="F1380" s="23" t="n"/>
      <c r="G1380" s="19">
        <f>IFERROR(IF(OR($B1380="",$C1380=""),"",IF(MATCH($C1380,'Ajustes'!$A$5:$A$8,0)&lt;=2,$D1380*INDEX('Ajustes'!$C$5:$C$6,MATCH($C1380,'Ajustes'!$A$5:$A$8,0)),IF(MATCH($C1380,'Ajustes'!$A$5:$A$8,0)=3,-($D1380+$E1380*INDEX('Equipo'!$B$5:$B$29,MATCH($B1380,'Equipo'!$A$5:$A$29,0))),0))),"")</f>
        <v/>
      </c>
      <c r="H1380" s="25">
        <f>IFERROR(IF(OR($B1380="",$C1380=""),"",IF(MATCH($C1380,'Ajustes'!$A$5:$A$8,0)=4,$D1380/INDEX('Equipo'!$B$5:$B$29,MATCH($B1380,'Equipo'!$A$5:$A$29,0))+$E1380,0)),"")</f>
        <v/>
      </c>
      <c r="I1380" s="26">
        <f>IF($B1380='Perfil'!$B$3,COUNTIF($B$4:$B1380,'Perfil'!$B$3),"")</f>
        <v/>
      </c>
    </row>
    <row r="1381">
      <c r="A1381" s="22" t="n"/>
      <c r="B1381" s="23" t="n"/>
      <c r="C1381" s="23" t="n"/>
      <c r="D1381" s="24" t="n"/>
      <c r="E1381" s="24" t="n"/>
      <c r="F1381" s="23" t="n"/>
      <c r="G1381" s="19">
        <f>IFERROR(IF(OR($B1381="",$C1381=""),"",IF(MATCH($C1381,'Ajustes'!$A$5:$A$8,0)&lt;=2,$D1381*INDEX('Ajustes'!$C$5:$C$6,MATCH($C1381,'Ajustes'!$A$5:$A$8,0)),IF(MATCH($C1381,'Ajustes'!$A$5:$A$8,0)=3,-($D1381+$E1381*INDEX('Equipo'!$B$5:$B$29,MATCH($B1381,'Equipo'!$A$5:$A$29,0))),0))),"")</f>
        <v/>
      </c>
      <c r="H1381" s="25">
        <f>IFERROR(IF(OR($B1381="",$C1381=""),"",IF(MATCH($C1381,'Ajustes'!$A$5:$A$8,0)=4,$D1381/INDEX('Equipo'!$B$5:$B$29,MATCH($B1381,'Equipo'!$A$5:$A$29,0))+$E1381,0)),"")</f>
        <v/>
      </c>
      <c r="I1381" s="26">
        <f>IF($B1381='Perfil'!$B$3,COUNTIF($B$4:$B1381,'Perfil'!$B$3),"")</f>
        <v/>
      </c>
    </row>
    <row r="1382">
      <c r="A1382" s="22" t="n"/>
      <c r="B1382" s="23" t="n"/>
      <c r="C1382" s="23" t="n"/>
      <c r="D1382" s="24" t="n"/>
      <c r="E1382" s="24" t="n"/>
      <c r="F1382" s="23" t="n"/>
      <c r="G1382" s="19">
        <f>IFERROR(IF(OR($B1382="",$C1382=""),"",IF(MATCH($C1382,'Ajustes'!$A$5:$A$8,0)&lt;=2,$D1382*INDEX('Ajustes'!$C$5:$C$6,MATCH($C1382,'Ajustes'!$A$5:$A$8,0)),IF(MATCH($C1382,'Ajustes'!$A$5:$A$8,0)=3,-($D1382+$E1382*INDEX('Equipo'!$B$5:$B$29,MATCH($B1382,'Equipo'!$A$5:$A$29,0))),0))),"")</f>
        <v/>
      </c>
      <c r="H1382" s="25">
        <f>IFERROR(IF(OR($B1382="",$C1382=""),"",IF(MATCH($C1382,'Ajustes'!$A$5:$A$8,0)=4,$D1382/INDEX('Equipo'!$B$5:$B$29,MATCH($B1382,'Equipo'!$A$5:$A$29,0))+$E1382,0)),"")</f>
        <v/>
      </c>
      <c r="I1382" s="26">
        <f>IF($B1382='Perfil'!$B$3,COUNTIF($B$4:$B1382,'Perfil'!$B$3),"")</f>
        <v/>
      </c>
    </row>
    <row r="1383">
      <c r="A1383" s="22" t="n"/>
      <c r="B1383" s="23" t="n"/>
      <c r="C1383" s="23" t="n"/>
      <c r="D1383" s="24" t="n"/>
      <c r="E1383" s="24" t="n"/>
      <c r="F1383" s="23" t="n"/>
      <c r="G1383" s="19">
        <f>IFERROR(IF(OR($B1383="",$C1383=""),"",IF(MATCH($C1383,'Ajustes'!$A$5:$A$8,0)&lt;=2,$D1383*INDEX('Ajustes'!$C$5:$C$6,MATCH($C1383,'Ajustes'!$A$5:$A$8,0)),IF(MATCH($C1383,'Ajustes'!$A$5:$A$8,0)=3,-($D1383+$E1383*INDEX('Equipo'!$B$5:$B$29,MATCH($B1383,'Equipo'!$A$5:$A$29,0))),0))),"")</f>
        <v/>
      </c>
      <c r="H1383" s="25">
        <f>IFERROR(IF(OR($B1383="",$C1383=""),"",IF(MATCH($C1383,'Ajustes'!$A$5:$A$8,0)=4,$D1383/INDEX('Equipo'!$B$5:$B$29,MATCH($B1383,'Equipo'!$A$5:$A$29,0))+$E1383,0)),"")</f>
        <v/>
      </c>
      <c r="I1383" s="26">
        <f>IF($B1383='Perfil'!$B$3,COUNTIF($B$4:$B1383,'Perfil'!$B$3),"")</f>
        <v/>
      </c>
    </row>
    <row r="1384">
      <c r="A1384" s="22" t="n"/>
      <c r="B1384" s="23" t="n"/>
      <c r="C1384" s="23" t="n"/>
      <c r="D1384" s="24" t="n"/>
      <c r="E1384" s="24" t="n"/>
      <c r="F1384" s="23" t="n"/>
      <c r="G1384" s="19">
        <f>IFERROR(IF(OR($B1384="",$C1384=""),"",IF(MATCH($C1384,'Ajustes'!$A$5:$A$8,0)&lt;=2,$D1384*INDEX('Ajustes'!$C$5:$C$6,MATCH($C1384,'Ajustes'!$A$5:$A$8,0)),IF(MATCH($C1384,'Ajustes'!$A$5:$A$8,0)=3,-($D1384+$E1384*INDEX('Equipo'!$B$5:$B$29,MATCH($B1384,'Equipo'!$A$5:$A$29,0))),0))),"")</f>
        <v/>
      </c>
      <c r="H1384" s="25">
        <f>IFERROR(IF(OR($B1384="",$C1384=""),"",IF(MATCH($C1384,'Ajustes'!$A$5:$A$8,0)=4,$D1384/INDEX('Equipo'!$B$5:$B$29,MATCH($B1384,'Equipo'!$A$5:$A$29,0))+$E1384,0)),"")</f>
        <v/>
      </c>
      <c r="I1384" s="26">
        <f>IF($B1384='Perfil'!$B$3,COUNTIF($B$4:$B1384,'Perfil'!$B$3),"")</f>
        <v/>
      </c>
    </row>
    <row r="1385">
      <c r="A1385" s="22" t="n"/>
      <c r="B1385" s="23" t="n"/>
      <c r="C1385" s="23" t="n"/>
      <c r="D1385" s="24" t="n"/>
      <c r="E1385" s="24" t="n"/>
      <c r="F1385" s="23" t="n"/>
      <c r="G1385" s="19">
        <f>IFERROR(IF(OR($B1385="",$C1385=""),"",IF(MATCH($C1385,'Ajustes'!$A$5:$A$8,0)&lt;=2,$D1385*INDEX('Ajustes'!$C$5:$C$6,MATCH($C1385,'Ajustes'!$A$5:$A$8,0)),IF(MATCH($C1385,'Ajustes'!$A$5:$A$8,0)=3,-($D1385+$E1385*INDEX('Equipo'!$B$5:$B$29,MATCH($B1385,'Equipo'!$A$5:$A$29,0))),0))),"")</f>
        <v/>
      </c>
      <c r="H1385" s="25">
        <f>IFERROR(IF(OR($B1385="",$C1385=""),"",IF(MATCH($C1385,'Ajustes'!$A$5:$A$8,0)=4,$D1385/INDEX('Equipo'!$B$5:$B$29,MATCH($B1385,'Equipo'!$A$5:$A$29,0))+$E1385,0)),"")</f>
        <v/>
      </c>
      <c r="I1385" s="26">
        <f>IF($B1385='Perfil'!$B$3,COUNTIF($B$4:$B1385,'Perfil'!$B$3),"")</f>
        <v/>
      </c>
    </row>
    <row r="1386">
      <c r="A1386" s="22" t="n"/>
      <c r="B1386" s="23" t="n"/>
      <c r="C1386" s="23" t="n"/>
      <c r="D1386" s="24" t="n"/>
      <c r="E1386" s="24" t="n"/>
      <c r="F1386" s="23" t="n"/>
      <c r="G1386" s="19">
        <f>IFERROR(IF(OR($B1386="",$C1386=""),"",IF(MATCH($C1386,'Ajustes'!$A$5:$A$8,0)&lt;=2,$D1386*INDEX('Ajustes'!$C$5:$C$6,MATCH($C1386,'Ajustes'!$A$5:$A$8,0)),IF(MATCH($C1386,'Ajustes'!$A$5:$A$8,0)=3,-($D1386+$E1386*INDEX('Equipo'!$B$5:$B$29,MATCH($B1386,'Equipo'!$A$5:$A$29,0))),0))),"")</f>
        <v/>
      </c>
      <c r="H1386" s="25">
        <f>IFERROR(IF(OR($B1386="",$C1386=""),"",IF(MATCH($C1386,'Ajustes'!$A$5:$A$8,0)=4,$D1386/INDEX('Equipo'!$B$5:$B$29,MATCH($B1386,'Equipo'!$A$5:$A$29,0))+$E1386,0)),"")</f>
        <v/>
      </c>
      <c r="I1386" s="26">
        <f>IF($B1386='Perfil'!$B$3,COUNTIF($B$4:$B1386,'Perfil'!$B$3),"")</f>
        <v/>
      </c>
    </row>
    <row r="1387">
      <c r="A1387" s="22" t="n"/>
      <c r="B1387" s="23" t="n"/>
      <c r="C1387" s="23" t="n"/>
      <c r="D1387" s="24" t="n"/>
      <c r="E1387" s="24" t="n"/>
      <c r="F1387" s="23" t="n"/>
      <c r="G1387" s="19">
        <f>IFERROR(IF(OR($B1387="",$C1387=""),"",IF(MATCH($C1387,'Ajustes'!$A$5:$A$8,0)&lt;=2,$D1387*INDEX('Ajustes'!$C$5:$C$6,MATCH($C1387,'Ajustes'!$A$5:$A$8,0)),IF(MATCH($C1387,'Ajustes'!$A$5:$A$8,0)=3,-($D1387+$E1387*INDEX('Equipo'!$B$5:$B$29,MATCH($B1387,'Equipo'!$A$5:$A$29,0))),0))),"")</f>
        <v/>
      </c>
      <c r="H1387" s="25">
        <f>IFERROR(IF(OR($B1387="",$C1387=""),"",IF(MATCH($C1387,'Ajustes'!$A$5:$A$8,0)=4,$D1387/INDEX('Equipo'!$B$5:$B$29,MATCH($B1387,'Equipo'!$A$5:$A$29,0))+$E1387,0)),"")</f>
        <v/>
      </c>
      <c r="I1387" s="26">
        <f>IF($B1387='Perfil'!$B$3,COUNTIF($B$4:$B1387,'Perfil'!$B$3),"")</f>
        <v/>
      </c>
    </row>
    <row r="1388">
      <c r="A1388" s="22" t="n"/>
      <c r="B1388" s="23" t="n"/>
      <c r="C1388" s="23" t="n"/>
      <c r="D1388" s="24" t="n"/>
      <c r="E1388" s="24" t="n"/>
      <c r="F1388" s="23" t="n"/>
      <c r="G1388" s="19">
        <f>IFERROR(IF(OR($B1388="",$C1388=""),"",IF(MATCH($C1388,'Ajustes'!$A$5:$A$8,0)&lt;=2,$D1388*INDEX('Ajustes'!$C$5:$C$6,MATCH($C1388,'Ajustes'!$A$5:$A$8,0)),IF(MATCH($C1388,'Ajustes'!$A$5:$A$8,0)=3,-($D1388+$E1388*INDEX('Equipo'!$B$5:$B$29,MATCH($B1388,'Equipo'!$A$5:$A$29,0))),0))),"")</f>
        <v/>
      </c>
      <c r="H1388" s="25">
        <f>IFERROR(IF(OR($B1388="",$C1388=""),"",IF(MATCH($C1388,'Ajustes'!$A$5:$A$8,0)=4,$D1388/INDEX('Equipo'!$B$5:$B$29,MATCH($B1388,'Equipo'!$A$5:$A$29,0))+$E1388,0)),"")</f>
        <v/>
      </c>
      <c r="I1388" s="26">
        <f>IF($B1388='Perfil'!$B$3,COUNTIF($B$4:$B1388,'Perfil'!$B$3),"")</f>
        <v/>
      </c>
    </row>
    <row r="1389">
      <c r="A1389" s="22" t="n"/>
      <c r="B1389" s="23" t="n"/>
      <c r="C1389" s="23" t="n"/>
      <c r="D1389" s="24" t="n"/>
      <c r="E1389" s="24" t="n"/>
      <c r="F1389" s="23" t="n"/>
      <c r="G1389" s="19">
        <f>IFERROR(IF(OR($B1389="",$C1389=""),"",IF(MATCH($C1389,'Ajustes'!$A$5:$A$8,0)&lt;=2,$D1389*INDEX('Ajustes'!$C$5:$C$6,MATCH($C1389,'Ajustes'!$A$5:$A$8,0)),IF(MATCH($C1389,'Ajustes'!$A$5:$A$8,0)=3,-($D1389+$E1389*INDEX('Equipo'!$B$5:$B$29,MATCH($B1389,'Equipo'!$A$5:$A$29,0))),0))),"")</f>
        <v/>
      </c>
      <c r="H1389" s="25">
        <f>IFERROR(IF(OR($B1389="",$C1389=""),"",IF(MATCH($C1389,'Ajustes'!$A$5:$A$8,0)=4,$D1389/INDEX('Equipo'!$B$5:$B$29,MATCH($B1389,'Equipo'!$A$5:$A$29,0))+$E1389,0)),"")</f>
        <v/>
      </c>
      <c r="I1389" s="26">
        <f>IF($B1389='Perfil'!$B$3,COUNTIF($B$4:$B1389,'Perfil'!$B$3),"")</f>
        <v/>
      </c>
    </row>
    <row r="1390">
      <c r="A1390" s="22" t="n"/>
      <c r="B1390" s="23" t="n"/>
      <c r="C1390" s="23" t="n"/>
      <c r="D1390" s="24" t="n"/>
      <c r="E1390" s="24" t="n"/>
      <c r="F1390" s="23" t="n"/>
      <c r="G1390" s="19">
        <f>IFERROR(IF(OR($B1390="",$C1390=""),"",IF(MATCH($C1390,'Ajustes'!$A$5:$A$8,0)&lt;=2,$D1390*INDEX('Ajustes'!$C$5:$C$6,MATCH($C1390,'Ajustes'!$A$5:$A$8,0)),IF(MATCH($C1390,'Ajustes'!$A$5:$A$8,0)=3,-($D1390+$E1390*INDEX('Equipo'!$B$5:$B$29,MATCH($B1390,'Equipo'!$A$5:$A$29,0))),0))),"")</f>
        <v/>
      </c>
      <c r="H1390" s="25">
        <f>IFERROR(IF(OR($B1390="",$C1390=""),"",IF(MATCH($C1390,'Ajustes'!$A$5:$A$8,0)=4,$D1390/INDEX('Equipo'!$B$5:$B$29,MATCH($B1390,'Equipo'!$A$5:$A$29,0))+$E1390,0)),"")</f>
        <v/>
      </c>
      <c r="I1390" s="26">
        <f>IF($B1390='Perfil'!$B$3,COUNTIF($B$4:$B1390,'Perfil'!$B$3),"")</f>
        <v/>
      </c>
    </row>
    <row r="1391">
      <c r="A1391" s="22" t="n"/>
      <c r="B1391" s="23" t="n"/>
      <c r="C1391" s="23" t="n"/>
      <c r="D1391" s="24" t="n"/>
      <c r="E1391" s="24" t="n"/>
      <c r="F1391" s="23" t="n"/>
      <c r="G1391" s="19">
        <f>IFERROR(IF(OR($B1391="",$C1391=""),"",IF(MATCH($C1391,'Ajustes'!$A$5:$A$8,0)&lt;=2,$D1391*INDEX('Ajustes'!$C$5:$C$6,MATCH($C1391,'Ajustes'!$A$5:$A$8,0)),IF(MATCH($C1391,'Ajustes'!$A$5:$A$8,0)=3,-($D1391+$E1391*INDEX('Equipo'!$B$5:$B$29,MATCH($B1391,'Equipo'!$A$5:$A$29,0))),0))),"")</f>
        <v/>
      </c>
      <c r="H1391" s="25">
        <f>IFERROR(IF(OR($B1391="",$C1391=""),"",IF(MATCH($C1391,'Ajustes'!$A$5:$A$8,0)=4,$D1391/INDEX('Equipo'!$B$5:$B$29,MATCH($B1391,'Equipo'!$A$5:$A$29,0))+$E1391,0)),"")</f>
        <v/>
      </c>
      <c r="I1391" s="26">
        <f>IF($B1391='Perfil'!$B$3,COUNTIF($B$4:$B1391,'Perfil'!$B$3),"")</f>
        <v/>
      </c>
    </row>
    <row r="1392">
      <c r="A1392" s="22" t="n"/>
      <c r="B1392" s="23" t="n"/>
      <c r="C1392" s="23" t="n"/>
      <c r="D1392" s="24" t="n"/>
      <c r="E1392" s="24" t="n"/>
      <c r="F1392" s="23" t="n"/>
      <c r="G1392" s="19">
        <f>IFERROR(IF(OR($B1392="",$C1392=""),"",IF(MATCH($C1392,'Ajustes'!$A$5:$A$8,0)&lt;=2,$D1392*INDEX('Ajustes'!$C$5:$C$6,MATCH($C1392,'Ajustes'!$A$5:$A$8,0)),IF(MATCH($C1392,'Ajustes'!$A$5:$A$8,0)=3,-($D1392+$E1392*INDEX('Equipo'!$B$5:$B$29,MATCH($B1392,'Equipo'!$A$5:$A$29,0))),0))),"")</f>
        <v/>
      </c>
      <c r="H1392" s="25">
        <f>IFERROR(IF(OR($B1392="",$C1392=""),"",IF(MATCH($C1392,'Ajustes'!$A$5:$A$8,0)=4,$D1392/INDEX('Equipo'!$B$5:$B$29,MATCH($B1392,'Equipo'!$A$5:$A$29,0))+$E1392,0)),"")</f>
        <v/>
      </c>
      <c r="I1392" s="26">
        <f>IF($B1392='Perfil'!$B$3,COUNTIF($B$4:$B1392,'Perfil'!$B$3),"")</f>
        <v/>
      </c>
    </row>
    <row r="1393">
      <c r="A1393" s="22" t="n"/>
      <c r="B1393" s="23" t="n"/>
      <c r="C1393" s="23" t="n"/>
      <c r="D1393" s="24" t="n"/>
      <c r="E1393" s="24" t="n"/>
      <c r="F1393" s="23" t="n"/>
      <c r="G1393" s="19">
        <f>IFERROR(IF(OR($B1393="",$C1393=""),"",IF(MATCH($C1393,'Ajustes'!$A$5:$A$8,0)&lt;=2,$D1393*INDEX('Ajustes'!$C$5:$C$6,MATCH($C1393,'Ajustes'!$A$5:$A$8,0)),IF(MATCH($C1393,'Ajustes'!$A$5:$A$8,0)=3,-($D1393+$E1393*INDEX('Equipo'!$B$5:$B$29,MATCH($B1393,'Equipo'!$A$5:$A$29,0))),0))),"")</f>
        <v/>
      </c>
      <c r="H1393" s="25">
        <f>IFERROR(IF(OR($B1393="",$C1393=""),"",IF(MATCH($C1393,'Ajustes'!$A$5:$A$8,0)=4,$D1393/INDEX('Equipo'!$B$5:$B$29,MATCH($B1393,'Equipo'!$A$5:$A$29,0))+$E1393,0)),"")</f>
        <v/>
      </c>
      <c r="I1393" s="26">
        <f>IF($B1393='Perfil'!$B$3,COUNTIF($B$4:$B1393,'Perfil'!$B$3),"")</f>
        <v/>
      </c>
    </row>
    <row r="1394">
      <c r="A1394" s="22" t="n"/>
      <c r="B1394" s="23" t="n"/>
      <c r="C1394" s="23" t="n"/>
      <c r="D1394" s="24" t="n"/>
      <c r="E1394" s="24" t="n"/>
      <c r="F1394" s="23" t="n"/>
      <c r="G1394" s="19">
        <f>IFERROR(IF(OR($B1394="",$C1394=""),"",IF(MATCH($C1394,'Ajustes'!$A$5:$A$8,0)&lt;=2,$D1394*INDEX('Ajustes'!$C$5:$C$6,MATCH($C1394,'Ajustes'!$A$5:$A$8,0)),IF(MATCH($C1394,'Ajustes'!$A$5:$A$8,0)=3,-($D1394+$E1394*INDEX('Equipo'!$B$5:$B$29,MATCH($B1394,'Equipo'!$A$5:$A$29,0))),0))),"")</f>
        <v/>
      </c>
      <c r="H1394" s="25">
        <f>IFERROR(IF(OR($B1394="",$C1394=""),"",IF(MATCH($C1394,'Ajustes'!$A$5:$A$8,0)=4,$D1394/INDEX('Equipo'!$B$5:$B$29,MATCH($B1394,'Equipo'!$A$5:$A$29,0))+$E1394,0)),"")</f>
        <v/>
      </c>
      <c r="I1394" s="26">
        <f>IF($B1394='Perfil'!$B$3,COUNTIF($B$4:$B1394,'Perfil'!$B$3),"")</f>
        <v/>
      </c>
    </row>
    <row r="1395">
      <c r="A1395" s="22" t="n"/>
      <c r="B1395" s="23" t="n"/>
      <c r="C1395" s="23" t="n"/>
      <c r="D1395" s="24" t="n"/>
      <c r="E1395" s="24" t="n"/>
      <c r="F1395" s="23" t="n"/>
      <c r="G1395" s="19">
        <f>IFERROR(IF(OR($B1395="",$C1395=""),"",IF(MATCH($C1395,'Ajustes'!$A$5:$A$8,0)&lt;=2,$D1395*INDEX('Ajustes'!$C$5:$C$6,MATCH($C1395,'Ajustes'!$A$5:$A$8,0)),IF(MATCH($C1395,'Ajustes'!$A$5:$A$8,0)=3,-($D1395+$E1395*INDEX('Equipo'!$B$5:$B$29,MATCH($B1395,'Equipo'!$A$5:$A$29,0))),0))),"")</f>
        <v/>
      </c>
      <c r="H1395" s="25">
        <f>IFERROR(IF(OR($B1395="",$C1395=""),"",IF(MATCH($C1395,'Ajustes'!$A$5:$A$8,0)=4,$D1395/INDEX('Equipo'!$B$5:$B$29,MATCH($B1395,'Equipo'!$A$5:$A$29,0))+$E1395,0)),"")</f>
        <v/>
      </c>
      <c r="I1395" s="26">
        <f>IF($B1395='Perfil'!$B$3,COUNTIF($B$4:$B1395,'Perfil'!$B$3),"")</f>
        <v/>
      </c>
    </row>
    <row r="1396">
      <c r="A1396" s="22" t="n"/>
      <c r="B1396" s="23" t="n"/>
      <c r="C1396" s="23" t="n"/>
      <c r="D1396" s="24" t="n"/>
      <c r="E1396" s="24" t="n"/>
      <c r="F1396" s="23" t="n"/>
      <c r="G1396" s="19">
        <f>IFERROR(IF(OR($B1396="",$C1396=""),"",IF(MATCH($C1396,'Ajustes'!$A$5:$A$8,0)&lt;=2,$D1396*INDEX('Ajustes'!$C$5:$C$6,MATCH($C1396,'Ajustes'!$A$5:$A$8,0)),IF(MATCH($C1396,'Ajustes'!$A$5:$A$8,0)=3,-($D1396+$E1396*INDEX('Equipo'!$B$5:$B$29,MATCH($B1396,'Equipo'!$A$5:$A$29,0))),0))),"")</f>
        <v/>
      </c>
      <c r="H1396" s="25">
        <f>IFERROR(IF(OR($B1396="",$C1396=""),"",IF(MATCH($C1396,'Ajustes'!$A$5:$A$8,0)=4,$D1396/INDEX('Equipo'!$B$5:$B$29,MATCH($B1396,'Equipo'!$A$5:$A$29,0))+$E1396,0)),"")</f>
        <v/>
      </c>
      <c r="I1396" s="26">
        <f>IF($B1396='Perfil'!$B$3,COUNTIF($B$4:$B1396,'Perfil'!$B$3),"")</f>
        <v/>
      </c>
    </row>
    <row r="1397">
      <c r="A1397" s="22" t="n"/>
      <c r="B1397" s="23" t="n"/>
      <c r="C1397" s="23" t="n"/>
      <c r="D1397" s="24" t="n"/>
      <c r="E1397" s="24" t="n"/>
      <c r="F1397" s="23" t="n"/>
      <c r="G1397" s="19">
        <f>IFERROR(IF(OR($B1397="",$C1397=""),"",IF(MATCH($C1397,'Ajustes'!$A$5:$A$8,0)&lt;=2,$D1397*INDEX('Ajustes'!$C$5:$C$6,MATCH($C1397,'Ajustes'!$A$5:$A$8,0)),IF(MATCH($C1397,'Ajustes'!$A$5:$A$8,0)=3,-($D1397+$E1397*INDEX('Equipo'!$B$5:$B$29,MATCH($B1397,'Equipo'!$A$5:$A$29,0))),0))),"")</f>
        <v/>
      </c>
      <c r="H1397" s="25">
        <f>IFERROR(IF(OR($B1397="",$C1397=""),"",IF(MATCH($C1397,'Ajustes'!$A$5:$A$8,0)=4,$D1397/INDEX('Equipo'!$B$5:$B$29,MATCH($B1397,'Equipo'!$A$5:$A$29,0))+$E1397,0)),"")</f>
        <v/>
      </c>
      <c r="I1397" s="26">
        <f>IF($B1397='Perfil'!$B$3,COUNTIF($B$4:$B1397,'Perfil'!$B$3),"")</f>
        <v/>
      </c>
    </row>
    <row r="1398">
      <c r="A1398" s="22" t="n"/>
      <c r="B1398" s="23" t="n"/>
      <c r="C1398" s="23" t="n"/>
      <c r="D1398" s="24" t="n"/>
      <c r="E1398" s="24" t="n"/>
      <c r="F1398" s="23" t="n"/>
      <c r="G1398" s="19">
        <f>IFERROR(IF(OR($B1398="",$C1398=""),"",IF(MATCH($C1398,'Ajustes'!$A$5:$A$8,0)&lt;=2,$D1398*INDEX('Ajustes'!$C$5:$C$6,MATCH($C1398,'Ajustes'!$A$5:$A$8,0)),IF(MATCH($C1398,'Ajustes'!$A$5:$A$8,0)=3,-($D1398+$E1398*INDEX('Equipo'!$B$5:$B$29,MATCH($B1398,'Equipo'!$A$5:$A$29,0))),0))),"")</f>
        <v/>
      </c>
      <c r="H1398" s="25">
        <f>IFERROR(IF(OR($B1398="",$C1398=""),"",IF(MATCH($C1398,'Ajustes'!$A$5:$A$8,0)=4,$D1398/INDEX('Equipo'!$B$5:$B$29,MATCH($B1398,'Equipo'!$A$5:$A$29,0))+$E1398,0)),"")</f>
        <v/>
      </c>
      <c r="I1398" s="26">
        <f>IF($B1398='Perfil'!$B$3,COUNTIF($B$4:$B1398,'Perfil'!$B$3),"")</f>
        <v/>
      </c>
    </row>
    <row r="1399">
      <c r="A1399" s="22" t="n"/>
      <c r="B1399" s="23" t="n"/>
      <c r="C1399" s="23" t="n"/>
      <c r="D1399" s="24" t="n"/>
      <c r="E1399" s="24" t="n"/>
      <c r="F1399" s="23" t="n"/>
      <c r="G1399" s="19">
        <f>IFERROR(IF(OR($B1399="",$C1399=""),"",IF(MATCH($C1399,'Ajustes'!$A$5:$A$8,0)&lt;=2,$D1399*INDEX('Ajustes'!$C$5:$C$6,MATCH($C1399,'Ajustes'!$A$5:$A$8,0)),IF(MATCH($C1399,'Ajustes'!$A$5:$A$8,0)=3,-($D1399+$E1399*INDEX('Equipo'!$B$5:$B$29,MATCH($B1399,'Equipo'!$A$5:$A$29,0))),0))),"")</f>
        <v/>
      </c>
      <c r="H1399" s="25">
        <f>IFERROR(IF(OR($B1399="",$C1399=""),"",IF(MATCH($C1399,'Ajustes'!$A$5:$A$8,0)=4,$D1399/INDEX('Equipo'!$B$5:$B$29,MATCH($B1399,'Equipo'!$A$5:$A$29,0))+$E1399,0)),"")</f>
        <v/>
      </c>
      <c r="I1399" s="26">
        <f>IF($B1399='Perfil'!$B$3,COUNTIF($B$4:$B1399,'Perfil'!$B$3),"")</f>
        <v/>
      </c>
    </row>
    <row r="1400">
      <c r="A1400" s="22" t="n"/>
      <c r="B1400" s="23" t="n"/>
      <c r="C1400" s="23" t="n"/>
      <c r="D1400" s="24" t="n"/>
      <c r="E1400" s="24" t="n"/>
      <c r="F1400" s="23" t="n"/>
      <c r="G1400" s="19">
        <f>IFERROR(IF(OR($B1400="",$C1400=""),"",IF(MATCH($C1400,'Ajustes'!$A$5:$A$8,0)&lt;=2,$D1400*INDEX('Ajustes'!$C$5:$C$6,MATCH($C1400,'Ajustes'!$A$5:$A$8,0)),IF(MATCH($C1400,'Ajustes'!$A$5:$A$8,0)=3,-($D1400+$E1400*INDEX('Equipo'!$B$5:$B$29,MATCH($B1400,'Equipo'!$A$5:$A$29,0))),0))),"")</f>
        <v/>
      </c>
      <c r="H1400" s="25">
        <f>IFERROR(IF(OR($B1400="",$C1400=""),"",IF(MATCH($C1400,'Ajustes'!$A$5:$A$8,0)=4,$D1400/INDEX('Equipo'!$B$5:$B$29,MATCH($B1400,'Equipo'!$A$5:$A$29,0))+$E1400,0)),"")</f>
        <v/>
      </c>
      <c r="I1400" s="26">
        <f>IF($B1400='Perfil'!$B$3,COUNTIF($B$4:$B1400,'Perfil'!$B$3),"")</f>
        <v/>
      </c>
    </row>
    <row r="1401">
      <c r="A1401" s="22" t="n"/>
      <c r="B1401" s="23" t="n"/>
      <c r="C1401" s="23" t="n"/>
      <c r="D1401" s="24" t="n"/>
      <c r="E1401" s="24" t="n"/>
      <c r="F1401" s="23" t="n"/>
      <c r="G1401" s="19">
        <f>IFERROR(IF(OR($B1401="",$C1401=""),"",IF(MATCH($C1401,'Ajustes'!$A$5:$A$8,0)&lt;=2,$D1401*INDEX('Ajustes'!$C$5:$C$6,MATCH($C1401,'Ajustes'!$A$5:$A$8,0)),IF(MATCH($C1401,'Ajustes'!$A$5:$A$8,0)=3,-($D1401+$E1401*INDEX('Equipo'!$B$5:$B$29,MATCH($B1401,'Equipo'!$A$5:$A$29,0))),0))),"")</f>
        <v/>
      </c>
      <c r="H1401" s="25">
        <f>IFERROR(IF(OR($B1401="",$C1401=""),"",IF(MATCH($C1401,'Ajustes'!$A$5:$A$8,0)=4,$D1401/INDEX('Equipo'!$B$5:$B$29,MATCH($B1401,'Equipo'!$A$5:$A$29,0))+$E1401,0)),"")</f>
        <v/>
      </c>
      <c r="I1401" s="26">
        <f>IF($B1401='Perfil'!$B$3,COUNTIF($B$4:$B1401,'Perfil'!$B$3),"")</f>
        <v/>
      </c>
    </row>
    <row r="1402">
      <c r="A1402" s="22" t="n"/>
      <c r="B1402" s="23" t="n"/>
      <c r="C1402" s="23" t="n"/>
      <c r="D1402" s="24" t="n"/>
      <c r="E1402" s="24" t="n"/>
      <c r="F1402" s="23" t="n"/>
      <c r="G1402" s="19">
        <f>IFERROR(IF(OR($B1402="",$C1402=""),"",IF(MATCH($C1402,'Ajustes'!$A$5:$A$8,0)&lt;=2,$D1402*INDEX('Ajustes'!$C$5:$C$6,MATCH($C1402,'Ajustes'!$A$5:$A$8,0)),IF(MATCH($C1402,'Ajustes'!$A$5:$A$8,0)=3,-($D1402+$E1402*INDEX('Equipo'!$B$5:$B$29,MATCH($B1402,'Equipo'!$A$5:$A$29,0))),0))),"")</f>
        <v/>
      </c>
      <c r="H1402" s="25">
        <f>IFERROR(IF(OR($B1402="",$C1402=""),"",IF(MATCH($C1402,'Ajustes'!$A$5:$A$8,0)=4,$D1402/INDEX('Equipo'!$B$5:$B$29,MATCH($B1402,'Equipo'!$A$5:$A$29,0))+$E1402,0)),"")</f>
        <v/>
      </c>
      <c r="I1402" s="26">
        <f>IF($B1402='Perfil'!$B$3,COUNTIF($B$4:$B1402,'Perfil'!$B$3),"")</f>
        <v/>
      </c>
    </row>
    <row r="1403">
      <c r="A1403" s="22" t="n"/>
      <c r="B1403" s="23" t="n"/>
      <c r="C1403" s="23" t="n"/>
      <c r="D1403" s="24" t="n"/>
      <c r="E1403" s="24" t="n"/>
      <c r="F1403" s="23" t="n"/>
      <c r="G1403" s="19">
        <f>IFERROR(IF(OR($B1403="",$C1403=""),"",IF(MATCH($C1403,'Ajustes'!$A$5:$A$8,0)&lt;=2,$D1403*INDEX('Ajustes'!$C$5:$C$6,MATCH($C1403,'Ajustes'!$A$5:$A$8,0)),IF(MATCH($C1403,'Ajustes'!$A$5:$A$8,0)=3,-($D1403+$E1403*INDEX('Equipo'!$B$5:$B$29,MATCH($B1403,'Equipo'!$A$5:$A$29,0))),0))),"")</f>
        <v/>
      </c>
      <c r="H1403" s="25">
        <f>IFERROR(IF(OR($B1403="",$C1403=""),"",IF(MATCH($C1403,'Ajustes'!$A$5:$A$8,0)=4,$D1403/INDEX('Equipo'!$B$5:$B$29,MATCH($B1403,'Equipo'!$A$5:$A$29,0))+$E1403,0)),"")</f>
        <v/>
      </c>
      <c r="I1403" s="26">
        <f>IF($B1403='Perfil'!$B$3,COUNTIF($B$4:$B1403,'Perfil'!$B$3),"")</f>
        <v/>
      </c>
    </row>
    <row r="1404">
      <c r="A1404" s="22" t="n"/>
      <c r="B1404" s="23" t="n"/>
      <c r="C1404" s="23" t="n"/>
      <c r="D1404" s="24" t="n"/>
      <c r="E1404" s="24" t="n"/>
      <c r="F1404" s="23" t="n"/>
      <c r="G1404" s="19">
        <f>IFERROR(IF(OR($B1404="",$C1404=""),"",IF(MATCH($C1404,'Ajustes'!$A$5:$A$8,0)&lt;=2,$D1404*INDEX('Ajustes'!$C$5:$C$6,MATCH($C1404,'Ajustes'!$A$5:$A$8,0)),IF(MATCH($C1404,'Ajustes'!$A$5:$A$8,0)=3,-($D1404+$E1404*INDEX('Equipo'!$B$5:$B$29,MATCH($B1404,'Equipo'!$A$5:$A$29,0))),0))),"")</f>
        <v/>
      </c>
      <c r="H1404" s="25">
        <f>IFERROR(IF(OR($B1404="",$C1404=""),"",IF(MATCH($C1404,'Ajustes'!$A$5:$A$8,0)=4,$D1404/INDEX('Equipo'!$B$5:$B$29,MATCH($B1404,'Equipo'!$A$5:$A$29,0))+$E1404,0)),"")</f>
        <v/>
      </c>
      <c r="I1404" s="26">
        <f>IF($B1404='Perfil'!$B$3,COUNTIF($B$4:$B1404,'Perfil'!$B$3),"")</f>
        <v/>
      </c>
    </row>
    <row r="1405">
      <c r="A1405" s="22" t="n"/>
      <c r="B1405" s="23" t="n"/>
      <c r="C1405" s="23" t="n"/>
      <c r="D1405" s="24" t="n"/>
      <c r="E1405" s="24" t="n"/>
      <c r="F1405" s="23" t="n"/>
      <c r="G1405" s="19">
        <f>IFERROR(IF(OR($B1405="",$C1405=""),"",IF(MATCH($C1405,'Ajustes'!$A$5:$A$8,0)&lt;=2,$D1405*INDEX('Ajustes'!$C$5:$C$6,MATCH($C1405,'Ajustes'!$A$5:$A$8,0)),IF(MATCH($C1405,'Ajustes'!$A$5:$A$8,0)=3,-($D1405+$E1405*INDEX('Equipo'!$B$5:$B$29,MATCH($B1405,'Equipo'!$A$5:$A$29,0))),0))),"")</f>
        <v/>
      </c>
      <c r="H1405" s="25">
        <f>IFERROR(IF(OR($B1405="",$C1405=""),"",IF(MATCH($C1405,'Ajustes'!$A$5:$A$8,0)=4,$D1405/INDEX('Equipo'!$B$5:$B$29,MATCH($B1405,'Equipo'!$A$5:$A$29,0))+$E1405,0)),"")</f>
        <v/>
      </c>
      <c r="I1405" s="26">
        <f>IF($B1405='Perfil'!$B$3,COUNTIF($B$4:$B1405,'Perfil'!$B$3),"")</f>
        <v/>
      </c>
    </row>
    <row r="1406">
      <c r="A1406" s="22" t="n"/>
      <c r="B1406" s="23" t="n"/>
      <c r="C1406" s="23" t="n"/>
      <c r="D1406" s="24" t="n"/>
      <c r="E1406" s="24" t="n"/>
      <c r="F1406" s="23" t="n"/>
      <c r="G1406" s="19">
        <f>IFERROR(IF(OR($B1406="",$C1406=""),"",IF(MATCH($C1406,'Ajustes'!$A$5:$A$8,0)&lt;=2,$D1406*INDEX('Ajustes'!$C$5:$C$6,MATCH($C1406,'Ajustes'!$A$5:$A$8,0)),IF(MATCH($C1406,'Ajustes'!$A$5:$A$8,0)=3,-($D1406+$E1406*INDEX('Equipo'!$B$5:$B$29,MATCH($B1406,'Equipo'!$A$5:$A$29,0))),0))),"")</f>
        <v/>
      </c>
      <c r="H1406" s="25">
        <f>IFERROR(IF(OR($B1406="",$C1406=""),"",IF(MATCH($C1406,'Ajustes'!$A$5:$A$8,0)=4,$D1406/INDEX('Equipo'!$B$5:$B$29,MATCH($B1406,'Equipo'!$A$5:$A$29,0))+$E1406,0)),"")</f>
        <v/>
      </c>
      <c r="I1406" s="26">
        <f>IF($B1406='Perfil'!$B$3,COUNTIF($B$4:$B1406,'Perfil'!$B$3),"")</f>
        <v/>
      </c>
    </row>
    <row r="1407">
      <c r="A1407" s="22" t="n"/>
      <c r="B1407" s="23" t="n"/>
      <c r="C1407" s="23" t="n"/>
      <c r="D1407" s="24" t="n"/>
      <c r="E1407" s="24" t="n"/>
      <c r="F1407" s="23" t="n"/>
      <c r="G1407" s="19">
        <f>IFERROR(IF(OR($B1407="",$C1407=""),"",IF(MATCH($C1407,'Ajustes'!$A$5:$A$8,0)&lt;=2,$D1407*INDEX('Ajustes'!$C$5:$C$6,MATCH($C1407,'Ajustes'!$A$5:$A$8,0)),IF(MATCH($C1407,'Ajustes'!$A$5:$A$8,0)=3,-($D1407+$E1407*INDEX('Equipo'!$B$5:$B$29,MATCH($B1407,'Equipo'!$A$5:$A$29,0))),0))),"")</f>
        <v/>
      </c>
      <c r="H1407" s="25">
        <f>IFERROR(IF(OR($B1407="",$C1407=""),"",IF(MATCH($C1407,'Ajustes'!$A$5:$A$8,0)=4,$D1407/INDEX('Equipo'!$B$5:$B$29,MATCH($B1407,'Equipo'!$A$5:$A$29,0))+$E1407,0)),"")</f>
        <v/>
      </c>
      <c r="I1407" s="26">
        <f>IF($B1407='Perfil'!$B$3,COUNTIF($B$4:$B1407,'Perfil'!$B$3),"")</f>
        <v/>
      </c>
    </row>
    <row r="1408">
      <c r="A1408" s="22" t="n"/>
      <c r="B1408" s="23" t="n"/>
      <c r="C1408" s="23" t="n"/>
      <c r="D1408" s="24" t="n"/>
      <c r="E1408" s="24" t="n"/>
      <c r="F1408" s="23" t="n"/>
      <c r="G1408" s="19">
        <f>IFERROR(IF(OR($B1408="",$C1408=""),"",IF(MATCH($C1408,'Ajustes'!$A$5:$A$8,0)&lt;=2,$D1408*INDEX('Ajustes'!$C$5:$C$6,MATCH($C1408,'Ajustes'!$A$5:$A$8,0)),IF(MATCH($C1408,'Ajustes'!$A$5:$A$8,0)=3,-($D1408+$E1408*INDEX('Equipo'!$B$5:$B$29,MATCH($B1408,'Equipo'!$A$5:$A$29,0))),0))),"")</f>
        <v/>
      </c>
      <c r="H1408" s="25">
        <f>IFERROR(IF(OR($B1408="",$C1408=""),"",IF(MATCH($C1408,'Ajustes'!$A$5:$A$8,0)=4,$D1408/INDEX('Equipo'!$B$5:$B$29,MATCH($B1408,'Equipo'!$A$5:$A$29,0))+$E1408,0)),"")</f>
        <v/>
      </c>
      <c r="I1408" s="26">
        <f>IF($B1408='Perfil'!$B$3,COUNTIF($B$4:$B1408,'Perfil'!$B$3),"")</f>
        <v/>
      </c>
    </row>
    <row r="1409">
      <c r="A1409" s="22" t="n"/>
      <c r="B1409" s="23" t="n"/>
      <c r="C1409" s="23" t="n"/>
      <c r="D1409" s="24" t="n"/>
      <c r="E1409" s="24" t="n"/>
      <c r="F1409" s="23" t="n"/>
      <c r="G1409" s="19">
        <f>IFERROR(IF(OR($B1409="",$C1409=""),"",IF(MATCH($C1409,'Ajustes'!$A$5:$A$8,0)&lt;=2,$D1409*INDEX('Ajustes'!$C$5:$C$6,MATCH($C1409,'Ajustes'!$A$5:$A$8,0)),IF(MATCH($C1409,'Ajustes'!$A$5:$A$8,0)=3,-($D1409+$E1409*INDEX('Equipo'!$B$5:$B$29,MATCH($B1409,'Equipo'!$A$5:$A$29,0))),0))),"")</f>
        <v/>
      </c>
      <c r="H1409" s="25">
        <f>IFERROR(IF(OR($B1409="",$C1409=""),"",IF(MATCH($C1409,'Ajustes'!$A$5:$A$8,0)=4,$D1409/INDEX('Equipo'!$B$5:$B$29,MATCH($B1409,'Equipo'!$A$5:$A$29,0))+$E1409,0)),"")</f>
        <v/>
      </c>
      <c r="I1409" s="26">
        <f>IF($B1409='Perfil'!$B$3,COUNTIF($B$4:$B1409,'Perfil'!$B$3),"")</f>
        <v/>
      </c>
    </row>
    <row r="1410">
      <c r="A1410" s="22" t="n"/>
      <c r="B1410" s="23" t="n"/>
      <c r="C1410" s="23" t="n"/>
      <c r="D1410" s="24" t="n"/>
      <c r="E1410" s="24" t="n"/>
      <c r="F1410" s="23" t="n"/>
      <c r="G1410" s="19">
        <f>IFERROR(IF(OR($B1410="",$C1410=""),"",IF(MATCH($C1410,'Ajustes'!$A$5:$A$8,0)&lt;=2,$D1410*INDEX('Ajustes'!$C$5:$C$6,MATCH($C1410,'Ajustes'!$A$5:$A$8,0)),IF(MATCH($C1410,'Ajustes'!$A$5:$A$8,0)=3,-($D1410+$E1410*INDEX('Equipo'!$B$5:$B$29,MATCH($B1410,'Equipo'!$A$5:$A$29,0))),0))),"")</f>
        <v/>
      </c>
      <c r="H1410" s="25">
        <f>IFERROR(IF(OR($B1410="",$C1410=""),"",IF(MATCH($C1410,'Ajustes'!$A$5:$A$8,0)=4,$D1410/INDEX('Equipo'!$B$5:$B$29,MATCH($B1410,'Equipo'!$A$5:$A$29,0))+$E1410,0)),"")</f>
        <v/>
      </c>
      <c r="I1410" s="26">
        <f>IF($B1410='Perfil'!$B$3,COUNTIF($B$4:$B1410,'Perfil'!$B$3),"")</f>
        <v/>
      </c>
    </row>
    <row r="1411">
      <c r="A1411" s="22" t="n"/>
      <c r="B1411" s="23" t="n"/>
      <c r="C1411" s="23" t="n"/>
      <c r="D1411" s="24" t="n"/>
      <c r="E1411" s="24" t="n"/>
      <c r="F1411" s="23" t="n"/>
      <c r="G1411" s="19">
        <f>IFERROR(IF(OR($B1411="",$C1411=""),"",IF(MATCH($C1411,'Ajustes'!$A$5:$A$8,0)&lt;=2,$D1411*INDEX('Ajustes'!$C$5:$C$6,MATCH($C1411,'Ajustes'!$A$5:$A$8,0)),IF(MATCH($C1411,'Ajustes'!$A$5:$A$8,0)=3,-($D1411+$E1411*INDEX('Equipo'!$B$5:$B$29,MATCH($B1411,'Equipo'!$A$5:$A$29,0))),0))),"")</f>
        <v/>
      </c>
      <c r="H1411" s="25">
        <f>IFERROR(IF(OR($B1411="",$C1411=""),"",IF(MATCH($C1411,'Ajustes'!$A$5:$A$8,0)=4,$D1411/INDEX('Equipo'!$B$5:$B$29,MATCH($B1411,'Equipo'!$A$5:$A$29,0))+$E1411,0)),"")</f>
        <v/>
      </c>
      <c r="I1411" s="26">
        <f>IF($B1411='Perfil'!$B$3,COUNTIF($B$4:$B1411,'Perfil'!$B$3),"")</f>
        <v/>
      </c>
    </row>
    <row r="1412">
      <c r="A1412" s="22" t="n"/>
      <c r="B1412" s="23" t="n"/>
      <c r="C1412" s="23" t="n"/>
      <c r="D1412" s="24" t="n"/>
      <c r="E1412" s="24" t="n"/>
      <c r="F1412" s="23" t="n"/>
      <c r="G1412" s="19">
        <f>IFERROR(IF(OR($B1412="",$C1412=""),"",IF(MATCH($C1412,'Ajustes'!$A$5:$A$8,0)&lt;=2,$D1412*INDEX('Ajustes'!$C$5:$C$6,MATCH($C1412,'Ajustes'!$A$5:$A$8,0)),IF(MATCH($C1412,'Ajustes'!$A$5:$A$8,0)=3,-($D1412+$E1412*INDEX('Equipo'!$B$5:$B$29,MATCH($B1412,'Equipo'!$A$5:$A$29,0))),0))),"")</f>
        <v/>
      </c>
      <c r="H1412" s="25">
        <f>IFERROR(IF(OR($B1412="",$C1412=""),"",IF(MATCH($C1412,'Ajustes'!$A$5:$A$8,0)=4,$D1412/INDEX('Equipo'!$B$5:$B$29,MATCH($B1412,'Equipo'!$A$5:$A$29,0))+$E1412,0)),"")</f>
        <v/>
      </c>
      <c r="I1412" s="26">
        <f>IF($B1412='Perfil'!$B$3,COUNTIF($B$4:$B1412,'Perfil'!$B$3),"")</f>
        <v/>
      </c>
    </row>
    <row r="1413">
      <c r="A1413" s="22" t="n"/>
      <c r="B1413" s="23" t="n"/>
      <c r="C1413" s="23" t="n"/>
      <c r="D1413" s="24" t="n"/>
      <c r="E1413" s="24" t="n"/>
      <c r="F1413" s="23" t="n"/>
      <c r="G1413" s="19">
        <f>IFERROR(IF(OR($B1413="",$C1413=""),"",IF(MATCH($C1413,'Ajustes'!$A$5:$A$8,0)&lt;=2,$D1413*INDEX('Ajustes'!$C$5:$C$6,MATCH($C1413,'Ajustes'!$A$5:$A$8,0)),IF(MATCH($C1413,'Ajustes'!$A$5:$A$8,0)=3,-($D1413+$E1413*INDEX('Equipo'!$B$5:$B$29,MATCH($B1413,'Equipo'!$A$5:$A$29,0))),0))),"")</f>
        <v/>
      </c>
      <c r="H1413" s="25">
        <f>IFERROR(IF(OR($B1413="",$C1413=""),"",IF(MATCH($C1413,'Ajustes'!$A$5:$A$8,0)=4,$D1413/INDEX('Equipo'!$B$5:$B$29,MATCH($B1413,'Equipo'!$A$5:$A$29,0))+$E1413,0)),"")</f>
        <v/>
      </c>
      <c r="I1413" s="26">
        <f>IF($B1413='Perfil'!$B$3,COUNTIF($B$4:$B1413,'Perfil'!$B$3),"")</f>
        <v/>
      </c>
    </row>
    <row r="1414">
      <c r="A1414" s="22" t="n"/>
      <c r="B1414" s="23" t="n"/>
      <c r="C1414" s="23" t="n"/>
      <c r="D1414" s="24" t="n"/>
      <c r="E1414" s="24" t="n"/>
      <c r="F1414" s="23" t="n"/>
      <c r="G1414" s="19">
        <f>IFERROR(IF(OR($B1414="",$C1414=""),"",IF(MATCH($C1414,'Ajustes'!$A$5:$A$8,0)&lt;=2,$D1414*INDEX('Ajustes'!$C$5:$C$6,MATCH($C1414,'Ajustes'!$A$5:$A$8,0)),IF(MATCH($C1414,'Ajustes'!$A$5:$A$8,0)=3,-($D1414+$E1414*INDEX('Equipo'!$B$5:$B$29,MATCH($B1414,'Equipo'!$A$5:$A$29,0))),0))),"")</f>
        <v/>
      </c>
      <c r="H1414" s="25">
        <f>IFERROR(IF(OR($B1414="",$C1414=""),"",IF(MATCH($C1414,'Ajustes'!$A$5:$A$8,0)=4,$D1414/INDEX('Equipo'!$B$5:$B$29,MATCH($B1414,'Equipo'!$A$5:$A$29,0))+$E1414,0)),"")</f>
        <v/>
      </c>
      <c r="I1414" s="26">
        <f>IF($B1414='Perfil'!$B$3,COUNTIF($B$4:$B1414,'Perfil'!$B$3),"")</f>
        <v/>
      </c>
    </row>
    <row r="1415">
      <c r="A1415" s="22" t="n"/>
      <c r="B1415" s="23" t="n"/>
      <c r="C1415" s="23" t="n"/>
      <c r="D1415" s="24" t="n"/>
      <c r="E1415" s="24" t="n"/>
      <c r="F1415" s="23" t="n"/>
      <c r="G1415" s="19">
        <f>IFERROR(IF(OR($B1415="",$C1415=""),"",IF(MATCH($C1415,'Ajustes'!$A$5:$A$8,0)&lt;=2,$D1415*INDEX('Ajustes'!$C$5:$C$6,MATCH($C1415,'Ajustes'!$A$5:$A$8,0)),IF(MATCH($C1415,'Ajustes'!$A$5:$A$8,0)=3,-($D1415+$E1415*INDEX('Equipo'!$B$5:$B$29,MATCH($B1415,'Equipo'!$A$5:$A$29,0))),0))),"")</f>
        <v/>
      </c>
      <c r="H1415" s="25">
        <f>IFERROR(IF(OR($B1415="",$C1415=""),"",IF(MATCH($C1415,'Ajustes'!$A$5:$A$8,0)=4,$D1415/INDEX('Equipo'!$B$5:$B$29,MATCH($B1415,'Equipo'!$A$5:$A$29,0))+$E1415,0)),"")</f>
        <v/>
      </c>
      <c r="I1415" s="26">
        <f>IF($B1415='Perfil'!$B$3,COUNTIF($B$4:$B1415,'Perfil'!$B$3),"")</f>
        <v/>
      </c>
    </row>
    <row r="1416">
      <c r="A1416" s="22" t="n"/>
      <c r="B1416" s="23" t="n"/>
      <c r="C1416" s="23" t="n"/>
      <c r="D1416" s="24" t="n"/>
      <c r="E1416" s="24" t="n"/>
      <c r="F1416" s="23" t="n"/>
      <c r="G1416" s="19">
        <f>IFERROR(IF(OR($B1416="",$C1416=""),"",IF(MATCH($C1416,'Ajustes'!$A$5:$A$8,0)&lt;=2,$D1416*INDEX('Ajustes'!$C$5:$C$6,MATCH($C1416,'Ajustes'!$A$5:$A$8,0)),IF(MATCH($C1416,'Ajustes'!$A$5:$A$8,0)=3,-($D1416+$E1416*INDEX('Equipo'!$B$5:$B$29,MATCH($B1416,'Equipo'!$A$5:$A$29,0))),0))),"")</f>
        <v/>
      </c>
      <c r="H1416" s="25">
        <f>IFERROR(IF(OR($B1416="",$C1416=""),"",IF(MATCH($C1416,'Ajustes'!$A$5:$A$8,0)=4,$D1416/INDEX('Equipo'!$B$5:$B$29,MATCH($B1416,'Equipo'!$A$5:$A$29,0))+$E1416,0)),"")</f>
        <v/>
      </c>
      <c r="I1416" s="26">
        <f>IF($B1416='Perfil'!$B$3,COUNTIF($B$4:$B1416,'Perfil'!$B$3),"")</f>
        <v/>
      </c>
    </row>
    <row r="1417">
      <c r="A1417" s="22" t="n"/>
      <c r="B1417" s="23" t="n"/>
      <c r="C1417" s="23" t="n"/>
      <c r="D1417" s="24" t="n"/>
      <c r="E1417" s="24" t="n"/>
      <c r="F1417" s="23" t="n"/>
      <c r="G1417" s="19">
        <f>IFERROR(IF(OR($B1417="",$C1417=""),"",IF(MATCH($C1417,'Ajustes'!$A$5:$A$8,0)&lt;=2,$D1417*INDEX('Ajustes'!$C$5:$C$6,MATCH($C1417,'Ajustes'!$A$5:$A$8,0)),IF(MATCH($C1417,'Ajustes'!$A$5:$A$8,0)=3,-($D1417+$E1417*INDEX('Equipo'!$B$5:$B$29,MATCH($B1417,'Equipo'!$A$5:$A$29,0))),0))),"")</f>
        <v/>
      </c>
      <c r="H1417" s="25">
        <f>IFERROR(IF(OR($B1417="",$C1417=""),"",IF(MATCH($C1417,'Ajustes'!$A$5:$A$8,0)=4,$D1417/INDEX('Equipo'!$B$5:$B$29,MATCH($B1417,'Equipo'!$A$5:$A$29,0))+$E1417,0)),"")</f>
        <v/>
      </c>
      <c r="I1417" s="26">
        <f>IF($B1417='Perfil'!$B$3,COUNTIF($B$4:$B1417,'Perfil'!$B$3),"")</f>
        <v/>
      </c>
    </row>
    <row r="1418">
      <c r="A1418" s="22" t="n"/>
      <c r="B1418" s="23" t="n"/>
      <c r="C1418" s="23" t="n"/>
      <c r="D1418" s="24" t="n"/>
      <c r="E1418" s="24" t="n"/>
      <c r="F1418" s="23" t="n"/>
      <c r="G1418" s="19">
        <f>IFERROR(IF(OR($B1418="",$C1418=""),"",IF(MATCH($C1418,'Ajustes'!$A$5:$A$8,0)&lt;=2,$D1418*INDEX('Ajustes'!$C$5:$C$6,MATCH($C1418,'Ajustes'!$A$5:$A$8,0)),IF(MATCH($C1418,'Ajustes'!$A$5:$A$8,0)=3,-($D1418+$E1418*INDEX('Equipo'!$B$5:$B$29,MATCH($B1418,'Equipo'!$A$5:$A$29,0))),0))),"")</f>
        <v/>
      </c>
      <c r="H1418" s="25">
        <f>IFERROR(IF(OR($B1418="",$C1418=""),"",IF(MATCH($C1418,'Ajustes'!$A$5:$A$8,0)=4,$D1418/INDEX('Equipo'!$B$5:$B$29,MATCH($B1418,'Equipo'!$A$5:$A$29,0))+$E1418,0)),"")</f>
        <v/>
      </c>
      <c r="I1418" s="26">
        <f>IF($B1418='Perfil'!$B$3,COUNTIF($B$4:$B1418,'Perfil'!$B$3),"")</f>
        <v/>
      </c>
    </row>
    <row r="1419">
      <c r="A1419" s="22" t="n"/>
      <c r="B1419" s="23" t="n"/>
      <c r="C1419" s="23" t="n"/>
      <c r="D1419" s="24" t="n"/>
      <c r="E1419" s="24" t="n"/>
      <c r="F1419" s="23" t="n"/>
      <c r="G1419" s="19">
        <f>IFERROR(IF(OR($B1419="",$C1419=""),"",IF(MATCH($C1419,'Ajustes'!$A$5:$A$8,0)&lt;=2,$D1419*INDEX('Ajustes'!$C$5:$C$6,MATCH($C1419,'Ajustes'!$A$5:$A$8,0)),IF(MATCH($C1419,'Ajustes'!$A$5:$A$8,0)=3,-($D1419+$E1419*INDEX('Equipo'!$B$5:$B$29,MATCH($B1419,'Equipo'!$A$5:$A$29,0))),0))),"")</f>
        <v/>
      </c>
      <c r="H1419" s="25">
        <f>IFERROR(IF(OR($B1419="",$C1419=""),"",IF(MATCH($C1419,'Ajustes'!$A$5:$A$8,0)=4,$D1419/INDEX('Equipo'!$B$5:$B$29,MATCH($B1419,'Equipo'!$A$5:$A$29,0))+$E1419,0)),"")</f>
        <v/>
      </c>
      <c r="I1419" s="26">
        <f>IF($B1419='Perfil'!$B$3,COUNTIF($B$4:$B1419,'Perfil'!$B$3),"")</f>
        <v/>
      </c>
    </row>
    <row r="1420">
      <c r="A1420" s="22" t="n"/>
      <c r="B1420" s="23" t="n"/>
      <c r="C1420" s="23" t="n"/>
      <c r="D1420" s="24" t="n"/>
      <c r="E1420" s="24" t="n"/>
      <c r="F1420" s="23" t="n"/>
      <c r="G1420" s="19">
        <f>IFERROR(IF(OR($B1420="",$C1420=""),"",IF(MATCH($C1420,'Ajustes'!$A$5:$A$8,0)&lt;=2,$D1420*INDEX('Ajustes'!$C$5:$C$6,MATCH($C1420,'Ajustes'!$A$5:$A$8,0)),IF(MATCH($C1420,'Ajustes'!$A$5:$A$8,0)=3,-($D1420+$E1420*INDEX('Equipo'!$B$5:$B$29,MATCH($B1420,'Equipo'!$A$5:$A$29,0))),0))),"")</f>
        <v/>
      </c>
      <c r="H1420" s="25">
        <f>IFERROR(IF(OR($B1420="",$C1420=""),"",IF(MATCH($C1420,'Ajustes'!$A$5:$A$8,0)=4,$D1420/INDEX('Equipo'!$B$5:$B$29,MATCH($B1420,'Equipo'!$A$5:$A$29,0))+$E1420,0)),"")</f>
        <v/>
      </c>
      <c r="I1420" s="26">
        <f>IF($B1420='Perfil'!$B$3,COUNTIF($B$4:$B1420,'Perfil'!$B$3),"")</f>
        <v/>
      </c>
    </row>
    <row r="1421">
      <c r="A1421" s="22" t="n"/>
      <c r="B1421" s="23" t="n"/>
      <c r="C1421" s="23" t="n"/>
      <c r="D1421" s="24" t="n"/>
      <c r="E1421" s="24" t="n"/>
      <c r="F1421" s="23" t="n"/>
      <c r="G1421" s="19">
        <f>IFERROR(IF(OR($B1421="",$C1421=""),"",IF(MATCH($C1421,'Ajustes'!$A$5:$A$8,0)&lt;=2,$D1421*INDEX('Ajustes'!$C$5:$C$6,MATCH($C1421,'Ajustes'!$A$5:$A$8,0)),IF(MATCH($C1421,'Ajustes'!$A$5:$A$8,0)=3,-($D1421+$E1421*INDEX('Equipo'!$B$5:$B$29,MATCH($B1421,'Equipo'!$A$5:$A$29,0))),0))),"")</f>
        <v/>
      </c>
      <c r="H1421" s="25">
        <f>IFERROR(IF(OR($B1421="",$C1421=""),"",IF(MATCH($C1421,'Ajustes'!$A$5:$A$8,0)=4,$D1421/INDEX('Equipo'!$B$5:$B$29,MATCH($B1421,'Equipo'!$A$5:$A$29,0))+$E1421,0)),"")</f>
        <v/>
      </c>
      <c r="I1421" s="26">
        <f>IF($B1421='Perfil'!$B$3,COUNTIF($B$4:$B1421,'Perfil'!$B$3),"")</f>
        <v/>
      </c>
    </row>
    <row r="1422">
      <c r="A1422" s="22" t="n"/>
      <c r="B1422" s="23" t="n"/>
      <c r="C1422" s="23" t="n"/>
      <c r="D1422" s="24" t="n"/>
      <c r="E1422" s="24" t="n"/>
      <c r="F1422" s="23" t="n"/>
      <c r="G1422" s="19">
        <f>IFERROR(IF(OR($B1422="",$C1422=""),"",IF(MATCH($C1422,'Ajustes'!$A$5:$A$8,0)&lt;=2,$D1422*INDEX('Ajustes'!$C$5:$C$6,MATCH($C1422,'Ajustes'!$A$5:$A$8,0)),IF(MATCH($C1422,'Ajustes'!$A$5:$A$8,0)=3,-($D1422+$E1422*INDEX('Equipo'!$B$5:$B$29,MATCH($B1422,'Equipo'!$A$5:$A$29,0))),0))),"")</f>
        <v/>
      </c>
      <c r="H1422" s="25">
        <f>IFERROR(IF(OR($B1422="",$C1422=""),"",IF(MATCH($C1422,'Ajustes'!$A$5:$A$8,0)=4,$D1422/INDEX('Equipo'!$B$5:$B$29,MATCH($B1422,'Equipo'!$A$5:$A$29,0))+$E1422,0)),"")</f>
        <v/>
      </c>
      <c r="I1422" s="26">
        <f>IF($B1422='Perfil'!$B$3,COUNTIF($B$4:$B1422,'Perfil'!$B$3),"")</f>
        <v/>
      </c>
    </row>
    <row r="1423">
      <c r="A1423" s="22" t="n"/>
      <c r="B1423" s="23" t="n"/>
      <c r="C1423" s="23" t="n"/>
      <c r="D1423" s="24" t="n"/>
      <c r="E1423" s="24" t="n"/>
      <c r="F1423" s="23" t="n"/>
      <c r="G1423" s="19">
        <f>IFERROR(IF(OR($B1423="",$C1423=""),"",IF(MATCH($C1423,'Ajustes'!$A$5:$A$8,0)&lt;=2,$D1423*INDEX('Ajustes'!$C$5:$C$6,MATCH($C1423,'Ajustes'!$A$5:$A$8,0)),IF(MATCH($C1423,'Ajustes'!$A$5:$A$8,0)=3,-($D1423+$E1423*INDEX('Equipo'!$B$5:$B$29,MATCH($B1423,'Equipo'!$A$5:$A$29,0))),0))),"")</f>
        <v/>
      </c>
      <c r="H1423" s="25">
        <f>IFERROR(IF(OR($B1423="",$C1423=""),"",IF(MATCH($C1423,'Ajustes'!$A$5:$A$8,0)=4,$D1423/INDEX('Equipo'!$B$5:$B$29,MATCH($B1423,'Equipo'!$A$5:$A$29,0))+$E1423,0)),"")</f>
        <v/>
      </c>
      <c r="I1423" s="26">
        <f>IF($B1423='Perfil'!$B$3,COUNTIF($B$4:$B1423,'Perfil'!$B$3),"")</f>
        <v/>
      </c>
    </row>
    <row r="1424">
      <c r="A1424" s="22" t="n"/>
      <c r="B1424" s="23" t="n"/>
      <c r="C1424" s="23" t="n"/>
      <c r="D1424" s="24" t="n"/>
      <c r="E1424" s="24" t="n"/>
      <c r="F1424" s="23" t="n"/>
      <c r="G1424" s="19">
        <f>IFERROR(IF(OR($B1424="",$C1424=""),"",IF(MATCH($C1424,'Ajustes'!$A$5:$A$8,0)&lt;=2,$D1424*INDEX('Ajustes'!$C$5:$C$6,MATCH($C1424,'Ajustes'!$A$5:$A$8,0)),IF(MATCH($C1424,'Ajustes'!$A$5:$A$8,0)=3,-($D1424+$E1424*INDEX('Equipo'!$B$5:$B$29,MATCH($B1424,'Equipo'!$A$5:$A$29,0))),0))),"")</f>
        <v/>
      </c>
      <c r="H1424" s="25">
        <f>IFERROR(IF(OR($B1424="",$C1424=""),"",IF(MATCH($C1424,'Ajustes'!$A$5:$A$8,0)=4,$D1424/INDEX('Equipo'!$B$5:$B$29,MATCH($B1424,'Equipo'!$A$5:$A$29,0))+$E1424,0)),"")</f>
        <v/>
      </c>
      <c r="I1424" s="26">
        <f>IF($B1424='Perfil'!$B$3,COUNTIF($B$4:$B1424,'Perfil'!$B$3),"")</f>
        <v/>
      </c>
    </row>
    <row r="1425">
      <c r="A1425" s="22" t="n"/>
      <c r="B1425" s="23" t="n"/>
      <c r="C1425" s="23" t="n"/>
      <c r="D1425" s="24" t="n"/>
      <c r="E1425" s="24" t="n"/>
      <c r="F1425" s="23" t="n"/>
      <c r="G1425" s="19">
        <f>IFERROR(IF(OR($B1425="",$C1425=""),"",IF(MATCH($C1425,'Ajustes'!$A$5:$A$8,0)&lt;=2,$D1425*INDEX('Ajustes'!$C$5:$C$6,MATCH($C1425,'Ajustes'!$A$5:$A$8,0)),IF(MATCH($C1425,'Ajustes'!$A$5:$A$8,0)=3,-($D1425+$E1425*INDEX('Equipo'!$B$5:$B$29,MATCH($B1425,'Equipo'!$A$5:$A$29,0))),0))),"")</f>
        <v/>
      </c>
      <c r="H1425" s="25">
        <f>IFERROR(IF(OR($B1425="",$C1425=""),"",IF(MATCH($C1425,'Ajustes'!$A$5:$A$8,0)=4,$D1425/INDEX('Equipo'!$B$5:$B$29,MATCH($B1425,'Equipo'!$A$5:$A$29,0))+$E1425,0)),"")</f>
        <v/>
      </c>
      <c r="I1425" s="26">
        <f>IF($B1425='Perfil'!$B$3,COUNTIF($B$4:$B1425,'Perfil'!$B$3),"")</f>
        <v/>
      </c>
    </row>
    <row r="1426">
      <c r="A1426" s="22" t="n"/>
      <c r="B1426" s="23" t="n"/>
      <c r="C1426" s="23" t="n"/>
      <c r="D1426" s="24" t="n"/>
      <c r="E1426" s="24" t="n"/>
      <c r="F1426" s="23" t="n"/>
      <c r="G1426" s="19">
        <f>IFERROR(IF(OR($B1426="",$C1426=""),"",IF(MATCH($C1426,'Ajustes'!$A$5:$A$8,0)&lt;=2,$D1426*INDEX('Ajustes'!$C$5:$C$6,MATCH($C1426,'Ajustes'!$A$5:$A$8,0)),IF(MATCH($C1426,'Ajustes'!$A$5:$A$8,0)=3,-($D1426+$E1426*INDEX('Equipo'!$B$5:$B$29,MATCH($B1426,'Equipo'!$A$5:$A$29,0))),0))),"")</f>
        <v/>
      </c>
      <c r="H1426" s="25">
        <f>IFERROR(IF(OR($B1426="",$C1426=""),"",IF(MATCH($C1426,'Ajustes'!$A$5:$A$8,0)=4,$D1426/INDEX('Equipo'!$B$5:$B$29,MATCH($B1426,'Equipo'!$A$5:$A$29,0))+$E1426,0)),"")</f>
        <v/>
      </c>
      <c r="I1426" s="26">
        <f>IF($B1426='Perfil'!$B$3,COUNTIF($B$4:$B1426,'Perfil'!$B$3),"")</f>
        <v/>
      </c>
    </row>
    <row r="1427">
      <c r="A1427" s="22" t="n"/>
      <c r="B1427" s="23" t="n"/>
      <c r="C1427" s="23" t="n"/>
      <c r="D1427" s="24" t="n"/>
      <c r="E1427" s="24" t="n"/>
      <c r="F1427" s="23" t="n"/>
      <c r="G1427" s="19">
        <f>IFERROR(IF(OR($B1427="",$C1427=""),"",IF(MATCH($C1427,'Ajustes'!$A$5:$A$8,0)&lt;=2,$D1427*INDEX('Ajustes'!$C$5:$C$6,MATCH($C1427,'Ajustes'!$A$5:$A$8,0)),IF(MATCH($C1427,'Ajustes'!$A$5:$A$8,0)=3,-($D1427+$E1427*INDEX('Equipo'!$B$5:$B$29,MATCH($B1427,'Equipo'!$A$5:$A$29,0))),0))),"")</f>
        <v/>
      </c>
      <c r="H1427" s="25">
        <f>IFERROR(IF(OR($B1427="",$C1427=""),"",IF(MATCH($C1427,'Ajustes'!$A$5:$A$8,0)=4,$D1427/INDEX('Equipo'!$B$5:$B$29,MATCH($B1427,'Equipo'!$A$5:$A$29,0))+$E1427,0)),"")</f>
        <v/>
      </c>
      <c r="I1427" s="26">
        <f>IF($B1427='Perfil'!$B$3,COUNTIF($B$4:$B1427,'Perfil'!$B$3),"")</f>
        <v/>
      </c>
    </row>
    <row r="1428">
      <c r="A1428" s="22" t="n"/>
      <c r="B1428" s="23" t="n"/>
      <c r="C1428" s="23" t="n"/>
      <c r="D1428" s="24" t="n"/>
      <c r="E1428" s="24" t="n"/>
      <c r="F1428" s="23" t="n"/>
      <c r="G1428" s="19">
        <f>IFERROR(IF(OR($B1428="",$C1428=""),"",IF(MATCH($C1428,'Ajustes'!$A$5:$A$8,0)&lt;=2,$D1428*INDEX('Ajustes'!$C$5:$C$6,MATCH($C1428,'Ajustes'!$A$5:$A$8,0)),IF(MATCH($C1428,'Ajustes'!$A$5:$A$8,0)=3,-($D1428+$E1428*INDEX('Equipo'!$B$5:$B$29,MATCH($B1428,'Equipo'!$A$5:$A$29,0))),0))),"")</f>
        <v/>
      </c>
      <c r="H1428" s="25">
        <f>IFERROR(IF(OR($B1428="",$C1428=""),"",IF(MATCH($C1428,'Ajustes'!$A$5:$A$8,0)=4,$D1428/INDEX('Equipo'!$B$5:$B$29,MATCH($B1428,'Equipo'!$A$5:$A$29,0))+$E1428,0)),"")</f>
        <v/>
      </c>
      <c r="I1428" s="26">
        <f>IF($B1428='Perfil'!$B$3,COUNTIF($B$4:$B1428,'Perfil'!$B$3),"")</f>
        <v/>
      </c>
    </row>
    <row r="1429">
      <c r="A1429" s="22" t="n"/>
      <c r="B1429" s="23" t="n"/>
      <c r="C1429" s="23" t="n"/>
      <c r="D1429" s="24" t="n"/>
      <c r="E1429" s="24" t="n"/>
      <c r="F1429" s="23" t="n"/>
      <c r="G1429" s="19">
        <f>IFERROR(IF(OR($B1429="",$C1429=""),"",IF(MATCH($C1429,'Ajustes'!$A$5:$A$8,0)&lt;=2,$D1429*INDEX('Ajustes'!$C$5:$C$6,MATCH($C1429,'Ajustes'!$A$5:$A$8,0)),IF(MATCH($C1429,'Ajustes'!$A$5:$A$8,0)=3,-($D1429+$E1429*INDEX('Equipo'!$B$5:$B$29,MATCH($B1429,'Equipo'!$A$5:$A$29,0))),0))),"")</f>
        <v/>
      </c>
      <c r="H1429" s="25">
        <f>IFERROR(IF(OR($B1429="",$C1429=""),"",IF(MATCH($C1429,'Ajustes'!$A$5:$A$8,0)=4,$D1429/INDEX('Equipo'!$B$5:$B$29,MATCH($B1429,'Equipo'!$A$5:$A$29,0))+$E1429,0)),"")</f>
        <v/>
      </c>
      <c r="I1429" s="26">
        <f>IF($B1429='Perfil'!$B$3,COUNTIF($B$4:$B1429,'Perfil'!$B$3),"")</f>
        <v/>
      </c>
    </row>
    <row r="1430">
      <c r="A1430" s="22" t="n"/>
      <c r="B1430" s="23" t="n"/>
      <c r="C1430" s="23" t="n"/>
      <c r="D1430" s="24" t="n"/>
      <c r="E1430" s="24" t="n"/>
      <c r="F1430" s="23" t="n"/>
      <c r="G1430" s="19">
        <f>IFERROR(IF(OR($B1430="",$C1430=""),"",IF(MATCH($C1430,'Ajustes'!$A$5:$A$8,0)&lt;=2,$D1430*INDEX('Ajustes'!$C$5:$C$6,MATCH($C1430,'Ajustes'!$A$5:$A$8,0)),IF(MATCH($C1430,'Ajustes'!$A$5:$A$8,0)=3,-($D1430+$E1430*INDEX('Equipo'!$B$5:$B$29,MATCH($B1430,'Equipo'!$A$5:$A$29,0))),0))),"")</f>
        <v/>
      </c>
      <c r="H1430" s="25">
        <f>IFERROR(IF(OR($B1430="",$C1430=""),"",IF(MATCH($C1430,'Ajustes'!$A$5:$A$8,0)=4,$D1430/INDEX('Equipo'!$B$5:$B$29,MATCH($B1430,'Equipo'!$A$5:$A$29,0))+$E1430,0)),"")</f>
        <v/>
      </c>
      <c r="I1430" s="26">
        <f>IF($B1430='Perfil'!$B$3,COUNTIF($B$4:$B1430,'Perfil'!$B$3),"")</f>
        <v/>
      </c>
    </row>
    <row r="1431">
      <c r="A1431" s="22" t="n"/>
      <c r="B1431" s="23" t="n"/>
      <c r="C1431" s="23" t="n"/>
      <c r="D1431" s="24" t="n"/>
      <c r="E1431" s="24" t="n"/>
      <c r="F1431" s="23" t="n"/>
      <c r="G1431" s="19">
        <f>IFERROR(IF(OR($B1431="",$C1431=""),"",IF(MATCH($C1431,'Ajustes'!$A$5:$A$8,0)&lt;=2,$D1431*INDEX('Ajustes'!$C$5:$C$6,MATCH($C1431,'Ajustes'!$A$5:$A$8,0)),IF(MATCH($C1431,'Ajustes'!$A$5:$A$8,0)=3,-($D1431+$E1431*INDEX('Equipo'!$B$5:$B$29,MATCH($B1431,'Equipo'!$A$5:$A$29,0))),0))),"")</f>
        <v/>
      </c>
      <c r="H1431" s="25">
        <f>IFERROR(IF(OR($B1431="",$C1431=""),"",IF(MATCH($C1431,'Ajustes'!$A$5:$A$8,0)=4,$D1431/INDEX('Equipo'!$B$5:$B$29,MATCH($B1431,'Equipo'!$A$5:$A$29,0))+$E1431,0)),"")</f>
        <v/>
      </c>
      <c r="I1431" s="26">
        <f>IF($B1431='Perfil'!$B$3,COUNTIF($B$4:$B1431,'Perfil'!$B$3),"")</f>
        <v/>
      </c>
    </row>
    <row r="1432">
      <c r="A1432" s="22" t="n"/>
      <c r="B1432" s="23" t="n"/>
      <c r="C1432" s="23" t="n"/>
      <c r="D1432" s="24" t="n"/>
      <c r="E1432" s="24" t="n"/>
      <c r="F1432" s="23" t="n"/>
      <c r="G1432" s="19">
        <f>IFERROR(IF(OR($B1432="",$C1432=""),"",IF(MATCH($C1432,'Ajustes'!$A$5:$A$8,0)&lt;=2,$D1432*INDEX('Ajustes'!$C$5:$C$6,MATCH($C1432,'Ajustes'!$A$5:$A$8,0)),IF(MATCH($C1432,'Ajustes'!$A$5:$A$8,0)=3,-($D1432+$E1432*INDEX('Equipo'!$B$5:$B$29,MATCH($B1432,'Equipo'!$A$5:$A$29,0))),0))),"")</f>
        <v/>
      </c>
      <c r="H1432" s="25">
        <f>IFERROR(IF(OR($B1432="",$C1432=""),"",IF(MATCH($C1432,'Ajustes'!$A$5:$A$8,0)=4,$D1432/INDEX('Equipo'!$B$5:$B$29,MATCH($B1432,'Equipo'!$A$5:$A$29,0))+$E1432,0)),"")</f>
        <v/>
      </c>
      <c r="I1432" s="26">
        <f>IF($B1432='Perfil'!$B$3,COUNTIF($B$4:$B1432,'Perfil'!$B$3),"")</f>
        <v/>
      </c>
    </row>
    <row r="1433">
      <c r="A1433" s="22" t="n"/>
      <c r="B1433" s="23" t="n"/>
      <c r="C1433" s="23" t="n"/>
      <c r="D1433" s="24" t="n"/>
      <c r="E1433" s="24" t="n"/>
      <c r="F1433" s="23" t="n"/>
      <c r="G1433" s="19">
        <f>IFERROR(IF(OR($B1433="",$C1433=""),"",IF(MATCH($C1433,'Ajustes'!$A$5:$A$8,0)&lt;=2,$D1433*INDEX('Ajustes'!$C$5:$C$6,MATCH($C1433,'Ajustes'!$A$5:$A$8,0)),IF(MATCH($C1433,'Ajustes'!$A$5:$A$8,0)=3,-($D1433+$E1433*INDEX('Equipo'!$B$5:$B$29,MATCH($B1433,'Equipo'!$A$5:$A$29,0))),0))),"")</f>
        <v/>
      </c>
      <c r="H1433" s="25">
        <f>IFERROR(IF(OR($B1433="",$C1433=""),"",IF(MATCH($C1433,'Ajustes'!$A$5:$A$8,0)=4,$D1433/INDEX('Equipo'!$B$5:$B$29,MATCH($B1433,'Equipo'!$A$5:$A$29,0))+$E1433,0)),"")</f>
        <v/>
      </c>
      <c r="I1433" s="26">
        <f>IF($B1433='Perfil'!$B$3,COUNTIF($B$4:$B1433,'Perfil'!$B$3),"")</f>
        <v/>
      </c>
    </row>
    <row r="1434">
      <c r="A1434" s="22" t="n"/>
      <c r="B1434" s="23" t="n"/>
      <c r="C1434" s="23" t="n"/>
      <c r="D1434" s="24" t="n"/>
      <c r="E1434" s="24" t="n"/>
      <c r="F1434" s="23" t="n"/>
      <c r="G1434" s="19">
        <f>IFERROR(IF(OR($B1434="",$C1434=""),"",IF(MATCH($C1434,'Ajustes'!$A$5:$A$8,0)&lt;=2,$D1434*INDEX('Ajustes'!$C$5:$C$6,MATCH($C1434,'Ajustes'!$A$5:$A$8,0)),IF(MATCH($C1434,'Ajustes'!$A$5:$A$8,0)=3,-($D1434+$E1434*INDEX('Equipo'!$B$5:$B$29,MATCH($B1434,'Equipo'!$A$5:$A$29,0))),0))),"")</f>
        <v/>
      </c>
      <c r="H1434" s="25">
        <f>IFERROR(IF(OR($B1434="",$C1434=""),"",IF(MATCH($C1434,'Ajustes'!$A$5:$A$8,0)=4,$D1434/INDEX('Equipo'!$B$5:$B$29,MATCH($B1434,'Equipo'!$A$5:$A$29,0))+$E1434,0)),"")</f>
        <v/>
      </c>
      <c r="I1434" s="26">
        <f>IF($B1434='Perfil'!$B$3,COUNTIF($B$4:$B1434,'Perfil'!$B$3),"")</f>
        <v/>
      </c>
    </row>
    <row r="1435">
      <c r="A1435" s="22" t="n"/>
      <c r="B1435" s="23" t="n"/>
      <c r="C1435" s="23" t="n"/>
      <c r="D1435" s="24" t="n"/>
      <c r="E1435" s="24" t="n"/>
      <c r="F1435" s="23" t="n"/>
      <c r="G1435" s="19">
        <f>IFERROR(IF(OR($B1435="",$C1435=""),"",IF(MATCH($C1435,'Ajustes'!$A$5:$A$8,0)&lt;=2,$D1435*INDEX('Ajustes'!$C$5:$C$6,MATCH($C1435,'Ajustes'!$A$5:$A$8,0)),IF(MATCH($C1435,'Ajustes'!$A$5:$A$8,0)=3,-($D1435+$E1435*INDEX('Equipo'!$B$5:$B$29,MATCH($B1435,'Equipo'!$A$5:$A$29,0))),0))),"")</f>
        <v/>
      </c>
      <c r="H1435" s="25">
        <f>IFERROR(IF(OR($B1435="",$C1435=""),"",IF(MATCH($C1435,'Ajustes'!$A$5:$A$8,0)=4,$D1435/INDEX('Equipo'!$B$5:$B$29,MATCH($B1435,'Equipo'!$A$5:$A$29,0))+$E1435,0)),"")</f>
        <v/>
      </c>
      <c r="I1435" s="26">
        <f>IF($B1435='Perfil'!$B$3,COUNTIF($B$4:$B1435,'Perfil'!$B$3),"")</f>
        <v/>
      </c>
    </row>
    <row r="1436">
      <c r="A1436" s="22" t="n"/>
      <c r="B1436" s="23" t="n"/>
      <c r="C1436" s="23" t="n"/>
      <c r="D1436" s="24" t="n"/>
      <c r="E1436" s="24" t="n"/>
      <c r="F1436" s="23" t="n"/>
      <c r="G1436" s="19">
        <f>IFERROR(IF(OR($B1436="",$C1436=""),"",IF(MATCH($C1436,'Ajustes'!$A$5:$A$8,0)&lt;=2,$D1436*INDEX('Ajustes'!$C$5:$C$6,MATCH($C1436,'Ajustes'!$A$5:$A$8,0)),IF(MATCH($C1436,'Ajustes'!$A$5:$A$8,0)=3,-($D1436+$E1436*INDEX('Equipo'!$B$5:$B$29,MATCH($B1436,'Equipo'!$A$5:$A$29,0))),0))),"")</f>
        <v/>
      </c>
      <c r="H1436" s="25">
        <f>IFERROR(IF(OR($B1436="",$C1436=""),"",IF(MATCH($C1436,'Ajustes'!$A$5:$A$8,0)=4,$D1436/INDEX('Equipo'!$B$5:$B$29,MATCH($B1436,'Equipo'!$A$5:$A$29,0))+$E1436,0)),"")</f>
        <v/>
      </c>
      <c r="I1436" s="26">
        <f>IF($B1436='Perfil'!$B$3,COUNTIF($B$4:$B1436,'Perfil'!$B$3),"")</f>
        <v/>
      </c>
    </row>
    <row r="1437">
      <c r="A1437" s="22" t="n"/>
      <c r="B1437" s="23" t="n"/>
      <c r="C1437" s="23" t="n"/>
      <c r="D1437" s="24" t="n"/>
      <c r="E1437" s="24" t="n"/>
      <c r="F1437" s="23" t="n"/>
      <c r="G1437" s="19">
        <f>IFERROR(IF(OR($B1437="",$C1437=""),"",IF(MATCH($C1437,'Ajustes'!$A$5:$A$8,0)&lt;=2,$D1437*INDEX('Ajustes'!$C$5:$C$6,MATCH($C1437,'Ajustes'!$A$5:$A$8,0)),IF(MATCH($C1437,'Ajustes'!$A$5:$A$8,0)=3,-($D1437+$E1437*INDEX('Equipo'!$B$5:$B$29,MATCH($B1437,'Equipo'!$A$5:$A$29,0))),0))),"")</f>
        <v/>
      </c>
      <c r="H1437" s="25">
        <f>IFERROR(IF(OR($B1437="",$C1437=""),"",IF(MATCH($C1437,'Ajustes'!$A$5:$A$8,0)=4,$D1437/INDEX('Equipo'!$B$5:$B$29,MATCH($B1437,'Equipo'!$A$5:$A$29,0))+$E1437,0)),"")</f>
        <v/>
      </c>
      <c r="I1437" s="26">
        <f>IF($B1437='Perfil'!$B$3,COUNTIF($B$4:$B1437,'Perfil'!$B$3),"")</f>
        <v/>
      </c>
    </row>
    <row r="1438">
      <c r="A1438" s="22" t="n"/>
      <c r="B1438" s="23" t="n"/>
      <c r="C1438" s="23" t="n"/>
      <c r="D1438" s="24" t="n"/>
      <c r="E1438" s="24" t="n"/>
      <c r="F1438" s="23" t="n"/>
      <c r="G1438" s="19">
        <f>IFERROR(IF(OR($B1438="",$C1438=""),"",IF(MATCH($C1438,'Ajustes'!$A$5:$A$8,0)&lt;=2,$D1438*INDEX('Ajustes'!$C$5:$C$6,MATCH($C1438,'Ajustes'!$A$5:$A$8,0)),IF(MATCH($C1438,'Ajustes'!$A$5:$A$8,0)=3,-($D1438+$E1438*INDEX('Equipo'!$B$5:$B$29,MATCH($B1438,'Equipo'!$A$5:$A$29,0))),0))),"")</f>
        <v/>
      </c>
      <c r="H1438" s="25">
        <f>IFERROR(IF(OR($B1438="",$C1438=""),"",IF(MATCH($C1438,'Ajustes'!$A$5:$A$8,0)=4,$D1438/INDEX('Equipo'!$B$5:$B$29,MATCH($B1438,'Equipo'!$A$5:$A$29,0))+$E1438,0)),"")</f>
        <v/>
      </c>
      <c r="I1438" s="26">
        <f>IF($B1438='Perfil'!$B$3,COUNTIF($B$4:$B1438,'Perfil'!$B$3),"")</f>
        <v/>
      </c>
    </row>
    <row r="1439">
      <c r="A1439" s="22" t="n"/>
      <c r="B1439" s="23" t="n"/>
      <c r="C1439" s="23" t="n"/>
      <c r="D1439" s="24" t="n"/>
      <c r="E1439" s="24" t="n"/>
      <c r="F1439" s="23" t="n"/>
      <c r="G1439" s="19">
        <f>IFERROR(IF(OR($B1439="",$C1439=""),"",IF(MATCH($C1439,'Ajustes'!$A$5:$A$8,0)&lt;=2,$D1439*INDEX('Ajustes'!$C$5:$C$6,MATCH($C1439,'Ajustes'!$A$5:$A$8,0)),IF(MATCH($C1439,'Ajustes'!$A$5:$A$8,0)=3,-($D1439+$E1439*INDEX('Equipo'!$B$5:$B$29,MATCH($B1439,'Equipo'!$A$5:$A$29,0))),0))),"")</f>
        <v/>
      </c>
      <c r="H1439" s="25">
        <f>IFERROR(IF(OR($B1439="",$C1439=""),"",IF(MATCH($C1439,'Ajustes'!$A$5:$A$8,0)=4,$D1439/INDEX('Equipo'!$B$5:$B$29,MATCH($B1439,'Equipo'!$A$5:$A$29,0))+$E1439,0)),"")</f>
        <v/>
      </c>
      <c r="I1439" s="26">
        <f>IF($B1439='Perfil'!$B$3,COUNTIF($B$4:$B1439,'Perfil'!$B$3),"")</f>
        <v/>
      </c>
    </row>
    <row r="1440">
      <c r="A1440" s="22" t="n"/>
      <c r="B1440" s="23" t="n"/>
      <c r="C1440" s="23" t="n"/>
      <c r="D1440" s="24" t="n"/>
      <c r="E1440" s="24" t="n"/>
      <c r="F1440" s="23" t="n"/>
      <c r="G1440" s="19">
        <f>IFERROR(IF(OR($B1440="",$C1440=""),"",IF(MATCH($C1440,'Ajustes'!$A$5:$A$8,0)&lt;=2,$D1440*INDEX('Ajustes'!$C$5:$C$6,MATCH($C1440,'Ajustes'!$A$5:$A$8,0)),IF(MATCH($C1440,'Ajustes'!$A$5:$A$8,0)=3,-($D1440+$E1440*INDEX('Equipo'!$B$5:$B$29,MATCH($B1440,'Equipo'!$A$5:$A$29,0))),0))),"")</f>
        <v/>
      </c>
      <c r="H1440" s="25">
        <f>IFERROR(IF(OR($B1440="",$C1440=""),"",IF(MATCH($C1440,'Ajustes'!$A$5:$A$8,0)=4,$D1440/INDEX('Equipo'!$B$5:$B$29,MATCH($B1440,'Equipo'!$A$5:$A$29,0))+$E1440,0)),"")</f>
        <v/>
      </c>
      <c r="I1440" s="26">
        <f>IF($B1440='Perfil'!$B$3,COUNTIF($B$4:$B1440,'Perfil'!$B$3),"")</f>
        <v/>
      </c>
    </row>
    <row r="1441">
      <c r="A1441" s="22" t="n"/>
      <c r="B1441" s="23" t="n"/>
      <c r="C1441" s="23" t="n"/>
      <c r="D1441" s="24" t="n"/>
      <c r="E1441" s="24" t="n"/>
      <c r="F1441" s="23" t="n"/>
      <c r="G1441" s="19">
        <f>IFERROR(IF(OR($B1441="",$C1441=""),"",IF(MATCH($C1441,'Ajustes'!$A$5:$A$8,0)&lt;=2,$D1441*INDEX('Ajustes'!$C$5:$C$6,MATCH($C1441,'Ajustes'!$A$5:$A$8,0)),IF(MATCH($C1441,'Ajustes'!$A$5:$A$8,0)=3,-($D1441+$E1441*INDEX('Equipo'!$B$5:$B$29,MATCH($B1441,'Equipo'!$A$5:$A$29,0))),0))),"")</f>
        <v/>
      </c>
      <c r="H1441" s="25">
        <f>IFERROR(IF(OR($B1441="",$C1441=""),"",IF(MATCH($C1441,'Ajustes'!$A$5:$A$8,0)=4,$D1441/INDEX('Equipo'!$B$5:$B$29,MATCH($B1441,'Equipo'!$A$5:$A$29,0))+$E1441,0)),"")</f>
        <v/>
      </c>
      <c r="I1441" s="26">
        <f>IF($B1441='Perfil'!$B$3,COUNTIF($B$4:$B1441,'Perfil'!$B$3),"")</f>
        <v/>
      </c>
    </row>
    <row r="1442">
      <c r="A1442" s="22" t="n"/>
      <c r="B1442" s="23" t="n"/>
      <c r="C1442" s="23" t="n"/>
      <c r="D1442" s="24" t="n"/>
      <c r="E1442" s="24" t="n"/>
      <c r="F1442" s="23" t="n"/>
      <c r="G1442" s="19">
        <f>IFERROR(IF(OR($B1442="",$C1442=""),"",IF(MATCH($C1442,'Ajustes'!$A$5:$A$8,0)&lt;=2,$D1442*INDEX('Ajustes'!$C$5:$C$6,MATCH($C1442,'Ajustes'!$A$5:$A$8,0)),IF(MATCH($C1442,'Ajustes'!$A$5:$A$8,0)=3,-($D1442+$E1442*INDEX('Equipo'!$B$5:$B$29,MATCH($B1442,'Equipo'!$A$5:$A$29,0))),0))),"")</f>
        <v/>
      </c>
      <c r="H1442" s="25">
        <f>IFERROR(IF(OR($B1442="",$C1442=""),"",IF(MATCH($C1442,'Ajustes'!$A$5:$A$8,0)=4,$D1442/INDEX('Equipo'!$B$5:$B$29,MATCH($B1442,'Equipo'!$A$5:$A$29,0))+$E1442,0)),"")</f>
        <v/>
      </c>
      <c r="I1442" s="26">
        <f>IF($B1442='Perfil'!$B$3,COUNTIF($B$4:$B1442,'Perfil'!$B$3),"")</f>
        <v/>
      </c>
    </row>
    <row r="1443">
      <c r="A1443" s="22" t="n"/>
      <c r="B1443" s="23" t="n"/>
      <c r="C1443" s="23" t="n"/>
      <c r="D1443" s="24" t="n"/>
      <c r="E1443" s="24" t="n"/>
      <c r="F1443" s="23" t="n"/>
      <c r="G1443" s="19">
        <f>IFERROR(IF(OR($B1443="",$C1443=""),"",IF(MATCH($C1443,'Ajustes'!$A$5:$A$8,0)&lt;=2,$D1443*INDEX('Ajustes'!$C$5:$C$6,MATCH($C1443,'Ajustes'!$A$5:$A$8,0)),IF(MATCH($C1443,'Ajustes'!$A$5:$A$8,0)=3,-($D1443+$E1443*INDEX('Equipo'!$B$5:$B$29,MATCH($B1443,'Equipo'!$A$5:$A$29,0))),0))),"")</f>
        <v/>
      </c>
      <c r="H1443" s="25">
        <f>IFERROR(IF(OR($B1443="",$C1443=""),"",IF(MATCH($C1443,'Ajustes'!$A$5:$A$8,0)=4,$D1443/INDEX('Equipo'!$B$5:$B$29,MATCH($B1443,'Equipo'!$A$5:$A$29,0))+$E1443,0)),"")</f>
        <v/>
      </c>
      <c r="I1443" s="26">
        <f>IF($B1443='Perfil'!$B$3,COUNTIF($B$4:$B1443,'Perfil'!$B$3),"")</f>
        <v/>
      </c>
    </row>
    <row r="1444">
      <c r="A1444" s="22" t="n"/>
      <c r="B1444" s="23" t="n"/>
      <c r="C1444" s="23" t="n"/>
      <c r="D1444" s="24" t="n"/>
      <c r="E1444" s="24" t="n"/>
      <c r="F1444" s="23" t="n"/>
      <c r="G1444" s="19">
        <f>IFERROR(IF(OR($B1444="",$C1444=""),"",IF(MATCH($C1444,'Ajustes'!$A$5:$A$8,0)&lt;=2,$D1444*INDEX('Ajustes'!$C$5:$C$6,MATCH($C1444,'Ajustes'!$A$5:$A$8,0)),IF(MATCH($C1444,'Ajustes'!$A$5:$A$8,0)=3,-($D1444+$E1444*INDEX('Equipo'!$B$5:$B$29,MATCH($B1444,'Equipo'!$A$5:$A$29,0))),0))),"")</f>
        <v/>
      </c>
      <c r="H1444" s="25">
        <f>IFERROR(IF(OR($B1444="",$C1444=""),"",IF(MATCH($C1444,'Ajustes'!$A$5:$A$8,0)=4,$D1444/INDEX('Equipo'!$B$5:$B$29,MATCH($B1444,'Equipo'!$A$5:$A$29,0))+$E1444,0)),"")</f>
        <v/>
      </c>
      <c r="I1444" s="26">
        <f>IF($B1444='Perfil'!$B$3,COUNTIF($B$4:$B1444,'Perfil'!$B$3),"")</f>
        <v/>
      </c>
    </row>
    <row r="1445">
      <c r="A1445" s="22" t="n"/>
      <c r="B1445" s="23" t="n"/>
      <c r="C1445" s="23" t="n"/>
      <c r="D1445" s="24" t="n"/>
      <c r="E1445" s="24" t="n"/>
      <c r="F1445" s="23" t="n"/>
      <c r="G1445" s="19">
        <f>IFERROR(IF(OR($B1445="",$C1445=""),"",IF(MATCH($C1445,'Ajustes'!$A$5:$A$8,0)&lt;=2,$D1445*INDEX('Ajustes'!$C$5:$C$6,MATCH($C1445,'Ajustes'!$A$5:$A$8,0)),IF(MATCH($C1445,'Ajustes'!$A$5:$A$8,0)=3,-($D1445+$E1445*INDEX('Equipo'!$B$5:$B$29,MATCH($B1445,'Equipo'!$A$5:$A$29,0))),0))),"")</f>
        <v/>
      </c>
      <c r="H1445" s="25">
        <f>IFERROR(IF(OR($B1445="",$C1445=""),"",IF(MATCH($C1445,'Ajustes'!$A$5:$A$8,0)=4,$D1445/INDEX('Equipo'!$B$5:$B$29,MATCH($B1445,'Equipo'!$A$5:$A$29,0))+$E1445,0)),"")</f>
        <v/>
      </c>
      <c r="I1445" s="26">
        <f>IF($B1445='Perfil'!$B$3,COUNTIF($B$4:$B1445,'Perfil'!$B$3),"")</f>
        <v/>
      </c>
    </row>
    <row r="1446">
      <c r="A1446" s="22" t="n"/>
      <c r="B1446" s="23" t="n"/>
      <c r="C1446" s="23" t="n"/>
      <c r="D1446" s="24" t="n"/>
      <c r="E1446" s="24" t="n"/>
      <c r="F1446" s="23" t="n"/>
      <c r="G1446" s="19">
        <f>IFERROR(IF(OR($B1446="",$C1446=""),"",IF(MATCH($C1446,'Ajustes'!$A$5:$A$8,0)&lt;=2,$D1446*INDEX('Ajustes'!$C$5:$C$6,MATCH($C1446,'Ajustes'!$A$5:$A$8,0)),IF(MATCH($C1446,'Ajustes'!$A$5:$A$8,0)=3,-($D1446+$E1446*INDEX('Equipo'!$B$5:$B$29,MATCH($B1446,'Equipo'!$A$5:$A$29,0))),0))),"")</f>
        <v/>
      </c>
      <c r="H1446" s="25">
        <f>IFERROR(IF(OR($B1446="",$C1446=""),"",IF(MATCH($C1446,'Ajustes'!$A$5:$A$8,0)=4,$D1446/INDEX('Equipo'!$B$5:$B$29,MATCH($B1446,'Equipo'!$A$5:$A$29,0))+$E1446,0)),"")</f>
        <v/>
      </c>
      <c r="I1446" s="26">
        <f>IF($B1446='Perfil'!$B$3,COUNTIF($B$4:$B1446,'Perfil'!$B$3),"")</f>
        <v/>
      </c>
    </row>
    <row r="1447">
      <c r="A1447" s="22" t="n"/>
      <c r="B1447" s="23" t="n"/>
      <c r="C1447" s="23" t="n"/>
      <c r="D1447" s="24" t="n"/>
      <c r="E1447" s="24" t="n"/>
      <c r="F1447" s="23" t="n"/>
      <c r="G1447" s="19">
        <f>IFERROR(IF(OR($B1447="",$C1447=""),"",IF(MATCH($C1447,'Ajustes'!$A$5:$A$8,0)&lt;=2,$D1447*INDEX('Ajustes'!$C$5:$C$6,MATCH($C1447,'Ajustes'!$A$5:$A$8,0)),IF(MATCH($C1447,'Ajustes'!$A$5:$A$8,0)=3,-($D1447+$E1447*INDEX('Equipo'!$B$5:$B$29,MATCH($B1447,'Equipo'!$A$5:$A$29,0))),0))),"")</f>
        <v/>
      </c>
      <c r="H1447" s="25">
        <f>IFERROR(IF(OR($B1447="",$C1447=""),"",IF(MATCH($C1447,'Ajustes'!$A$5:$A$8,0)=4,$D1447/INDEX('Equipo'!$B$5:$B$29,MATCH($B1447,'Equipo'!$A$5:$A$29,0))+$E1447,0)),"")</f>
        <v/>
      </c>
      <c r="I1447" s="26">
        <f>IF($B1447='Perfil'!$B$3,COUNTIF($B$4:$B1447,'Perfil'!$B$3),"")</f>
        <v/>
      </c>
    </row>
    <row r="1448">
      <c r="A1448" s="22" t="n"/>
      <c r="B1448" s="23" t="n"/>
      <c r="C1448" s="23" t="n"/>
      <c r="D1448" s="24" t="n"/>
      <c r="E1448" s="24" t="n"/>
      <c r="F1448" s="23" t="n"/>
      <c r="G1448" s="19">
        <f>IFERROR(IF(OR($B1448="",$C1448=""),"",IF(MATCH($C1448,'Ajustes'!$A$5:$A$8,0)&lt;=2,$D1448*INDEX('Ajustes'!$C$5:$C$6,MATCH($C1448,'Ajustes'!$A$5:$A$8,0)),IF(MATCH($C1448,'Ajustes'!$A$5:$A$8,0)=3,-($D1448+$E1448*INDEX('Equipo'!$B$5:$B$29,MATCH($B1448,'Equipo'!$A$5:$A$29,0))),0))),"")</f>
        <v/>
      </c>
      <c r="H1448" s="25">
        <f>IFERROR(IF(OR($B1448="",$C1448=""),"",IF(MATCH($C1448,'Ajustes'!$A$5:$A$8,0)=4,$D1448/INDEX('Equipo'!$B$5:$B$29,MATCH($B1448,'Equipo'!$A$5:$A$29,0))+$E1448,0)),"")</f>
        <v/>
      </c>
      <c r="I1448" s="26">
        <f>IF($B1448='Perfil'!$B$3,COUNTIF($B$4:$B1448,'Perfil'!$B$3),"")</f>
        <v/>
      </c>
    </row>
    <row r="1449">
      <c r="A1449" s="22" t="n"/>
      <c r="B1449" s="23" t="n"/>
      <c r="C1449" s="23" t="n"/>
      <c r="D1449" s="24" t="n"/>
      <c r="E1449" s="24" t="n"/>
      <c r="F1449" s="23" t="n"/>
      <c r="G1449" s="19">
        <f>IFERROR(IF(OR($B1449="",$C1449=""),"",IF(MATCH($C1449,'Ajustes'!$A$5:$A$8,0)&lt;=2,$D1449*INDEX('Ajustes'!$C$5:$C$6,MATCH($C1449,'Ajustes'!$A$5:$A$8,0)),IF(MATCH($C1449,'Ajustes'!$A$5:$A$8,0)=3,-($D1449+$E1449*INDEX('Equipo'!$B$5:$B$29,MATCH($B1449,'Equipo'!$A$5:$A$29,0))),0))),"")</f>
        <v/>
      </c>
      <c r="H1449" s="25">
        <f>IFERROR(IF(OR($B1449="",$C1449=""),"",IF(MATCH($C1449,'Ajustes'!$A$5:$A$8,0)=4,$D1449/INDEX('Equipo'!$B$5:$B$29,MATCH($B1449,'Equipo'!$A$5:$A$29,0))+$E1449,0)),"")</f>
        <v/>
      </c>
      <c r="I1449" s="26">
        <f>IF($B1449='Perfil'!$B$3,COUNTIF($B$4:$B1449,'Perfil'!$B$3),"")</f>
        <v/>
      </c>
    </row>
    <row r="1450">
      <c r="A1450" s="22" t="n"/>
      <c r="B1450" s="23" t="n"/>
      <c r="C1450" s="23" t="n"/>
      <c r="D1450" s="24" t="n"/>
      <c r="E1450" s="24" t="n"/>
      <c r="F1450" s="23" t="n"/>
      <c r="G1450" s="19">
        <f>IFERROR(IF(OR($B1450="",$C1450=""),"",IF(MATCH($C1450,'Ajustes'!$A$5:$A$8,0)&lt;=2,$D1450*INDEX('Ajustes'!$C$5:$C$6,MATCH($C1450,'Ajustes'!$A$5:$A$8,0)),IF(MATCH($C1450,'Ajustes'!$A$5:$A$8,0)=3,-($D1450+$E1450*INDEX('Equipo'!$B$5:$B$29,MATCH($B1450,'Equipo'!$A$5:$A$29,0))),0))),"")</f>
        <v/>
      </c>
      <c r="H1450" s="25">
        <f>IFERROR(IF(OR($B1450="",$C1450=""),"",IF(MATCH($C1450,'Ajustes'!$A$5:$A$8,0)=4,$D1450/INDEX('Equipo'!$B$5:$B$29,MATCH($B1450,'Equipo'!$A$5:$A$29,0))+$E1450,0)),"")</f>
        <v/>
      </c>
      <c r="I1450" s="26">
        <f>IF($B1450='Perfil'!$B$3,COUNTIF($B$4:$B1450,'Perfil'!$B$3),"")</f>
        <v/>
      </c>
    </row>
    <row r="1451">
      <c r="A1451" s="22" t="n"/>
      <c r="B1451" s="23" t="n"/>
      <c r="C1451" s="23" t="n"/>
      <c r="D1451" s="24" t="n"/>
      <c r="E1451" s="24" t="n"/>
      <c r="F1451" s="23" t="n"/>
      <c r="G1451" s="19">
        <f>IFERROR(IF(OR($B1451="",$C1451=""),"",IF(MATCH($C1451,'Ajustes'!$A$5:$A$8,0)&lt;=2,$D1451*INDEX('Ajustes'!$C$5:$C$6,MATCH($C1451,'Ajustes'!$A$5:$A$8,0)),IF(MATCH($C1451,'Ajustes'!$A$5:$A$8,0)=3,-($D1451+$E1451*INDEX('Equipo'!$B$5:$B$29,MATCH($B1451,'Equipo'!$A$5:$A$29,0))),0))),"")</f>
        <v/>
      </c>
      <c r="H1451" s="25">
        <f>IFERROR(IF(OR($B1451="",$C1451=""),"",IF(MATCH($C1451,'Ajustes'!$A$5:$A$8,0)=4,$D1451/INDEX('Equipo'!$B$5:$B$29,MATCH($B1451,'Equipo'!$A$5:$A$29,0))+$E1451,0)),"")</f>
        <v/>
      </c>
      <c r="I1451" s="26">
        <f>IF($B1451='Perfil'!$B$3,COUNTIF($B$4:$B1451,'Perfil'!$B$3),"")</f>
        <v/>
      </c>
    </row>
    <row r="1452">
      <c r="A1452" s="22" t="n"/>
      <c r="B1452" s="23" t="n"/>
      <c r="C1452" s="23" t="n"/>
      <c r="D1452" s="24" t="n"/>
      <c r="E1452" s="24" t="n"/>
      <c r="F1452" s="23" t="n"/>
      <c r="G1452" s="19">
        <f>IFERROR(IF(OR($B1452="",$C1452=""),"",IF(MATCH($C1452,'Ajustes'!$A$5:$A$8,0)&lt;=2,$D1452*INDEX('Ajustes'!$C$5:$C$6,MATCH($C1452,'Ajustes'!$A$5:$A$8,0)),IF(MATCH($C1452,'Ajustes'!$A$5:$A$8,0)=3,-($D1452+$E1452*INDEX('Equipo'!$B$5:$B$29,MATCH($B1452,'Equipo'!$A$5:$A$29,0))),0))),"")</f>
        <v/>
      </c>
      <c r="H1452" s="25">
        <f>IFERROR(IF(OR($B1452="",$C1452=""),"",IF(MATCH($C1452,'Ajustes'!$A$5:$A$8,0)=4,$D1452/INDEX('Equipo'!$B$5:$B$29,MATCH($B1452,'Equipo'!$A$5:$A$29,0))+$E1452,0)),"")</f>
        <v/>
      </c>
      <c r="I1452" s="26">
        <f>IF($B1452='Perfil'!$B$3,COUNTIF($B$4:$B1452,'Perfil'!$B$3),"")</f>
        <v/>
      </c>
    </row>
    <row r="1453">
      <c r="A1453" s="22" t="n"/>
      <c r="B1453" s="23" t="n"/>
      <c r="C1453" s="23" t="n"/>
      <c r="D1453" s="24" t="n"/>
      <c r="E1453" s="24" t="n"/>
      <c r="F1453" s="23" t="n"/>
      <c r="G1453" s="19">
        <f>IFERROR(IF(OR($B1453="",$C1453=""),"",IF(MATCH($C1453,'Ajustes'!$A$5:$A$8,0)&lt;=2,$D1453*INDEX('Ajustes'!$C$5:$C$6,MATCH($C1453,'Ajustes'!$A$5:$A$8,0)),IF(MATCH($C1453,'Ajustes'!$A$5:$A$8,0)=3,-($D1453+$E1453*INDEX('Equipo'!$B$5:$B$29,MATCH($B1453,'Equipo'!$A$5:$A$29,0))),0))),"")</f>
        <v/>
      </c>
      <c r="H1453" s="25">
        <f>IFERROR(IF(OR($B1453="",$C1453=""),"",IF(MATCH($C1453,'Ajustes'!$A$5:$A$8,0)=4,$D1453/INDEX('Equipo'!$B$5:$B$29,MATCH($B1453,'Equipo'!$A$5:$A$29,0))+$E1453,0)),"")</f>
        <v/>
      </c>
      <c r="I1453" s="26">
        <f>IF($B1453='Perfil'!$B$3,COUNTIF($B$4:$B1453,'Perfil'!$B$3),"")</f>
        <v/>
      </c>
    </row>
    <row r="1454">
      <c r="A1454" s="22" t="n"/>
      <c r="B1454" s="23" t="n"/>
      <c r="C1454" s="23" t="n"/>
      <c r="D1454" s="24" t="n"/>
      <c r="E1454" s="24" t="n"/>
      <c r="F1454" s="23" t="n"/>
      <c r="G1454" s="19">
        <f>IFERROR(IF(OR($B1454="",$C1454=""),"",IF(MATCH($C1454,'Ajustes'!$A$5:$A$8,0)&lt;=2,$D1454*INDEX('Ajustes'!$C$5:$C$6,MATCH($C1454,'Ajustes'!$A$5:$A$8,0)),IF(MATCH($C1454,'Ajustes'!$A$5:$A$8,0)=3,-($D1454+$E1454*INDEX('Equipo'!$B$5:$B$29,MATCH($B1454,'Equipo'!$A$5:$A$29,0))),0))),"")</f>
        <v/>
      </c>
      <c r="H1454" s="25">
        <f>IFERROR(IF(OR($B1454="",$C1454=""),"",IF(MATCH($C1454,'Ajustes'!$A$5:$A$8,0)=4,$D1454/INDEX('Equipo'!$B$5:$B$29,MATCH($B1454,'Equipo'!$A$5:$A$29,0))+$E1454,0)),"")</f>
        <v/>
      </c>
      <c r="I1454" s="26">
        <f>IF($B1454='Perfil'!$B$3,COUNTIF($B$4:$B1454,'Perfil'!$B$3),"")</f>
        <v/>
      </c>
    </row>
    <row r="1455">
      <c r="A1455" s="22" t="n"/>
      <c r="B1455" s="23" t="n"/>
      <c r="C1455" s="23" t="n"/>
      <c r="D1455" s="24" t="n"/>
      <c r="E1455" s="24" t="n"/>
      <c r="F1455" s="23" t="n"/>
      <c r="G1455" s="19">
        <f>IFERROR(IF(OR($B1455="",$C1455=""),"",IF(MATCH($C1455,'Ajustes'!$A$5:$A$8,0)&lt;=2,$D1455*INDEX('Ajustes'!$C$5:$C$6,MATCH($C1455,'Ajustes'!$A$5:$A$8,0)),IF(MATCH($C1455,'Ajustes'!$A$5:$A$8,0)=3,-($D1455+$E1455*INDEX('Equipo'!$B$5:$B$29,MATCH($B1455,'Equipo'!$A$5:$A$29,0))),0))),"")</f>
        <v/>
      </c>
      <c r="H1455" s="25">
        <f>IFERROR(IF(OR($B1455="",$C1455=""),"",IF(MATCH($C1455,'Ajustes'!$A$5:$A$8,0)=4,$D1455/INDEX('Equipo'!$B$5:$B$29,MATCH($B1455,'Equipo'!$A$5:$A$29,0))+$E1455,0)),"")</f>
        <v/>
      </c>
      <c r="I1455" s="26">
        <f>IF($B1455='Perfil'!$B$3,COUNTIF($B$4:$B1455,'Perfil'!$B$3),"")</f>
        <v/>
      </c>
    </row>
    <row r="1456">
      <c r="A1456" s="22" t="n"/>
      <c r="B1456" s="23" t="n"/>
      <c r="C1456" s="23" t="n"/>
      <c r="D1456" s="24" t="n"/>
      <c r="E1456" s="24" t="n"/>
      <c r="F1456" s="23" t="n"/>
      <c r="G1456" s="19">
        <f>IFERROR(IF(OR($B1456="",$C1456=""),"",IF(MATCH($C1456,'Ajustes'!$A$5:$A$8,0)&lt;=2,$D1456*INDEX('Ajustes'!$C$5:$C$6,MATCH($C1456,'Ajustes'!$A$5:$A$8,0)),IF(MATCH($C1456,'Ajustes'!$A$5:$A$8,0)=3,-($D1456+$E1456*INDEX('Equipo'!$B$5:$B$29,MATCH($B1456,'Equipo'!$A$5:$A$29,0))),0))),"")</f>
        <v/>
      </c>
      <c r="H1456" s="25">
        <f>IFERROR(IF(OR($B1456="",$C1456=""),"",IF(MATCH($C1456,'Ajustes'!$A$5:$A$8,0)=4,$D1456/INDEX('Equipo'!$B$5:$B$29,MATCH($B1456,'Equipo'!$A$5:$A$29,0))+$E1456,0)),"")</f>
        <v/>
      </c>
      <c r="I1456" s="26">
        <f>IF($B1456='Perfil'!$B$3,COUNTIF($B$4:$B1456,'Perfil'!$B$3),"")</f>
        <v/>
      </c>
    </row>
    <row r="1457">
      <c r="A1457" s="22" t="n"/>
      <c r="B1457" s="23" t="n"/>
      <c r="C1457" s="23" t="n"/>
      <c r="D1457" s="24" t="n"/>
      <c r="E1457" s="24" t="n"/>
      <c r="F1457" s="23" t="n"/>
      <c r="G1457" s="19">
        <f>IFERROR(IF(OR($B1457="",$C1457=""),"",IF(MATCH($C1457,'Ajustes'!$A$5:$A$8,0)&lt;=2,$D1457*INDEX('Ajustes'!$C$5:$C$6,MATCH($C1457,'Ajustes'!$A$5:$A$8,0)),IF(MATCH($C1457,'Ajustes'!$A$5:$A$8,0)=3,-($D1457+$E1457*INDEX('Equipo'!$B$5:$B$29,MATCH($B1457,'Equipo'!$A$5:$A$29,0))),0))),"")</f>
        <v/>
      </c>
      <c r="H1457" s="25">
        <f>IFERROR(IF(OR($B1457="",$C1457=""),"",IF(MATCH($C1457,'Ajustes'!$A$5:$A$8,0)=4,$D1457/INDEX('Equipo'!$B$5:$B$29,MATCH($B1457,'Equipo'!$A$5:$A$29,0))+$E1457,0)),"")</f>
        <v/>
      </c>
      <c r="I1457" s="26">
        <f>IF($B1457='Perfil'!$B$3,COUNTIF($B$4:$B1457,'Perfil'!$B$3),"")</f>
        <v/>
      </c>
    </row>
    <row r="1458">
      <c r="A1458" s="22" t="n"/>
      <c r="B1458" s="23" t="n"/>
      <c r="C1458" s="23" t="n"/>
      <c r="D1458" s="24" t="n"/>
      <c r="E1458" s="24" t="n"/>
      <c r="F1458" s="23" t="n"/>
      <c r="G1458" s="19">
        <f>IFERROR(IF(OR($B1458="",$C1458=""),"",IF(MATCH($C1458,'Ajustes'!$A$5:$A$8,0)&lt;=2,$D1458*INDEX('Ajustes'!$C$5:$C$6,MATCH($C1458,'Ajustes'!$A$5:$A$8,0)),IF(MATCH($C1458,'Ajustes'!$A$5:$A$8,0)=3,-($D1458+$E1458*INDEX('Equipo'!$B$5:$B$29,MATCH($B1458,'Equipo'!$A$5:$A$29,0))),0))),"")</f>
        <v/>
      </c>
      <c r="H1458" s="25">
        <f>IFERROR(IF(OR($B1458="",$C1458=""),"",IF(MATCH($C1458,'Ajustes'!$A$5:$A$8,0)=4,$D1458/INDEX('Equipo'!$B$5:$B$29,MATCH($B1458,'Equipo'!$A$5:$A$29,0))+$E1458,0)),"")</f>
        <v/>
      </c>
      <c r="I1458" s="26">
        <f>IF($B1458='Perfil'!$B$3,COUNTIF($B$4:$B1458,'Perfil'!$B$3),"")</f>
        <v/>
      </c>
    </row>
    <row r="1459">
      <c r="A1459" s="22" t="n"/>
      <c r="B1459" s="23" t="n"/>
      <c r="C1459" s="23" t="n"/>
      <c r="D1459" s="24" t="n"/>
      <c r="E1459" s="24" t="n"/>
      <c r="F1459" s="23" t="n"/>
      <c r="G1459" s="19">
        <f>IFERROR(IF(OR($B1459="",$C1459=""),"",IF(MATCH($C1459,'Ajustes'!$A$5:$A$8,0)&lt;=2,$D1459*INDEX('Ajustes'!$C$5:$C$6,MATCH($C1459,'Ajustes'!$A$5:$A$8,0)),IF(MATCH($C1459,'Ajustes'!$A$5:$A$8,0)=3,-($D1459+$E1459*INDEX('Equipo'!$B$5:$B$29,MATCH($B1459,'Equipo'!$A$5:$A$29,0))),0))),"")</f>
        <v/>
      </c>
      <c r="H1459" s="25">
        <f>IFERROR(IF(OR($B1459="",$C1459=""),"",IF(MATCH($C1459,'Ajustes'!$A$5:$A$8,0)=4,$D1459/INDEX('Equipo'!$B$5:$B$29,MATCH($B1459,'Equipo'!$A$5:$A$29,0))+$E1459,0)),"")</f>
        <v/>
      </c>
      <c r="I1459" s="26">
        <f>IF($B1459='Perfil'!$B$3,COUNTIF($B$4:$B1459,'Perfil'!$B$3),"")</f>
        <v/>
      </c>
    </row>
    <row r="1460">
      <c r="A1460" s="22" t="n"/>
      <c r="B1460" s="23" t="n"/>
      <c r="C1460" s="23" t="n"/>
      <c r="D1460" s="24" t="n"/>
      <c r="E1460" s="24" t="n"/>
      <c r="F1460" s="23" t="n"/>
      <c r="G1460" s="19">
        <f>IFERROR(IF(OR($B1460="",$C1460=""),"",IF(MATCH($C1460,'Ajustes'!$A$5:$A$8,0)&lt;=2,$D1460*INDEX('Ajustes'!$C$5:$C$6,MATCH($C1460,'Ajustes'!$A$5:$A$8,0)),IF(MATCH($C1460,'Ajustes'!$A$5:$A$8,0)=3,-($D1460+$E1460*INDEX('Equipo'!$B$5:$B$29,MATCH($B1460,'Equipo'!$A$5:$A$29,0))),0))),"")</f>
        <v/>
      </c>
      <c r="H1460" s="25">
        <f>IFERROR(IF(OR($B1460="",$C1460=""),"",IF(MATCH($C1460,'Ajustes'!$A$5:$A$8,0)=4,$D1460/INDEX('Equipo'!$B$5:$B$29,MATCH($B1460,'Equipo'!$A$5:$A$29,0))+$E1460,0)),"")</f>
        <v/>
      </c>
      <c r="I1460" s="26">
        <f>IF($B1460='Perfil'!$B$3,COUNTIF($B$4:$B1460,'Perfil'!$B$3),"")</f>
        <v/>
      </c>
    </row>
    <row r="1461">
      <c r="A1461" s="22" t="n"/>
      <c r="B1461" s="23" t="n"/>
      <c r="C1461" s="23" t="n"/>
      <c r="D1461" s="24" t="n"/>
      <c r="E1461" s="24" t="n"/>
      <c r="F1461" s="23" t="n"/>
      <c r="G1461" s="19">
        <f>IFERROR(IF(OR($B1461="",$C1461=""),"",IF(MATCH($C1461,'Ajustes'!$A$5:$A$8,0)&lt;=2,$D1461*INDEX('Ajustes'!$C$5:$C$6,MATCH($C1461,'Ajustes'!$A$5:$A$8,0)),IF(MATCH($C1461,'Ajustes'!$A$5:$A$8,0)=3,-($D1461+$E1461*INDEX('Equipo'!$B$5:$B$29,MATCH($B1461,'Equipo'!$A$5:$A$29,0))),0))),"")</f>
        <v/>
      </c>
      <c r="H1461" s="25">
        <f>IFERROR(IF(OR($B1461="",$C1461=""),"",IF(MATCH($C1461,'Ajustes'!$A$5:$A$8,0)=4,$D1461/INDEX('Equipo'!$B$5:$B$29,MATCH($B1461,'Equipo'!$A$5:$A$29,0))+$E1461,0)),"")</f>
        <v/>
      </c>
      <c r="I1461" s="26">
        <f>IF($B1461='Perfil'!$B$3,COUNTIF($B$4:$B1461,'Perfil'!$B$3),"")</f>
        <v/>
      </c>
    </row>
    <row r="1462">
      <c r="A1462" s="22" t="n"/>
      <c r="B1462" s="23" t="n"/>
      <c r="C1462" s="23" t="n"/>
      <c r="D1462" s="24" t="n"/>
      <c r="E1462" s="24" t="n"/>
      <c r="F1462" s="23" t="n"/>
      <c r="G1462" s="19">
        <f>IFERROR(IF(OR($B1462="",$C1462=""),"",IF(MATCH($C1462,'Ajustes'!$A$5:$A$8,0)&lt;=2,$D1462*INDEX('Ajustes'!$C$5:$C$6,MATCH($C1462,'Ajustes'!$A$5:$A$8,0)),IF(MATCH($C1462,'Ajustes'!$A$5:$A$8,0)=3,-($D1462+$E1462*INDEX('Equipo'!$B$5:$B$29,MATCH($B1462,'Equipo'!$A$5:$A$29,0))),0))),"")</f>
        <v/>
      </c>
      <c r="H1462" s="25">
        <f>IFERROR(IF(OR($B1462="",$C1462=""),"",IF(MATCH($C1462,'Ajustes'!$A$5:$A$8,0)=4,$D1462/INDEX('Equipo'!$B$5:$B$29,MATCH($B1462,'Equipo'!$A$5:$A$29,0))+$E1462,0)),"")</f>
        <v/>
      </c>
      <c r="I1462" s="26">
        <f>IF($B1462='Perfil'!$B$3,COUNTIF($B$4:$B1462,'Perfil'!$B$3),"")</f>
        <v/>
      </c>
    </row>
    <row r="1463">
      <c r="A1463" s="22" t="n"/>
      <c r="B1463" s="23" t="n"/>
      <c r="C1463" s="23" t="n"/>
      <c r="D1463" s="24" t="n"/>
      <c r="E1463" s="24" t="n"/>
      <c r="F1463" s="23" t="n"/>
      <c r="G1463" s="19">
        <f>IFERROR(IF(OR($B1463="",$C1463=""),"",IF(MATCH($C1463,'Ajustes'!$A$5:$A$8,0)&lt;=2,$D1463*INDEX('Ajustes'!$C$5:$C$6,MATCH($C1463,'Ajustes'!$A$5:$A$8,0)),IF(MATCH($C1463,'Ajustes'!$A$5:$A$8,0)=3,-($D1463+$E1463*INDEX('Equipo'!$B$5:$B$29,MATCH($B1463,'Equipo'!$A$5:$A$29,0))),0))),"")</f>
        <v/>
      </c>
      <c r="H1463" s="25">
        <f>IFERROR(IF(OR($B1463="",$C1463=""),"",IF(MATCH($C1463,'Ajustes'!$A$5:$A$8,0)=4,$D1463/INDEX('Equipo'!$B$5:$B$29,MATCH($B1463,'Equipo'!$A$5:$A$29,0))+$E1463,0)),"")</f>
        <v/>
      </c>
      <c r="I1463" s="26">
        <f>IF($B1463='Perfil'!$B$3,COUNTIF($B$4:$B1463,'Perfil'!$B$3),"")</f>
        <v/>
      </c>
    </row>
    <row r="1464">
      <c r="A1464" s="22" t="n"/>
      <c r="B1464" s="23" t="n"/>
      <c r="C1464" s="23" t="n"/>
      <c r="D1464" s="24" t="n"/>
      <c r="E1464" s="24" t="n"/>
      <c r="F1464" s="23" t="n"/>
      <c r="G1464" s="19">
        <f>IFERROR(IF(OR($B1464="",$C1464=""),"",IF(MATCH($C1464,'Ajustes'!$A$5:$A$8,0)&lt;=2,$D1464*INDEX('Ajustes'!$C$5:$C$6,MATCH($C1464,'Ajustes'!$A$5:$A$8,0)),IF(MATCH($C1464,'Ajustes'!$A$5:$A$8,0)=3,-($D1464+$E1464*INDEX('Equipo'!$B$5:$B$29,MATCH($B1464,'Equipo'!$A$5:$A$29,0))),0))),"")</f>
        <v/>
      </c>
      <c r="H1464" s="25">
        <f>IFERROR(IF(OR($B1464="",$C1464=""),"",IF(MATCH($C1464,'Ajustes'!$A$5:$A$8,0)=4,$D1464/INDEX('Equipo'!$B$5:$B$29,MATCH($B1464,'Equipo'!$A$5:$A$29,0))+$E1464,0)),"")</f>
        <v/>
      </c>
      <c r="I1464" s="26">
        <f>IF($B1464='Perfil'!$B$3,COUNTIF($B$4:$B1464,'Perfil'!$B$3),"")</f>
        <v/>
      </c>
    </row>
    <row r="1465">
      <c r="A1465" s="22" t="n"/>
      <c r="B1465" s="23" t="n"/>
      <c r="C1465" s="23" t="n"/>
      <c r="D1465" s="24" t="n"/>
      <c r="E1465" s="24" t="n"/>
      <c r="F1465" s="23" t="n"/>
      <c r="G1465" s="19">
        <f>IFERROR(IF(OR($B1465="",$C1465=""),"",IF(MATCH($C1465,'Ajustes'!$A$5:$A$8,0)&lt;=2,$D1465*INDEX('Ajustes'!$C$5:$C$6,MATCH($C1465,'Ajustes'!$A$5:$A$8,0)),IF(MATCH($C1465,'Ajustes'!$A$5:$A$8,0)=3,-($D1465+$E1465*INDEX('Equipo'!$B$5:$B$29,MATCH($B1465,'Equipo'!$A$5:$A$29,0))),0))),"")</f>
        <v/>
      </c>
      <c r="H1465" s="25">
        <f>IFERROR(IF(OR($B1465="",$C1465=""),"",IF(MATCH($C1465,'Ajustes'!$A$5:$A$8,0)=4,$D1465/INDEX('Equipo'!$B$5:$B$29,MATCH($B1465,'Equipo'!$A$5:$A$29,0))+$E1465,0)),"")</f>
        <v/>
      </c>
      <c r="I1465" s="26">
        <f>IF($B1465='Perfil'!$B$3,COUNTIF($B$4:$B1465,'Perfil'!$B$3),"")</f>
        <v/>
      </c>
    </row>
    <row r="1466">
      <c r="A1466" s="22" t="n"/>
      <c r="B1466" s="23" t="n"/>
      <c r="C1466" s="23" t="n"/>
      <c r="D1466" s="24" t="n"/>
      <c r="E1466" s="24" t="n"/>
      <c r="F1466" s="23" t="n"/>
      <c r="G1466" s="19">
        <f>IFERROR(IF(OR($B1466="",$C1466=""),"",IF(MATCH($C1466,'Ajustes'!$A$5:$A$8,0)&lt;=2,$D1466*INDEX('Ajustes'!$C$5:$C$6,MATCH($C1466,'Ajustes'!$A$5:$A$8,0)),IF(MATCH($C1466,'Ajustes'!$A$5:$A$8,0)=3,-($D1466+$E1466*INDEX('Equipo'!$B$5:$B$29,MATCH($B1466,'Equipo'!$A$5:$A$29,0))),0))),"")</f>
        <v/>
      </c>
      <c r="H1466" s="25">
        <f>IFERROR(IF(OR($B1466="",$C1466=""),"",IF(MATCH($C1466,'Ajustes'!$A$5:$A$8,0)=4,$D1466/INDEX('Equipo'!$B$5:$B$29,MATCH($B1466,'Equipo'!$A$5:$A$29,0))+$E1466,0)),"")</f>
        <v/>
      </c>
      <c r="I1466" s="26">
        <f>IF($B1466='Perfil'!$B$3,COUNTIF($B$4:$B1466,'Perfil'!$B$3),"")</f>
        <v/>
      </c>
    </row>
    <row r="1467">
      <c r="A1467" s="22" t="n"/>
      <c r="B1467" s="23" t="n"/>
      <c r="C1467" s="23" t="n"/>
      <c r="D1467" s="24" t="n"/>
      <c r="E1467" s="24" t="n"/>
      <c r="F1467" s="23" t="n"/>
      <c r="G1467" s="19">
        <f>IFERROR(IF(OR($B1467="",$C1467=""),"",IF(MATCH($C1467,'Ajustes'!$A$5:$A$8,0)&lt;=2,$D1467*INDEX('Ajustes'!$C$5:$C$6,MATCH($C1467,'Ajustes'!$A$5:$A$8,0)),IF(MATCH($C1467,'Ajustes'!$A$5:$A$8,0)=3,-($D1467+$E1467*INDEX('Equipo'!$B$5:$B$29,MATCH($B1467,'Equipo'!$A$5:$A$29,0))),0))),"")</f>
        <v/>
      </c>
      <c r="H1467" s="25">
        <f>IFERROR(IF(OR($B1467="",$C1467=""),"",IF(MATCH($C1467,'Ajustes'!$A$5:$A$8,0)=4,$D1467/INDEX('Equipo'!$B$5:$B$29,MATCH($B1467,'Equipo'!$A$5:$A$29,0))+$E1467,0)),"")</f>
        <v/>
      </c>
      <c r="I1467" s="26">
        <f>IF($B1467='Perfil'!$B$3,COUNTIF($B$4:$B1467,'Perfil'!$B$3),"")</f>
        <v/>
      </c>
    </row>
    <row r="1468">
      <c r="A1468" s="22" t="n"/>
      <c r="B1468" s="23" t="n"/>
      <c r="C1468" s="23" t="n"/>
      <c r="D1468" s="24" t="n"/>
      <c r="E1468" s="24" t="n"/>
      <c r="F1468" s="23" t="n"/>
      <c r="G1468" s="19">
        <f>IFERROR(IF(OR($B1468="",$C1468=""),"",IF(MATCH($C1468,'Ajustes'!$A$5:$A$8,0)&lt;=2,$D1468*INDEX('Ajustes'!$C$5:$C$6,MATCH($C1468,'Ajustes'!$A$5:$A$8,0)),IF(MATCH($C1468,'Ajustes'!$A$5:$A$8,0)=3,-($D1468+$E1468*INDEX('Equipo'!$B$5:$B$29,MATCH($B1468,'Equipo'!$A$5:$A$29,0))),0))),"")</f>
        <v/>
      </c>
      <c r="H1468" s="25">
        <f>IFERROR(IF(OR($B1468="",$C1468=""),"",IF(MATCH($C1468,'Ajustes'!$A$5:$A$8,0)=4,$D1468/INDEX('Equipo'!$B$5:$B$29,MATCH($B1468,'Equipo'!$A$5:$A$29,0))+$E1468,0)),"")</f>
        <v/>
      </c>
      <c r="I1468" s="26">
        <f>IF($B1468='Perfil'!$B$3,COUNTIF($B$4:$B1468,'Perfil'!$B$3),"")</f>
        <v/>
      </c>
    </row>
    <row r="1469">
      <c r="A1469" s="22" t="n"/>
      <c r="B1469" s="23" t="n"/>
      <c r="C1469" s="23" t="n"/>
      <c r="D1469" s="24" t="n"/>
      <c r="E1469" s="24" t="n"/>
      <c r="F1469" s="23" t="n"/>
      <c r="G1469" s="19">
        <f>IFERROR(IF(OR($B1469="",$C1469=""),"",IF(MATCH($C1469,'Ajustes'!$A$5:$A$8,0)&lt;=2,$D1469*INDEX('Ajustes'!$C$5:$C$6,MATCH($C1469,'Ajustes'!$A$5:$A$8,0)),IF(MATCH($C1469,'Ajustes'!$A$5:$A$8,0)=3,-($D1469+$E1469*INDEX('Equipo'!$B$5:$B$29,MATCH($B1469,'Equipo'!$A$5:$A$29,0))),0))),"")</f>
        <v/>
      </c>
      <c r="H1469" s="25">
        <f>IFERROR(IF(OR($B1469="",$C1469=""),"",IF(MATCH($C1469,'Ajustes'!$A$5:$A$8,0)=4,$D1469/INDEX('Equipo'!$B$5:$B$29,MATCH($B1469,'Equipo'!$A$5:$A$29,0))+$E1469,0)),"")</f>
        <v/>
      </c>
      <c r="I1469" s="26">
        <f>IF($B1469='Perfil'!$B$3,COUNTIF($B$4:$B1469,'Perfil'!$B$3),"")</f>
        <v/>
      </c>
    </row>
    <row r="1470">
      <c r="A1470" s="22" t="n"/>
      <c r="B1470" s="23" t="n"/>
      <c r="C1470" s="23" t="n"/>
      <c r="D1470" s="24" t="n"/>
      <c r="E1470" s="24" t="n"/>
      <c r="F1470" s="23" t="n"/>
      <c r="G1470" s="19">
        <f>IFERROR(IF(OR($B1470="",$C1470=""),"",IF(MATCH($C1470,'Ajustes'!$A$5:$A$8,0)&lt;=2,$D1470*INDEX('Ajustes'!$C$5:$C$6,MATCH($C1470,'Ajustes'!$A$5:$A$8,0)),IF(MATCH($C1470,'Ajustes'!$A$5:$A$8,0)=3,-($D1470+$E1470*INDEX('Equipo'!$B$5:$B$29,MATCH($B1470,'Equipo'!$A$5:$A$29,0))),0))),"")</f>
        <v/>
      </c>
      <c r="H1470" s="25">
        <f>IFERROR(IF(OR($B1470="",$C1470=""),"",IF(MATCH($C1470,'Ajustes'!$A$5:$A$8,0)=4,$D1470/INDEX('Equipo'!$B$5:$B$29,MATCH($B1470,'Equipo'!$A$5:$A$29,0))+$E1470,0)),"")</f>
        <v/>
      </c>
      <c r="I1470" s="26">
        <f>IF($B1470='Perfil'!$B$3,COUNTIF($B$4:$B1470,'Perfil'!$B$3),"")</f>
        <v/>
      </c>
    </row>
    <row r="1471">
      <c r="A1471" s="22" t="n"/>
      <c r="B1471" s="23" t="n"/>
      <c r="C1471" s="23" t="n"/>
      <c r="D1471" s="24" t="n"/>
      <c r="E1471" s="24" t="n"/>
      <c r="F1471" s="23" t="n"/>
      <c r="G1471" s="19">
        <f>IFERROR(IF(OR($B1471="",$C1471=""),"",IF(MATCH($C1471,'Ajustes'!$A$5:$A$8,0)&lt;=2,$D1471*INDEX('Ajustes'!$C$5:$C$6,MATCH($C1471,'Ajustes'!$A$5:$A$8,0)),IF(MATCH($C1471,'Ajustes'!$A$5:$A$8,0)=3,-($D1471+$E1471*INDEX('Equipo'!$B$5:$B$29,MATCH($B1471,'Equipo'!$A$5:$A$29,0))),0))),"")</f>
        <v/>
      </c>
      <c r="H1471" s="25">
        <f>IFERROR(IF(OR($B1471="",$C1471=""),"",IF(MATCH($C1471,'Ajustes'!$A$5:$A$8,0)=4,$D1471/INDEX('Equipo'!$B$5:$B$29,MATCH($B1471,'Equipo'!$A$5:$A$29,0))+$E1471,0)),"")</f>
        <v/>
      </c>
      <c r="I1471" s="26">
        <f>IF($B1471='Perfil'!$B$3,COUNTIF($B$4:$B1471,'Perfil'!$B$3),"")</f>
        <v/>
      </c>
    </row>
    <row r="1472">
      <c r="A1472" s="22" t="n"/>
      <c r="B1472" s="23" t="n"/>
      <c r="C1472" s="23" t="n"/>
      <c r="D1472" s="24" t="n"/>
      <c r="E1472" s="24" t="n"/>
      <c r="F1472" s="23" t="n"/>
      <c r="G1472" s="19">
        <f>IFERROR(IF(OR($B1472="",$C1472=""),"",IF(MATCH($C1472,'Ajustes'!$A$5:$A$8,0)&lt;=2,$D1472*INDEX('Ajustes'!$C$5:$C$6,MATCH($C1472,'Ajustes'!$A$5:$A$8,0)),IF(MATCH($C1472,'Ajustes'!$A$5:$A$8,0)=3,-($D1472+$E1472*INDEX('Equipo'!$B$5:$B$29,MATCH($B1472,'Equipo'!$A$5:$A$29,0))),0))),"")</f>
        <v/>
      </c>
      <c r="H1472" s="25">
        <f>IFERROR(IF(OR($B1472="",$C1472=""),"",IF(MATCH($C1472,'Ajustes'!$A$5:$A$8,0)=4,$D1472/INDEX('Equipo'!$B$5:$B$29,MATCH($B1472,'Equipo'!$A$5:$A$29,0))+$E1472,0)),"")</f>
        <v/>
      </c>
      <c r="I1472" s="26">
        <f>IF($B1472='Perfil'!$B$3,COUNTIF($B$4:$B1472,'Perfil'!$B$3),"")</f>
        <v/>
      </c>
    </row>
    <row r="1473">
      <c r="A1473" s="22" t="n"/>
      <c r="B1473" s="23" t="n"/>
      <c r="C1473" s="23" t="n"/>
      <c r="D1473" s="24" t="n"/>
      <c r="E1473" s="24" t="n"/>
      <c r="F1473" s="23" t="n"/>
      <c r="G1473" s="19">
        <f>IFERROR(IF(OR($B1473="",$C1473=""),"",IF(MATCH($C1473,'Ajustes'!$A$5:$A$8,0)&lt;=2,$D1473*INDEX('Ajustes'!$C$5:$C$6,MATCH($C1473,'Ajustes'!$A$5:$A$8,0)),IF(MATCH($C1473,'Ajustes'!$A$5:$A$8,0)=3,-($D1473+$E1473*INDEX('Equipo'!$B$5:$B$29,MATCH($B1473,'Equipo'!$A$5:$A$29,0))),0))),"")</f>
        <v/>
      </c>
      <c r="H1473" s="25">
        <f>IFERROR(IF(OR($B1473="",$C1473=""),"",IF(MATCH($C1473,'Ajustes'!$A$5:$A$8,0)=4,$D1473/INDEX('Equipo'!$B$5:$B$29,MATCH($B1473,'Equipo'!$A$5:$A$29,0))+$E1473,0)),"")</f>
        <v/>
      </c>
      <c r="I1473" s="26">
        <f>IF($B1473='Perfil'!$B$3,COUNTIF($B$4:$B1473,'Perfil'!$B$3),"")</f>
        <v/>
      </c>
    </row>
    <row r="1474">
      <c r="A1474" s="22" t="n"/>
      <c r="B1474" s="23" t="n"/>
      <c r="C1474" s="23" t="n"/>
      <c r="D1474" s="24" t="n"/>
      <c r="E1474" s="24" t="n"/>
      <c r="F1474" s="23" t="n"/>
      <c r="G1474" s="19">
        <f>IFERROR(IF(OR($B1474="",$C1474=""),"",IF(MATCH($C1474,'Ajustes'!$A$5:$A$8,0)&lt;=2,$D1474*INDEX('Ajustes'!$C$5:$C$6,MATCH($C1474,'Ajustes'!$A$5:$A$8,0)),IF(MATCH($C1474,'Ajustes'!$A$5:$A$8,0)=3,-($D1474+$E1474*INDEX('Equipo'!$B$5:$B$29,MATCH($B1474,'Equipo'!$A$5:$A$29,0))),0))),"")</f>
        <v/>
      </c>
      <c r="H1474" s="25">
        <f>IFERROR(IF(OR($B1474="",$C1474=""),"",IF(MATCH($C1474,'Ajustes'!$A$5:$A$8,0)=4,$D1474/INDEX('Equipo'!$B$5:$B$29,MATCH($B1474,'Equipo'!$A$5:$A$29,0))+$E1474,0)),"")</f>
        <v/>
      </c>
      <c r="I1474" s="26">
        <f>IF($B1474='Perfil'!$B$3,COUNTIF($B$4:$B1474,'Perfil'!$B$3),"")</f>
        <v/>
      </c>
    </row>
    <row r="1475">
      <c r="A1475" s="22" t="n"/>
      <c r="B1475" s="23" t="n"/>
      <c r="C1475" s="23" t="n"/>
      <c r="D1475" s="24" t="n"/>
      <c r="E1475" s="24" t="n"/>
      <c r="F1475" s="23" t="n"/>
      <c r="G1475" s="19">
        <f>IFERROR(IF(OR($B1475="",$C1475=""),"",IF(MATCH($C1475,'Ajustes'!$A$5:$A$8,0)&lt;=2,$D1475*INDEX('Ajustes'!$C$5:$C$6,MATCH($C1475,'Ajustes'!$A$5:$A$8,0)),IF(MATCH($C1475,'Ajustes'!$A$5:$A$8,0)=3,-($D1475+$E1475*INDEX('Equipo'!$B$5:$B$29,MATCH($B1475,'Equipo'!$A$5:$A$29,0))),0))),"")</f>
        <v/>
      </c>
      <c r="H1475" s="25">
        <f>IFERROR(IF(OR($B1475="",$C1475=""),"",IF(MATCH($C1475,'Ajustes'!$A$5:$A$8,0)=4,$D1475/INDEX('Equipo'!$B$5:$B$29,MATCH($B1475,'Equipo'!$A$5:$A$29,0))+$E1475,0)),"")</f>
        <v/>
      </c>
      <c r="I1475" s="26">
        <f>IF($B1475='Perfil'!$B$3,COUNTIF($B$4:$B1475,'Perfil'!$B$3),"")</f>
        <v/>
      </c>
    </row>
    <row r="1476">
      <c r="A1476" s="22" t="n"/>
      <c r="B1476" s="23" t="n"/>
      <c r="C1476" s="23" t="n"/>
      <c r="D1476" s="24" t="n"/>
      <c r="E1476" s="24" t="n"/>
      <c r="F1476" s="23" t="n"/>
      <c r="G1476" s="19">
        <f>IFERROR(IF(OR($B1476="",$C1476=""),"",IF(MATCH($C1476,'Ajustes'!$A$5:$A$8,0)&lt;=2,$D1476*INDEX('Ajustes'!$C$5:$C$6,MATCH($C1476,'Ajustes'!$A$5:$A$8,0)),IF(MATCH($C1476,'Ajustes'!$A$5:$A$8,0)=3,-($D1476+$E1476*INDEX('Equipo'!$B$5:$B$29,MATCH($B1476,'Equipo'!$A$5:$A$29,0))),0))),"")</f>
        <v/>
      </c>
      <c r="H1476" s="25">
        <f>IFERROR(IF(OR($B1476="",$C1476=""),"",IF(MATCH($C1476,'Ajustes'!$A$5:$A$8,0)=4,$D1476/INDEX('Equipo'!$B$5:$B$29,MATCH($B1476,'Equipo'!$A$5:$A$29,0))+$E1476,0)),"")</f>
        <v/>
      </c>
      <c r="I1476" s="26">
        <f>IF($B1476='Perfil'!$B$3,COUNTIF($B$4:$B1476,'Perfil'!$B$3),"")</f>
        <v/>
      </c>
    </row>
    <row r="1477">
      <c r="A1477" s="22" t="n"/>
      <c r="B1477" s="23" t="n"/>
      <c r="C1477" s="23" t="n"/>
      <c r="D1477" s="24" t="n"/>
      <c r="E1477" s="24" t="n"/>
      <c r="F1477" s="23" t="n"/>
      <c r="G1477" s="19">
        <f>IFERROR(IF(OR($B1477="",$C1477=""),"",IF(MATCH($C1477,'Ajustes'!$A$5:$A$8,0)&lt;=2,$D1477*INDEX('Ajustes'!$C$5:$C$6,MATCH($C1477,'Ajustes'!$A$5:$A$8,0)),IF(MATCH($C1477,'Ajustes'!$A$5:$A$8,0)=3,-($D1477+$E1477*INDEX('Equipo'!$B$5:$B$29,MATCH($B1477,'Equipo'!$A$5:$A$29,0))),0))),"")</f>
        <v/>
      </c>
      <c r="H1477" s="25">
        <f>IFERROR(IF(OR($B1477="",$C1477=""),"",IF(MATCH($C1477,'Ajustes'!$A$5:$A$8,0)=4,$D1477/INDEX('Equipo'!$B$5:$B$29,MATCH($B1477,'Equipo'!$A$5:$A$29,0))+$E1477,0)),"")</f>
        <v/>
      </c>
      <c r="I1477" s="26">
        <f>IF($B1477='Perfil'!$B$3,COUNTIF($B$4:$B1477,'Perfil'!$B$3),"")</f>
        <v/>
      </c>
    </row>
    <row r="1478">
      <c r="A1478" s="22" t="n"/>
      <c r="B1478" s="23" t="n"/>
      <c r="C1478" s="23" t="n"/>
      <c r="D1478" s="24" t="n"/>
      <c r="E1478" s="24" t="n"/>
      <c r="F1478" s="23" t="n"/>
      <c r="G1478" s="19">
        <f>IFERROR(IF(OR($B1478="",$C1478=""),"",IF(MATCH($C1478,'Ajustes'!$A$5:$A$8,0)&lt;=2,$D1478*INDEX('Ajustes'!$C$5:$C$6,MATCH($C1478,'Ajustes'!$A$5:$A$8,0)),IF(MATCH($C1478,'Ajustes'!$A$5:$A$8,0)=3,-($D1478+$E1478*INDEX('Equipo'!$B$5:$B$29,MATCH($B1478,'Equipo'!$A$5:$A$29,0))),0))),"")</f>
        <v/>
      </c>
      <c r="H1478" s="25">
        <f>IFERROR(IF(OR($B1478="",$C1478=""),"",IF(MATCH($C1478,'Ajustes'!$A$5:$A$8,0)=4,$D1478/INDEX('Equipo'!$B$5:$B$29,MATCH($B1478,'Equipo'!$A$5:$A$29,0))+$E1478,0)),"")</f>
        <v/>
      </c>
      <c r="I1478" s="26">
        <f>IF($B1478='Perfil'!$B$3,COUNTIF($B$4:$B1478,'Perfil'!$B$3),"")</f>
        <v/>
      </c>
    </row>
    <row r="1479">
      <c r="A1479" s="22" t="n"/>
      <c r="B1479" s="23" t="n"/>
      <c r="C1479" s="23" t="n"/>
      <c r="D1479" s="24" t="n"/>
      <c r="E1479" s="24" t="n"/>
      <c r="F1479" s="23" t="n"/>
      <c r="G1479" s="19">
        <f>IFERROR(IF(OR($B1479="",$C1479=""),"",IF(MATCH($C1479,'Ajustes'!$A$5:$A$8,0)&lt;=2,$D1479*INDEX('Ajustes'!$C$5:$C$6,MATCH($C1479,'Ajustes'!$A$5:$A$8,0)),IF(MATCH($C1479,'Ajustes'!$A$5:$A$8,0)=3,-($D1479+$E1479*INDEX('Equipo'!$B$5:$B$29,MATCH($B1479,'Equipo'!$A$5:$A$29,0))),0))),"")</f>
        <v/>
      </c>
      <c r="H1479" s="25">
        <f>IFERROR(IF(OR($B1479="",$C1479=""),"",IF(MATCH($C1479,'Ajustes'!$A$5:$A$8,0)=4,$D1479/INDEX('Equipo'!$B$5:$B$29,MATCH($B1479,'Equipo'!$A$5:$A$29,0))+$E1479,0)),"")</f>
        <v/>
      </c>
      <c r="I1479" s="26">
        <f>IF($B1479='Perfil'!$B$3,COUNTIF($B$4:$B1479,'Perfil'!$B$3),"")</f>
        <v/>
      </c>
    </row>
    <row r="1480">
      <c r="A1480" s="22" t="n"/>
      <c r="B1480" s="23" t="n"/>
      <c r="C1480" s="23" t="n"/>
      <c r="D1480" s="24" t="n"/>
      <c r="E1480" s="24" t="n"/>
      <c r="F1480" s="23" t="n"/>
      <c r="G1480" s="19">
        <f>IFERROR(IF(OR($B1480="",$C1480=""),"",IF(MATCH($C1480,'Ajustes'!$A$5:$A$8,0)&lt;=2,$D1480*INDEX('Ajustes'!$C$5:$C$6,MATCH($C1480,'Ajustes'!$A$5:$A$8,0)),IF(MATCH($C1480,'Ajustes'!$A$5:$A$8,0)=3,-($D1480+$E1480*INDEX('Equipo'!$B$5:$B$29,MATCH($B1480,'Equipo'!$A$5:$A$29,0))),0))),"")</f>
        <v/>
      </c>
      <c r="H1480" s="25">
        <f>IFERROR(IF(OR($B1480="",$C1480=""),"",IF(MATCH($C1480,'Ajustes'!$A$5:$A$8,0)=4,$D1480/INDEX('Equipo'!$B$5:$B$29,MATCH($B1480,'Equipo'!$A$5:$A$29,0))+$E1480,0)),"")</f>
        <v/>
      </c>
      <c r="I1480" s="26">
        <f>IF($B1480='Perfil'!$B$3,COUNTIF($B$4:$B1480,'Perfil'!$B$3),"")</f>
        <v/>
      </c>
    </row>
    <row r="1481">
      <c r="A1481" s="22" t="n"/>
      <c r="B1481" s="23" t="n"/>
      <c r="C1481" s="23" t="n"/>
      <c r="D1481" s="24" t="n"/>
      <c r="E1481" s="24" t="n"/>
      <c r="F1481" s="23" t="n"/>
      <c r="G1481" s="19">
        <f>IFERROR(IF(OR($B1481="",$C1481=""),"",IF(MATCH($C1481,'Ajustes'!$A$5:$A$8,0)&lt;=2,$D1481*INDEX('Ajustes'!$C$5:$C$6,MATCH($C1481,'Ajustes'!$A$5:$A$8,0)),IF(MATCH($C1481,'Ajustes'!$A$5:$A$8,0)=3,-($D1481+$E1481*INDEX('Equipo'!$B$5:$B$29,MATCH($B1481,'Equipo'!$A$5:$A$29,0))),0))),"")</f>
        <v/>
      </c>
      <c r="H1481" s="25">
        <f>IFERROR(IF(OR($B1481="",$C1481=""),"",IF(MATCH($C1481,'Ajustes'!$A$5:$A$8,0)=4,$D1481/INDEX('Equipo'!$B$5:$B$29,MATCH($B1481,'Equipo'!$A$5:$A$29,0))+$E1481,0)),"")</f>
        <v/>
      </c>
      <c r="I1481" s="26">
        <f>IF($B1481='Perfil'!$B$3,COUNTIF($B$4:$B1481,'Perfil'!$B$3),"")</f>
        <v/>
      </c>
    </row>
    <row r="1482">
      <c r="A1482" s="22" t="n"/>
      <c r="B1482" s="23" t="n"/>
      <c r="C1482" s="23" t="n"/>
      <c r="D1482" s="24" t="n"/>
      <c r="E1482" s="24" t="n"/>
      <c r="F1482" s="23" t="n"/>
      <c r="G1482" s="19">
        <f>IFERROR(IF(OR($B1482="",$C1482=""),"",IF(MATCH($C1482,'Ajustes'!$A$5:$A$8,0)&lt;=2,$D1482*INDEX('Ajustes'!$C$5:$C$6,MATCH($C1482,'Ajustes'!$A$5:$A$8,0)),IF(MATCH($C1482,'Ajustes'!$A$5:$A$8,0)=3,-($D1482+$E1482*INDEX('Equipo'!$B$5:$B$29,MATCH($B1482,'Equipo'!$A$5:$A$29,0))),0))),"")</f>
        <v/>
      </c>
      <c r="H1482" s="25">
        <f>IFERROR(IF(OR($B1482="",$C1482=""),"",IF(MATCH($C1482,'Ajustes'!$A$5:$A$8,0)=4,$D1482/INDEX('Equipo'!$B$5:$B$29,MATCH($B1482,'Equipo'!$A$5:$A$29,0))+$E1482,0)),"")</f>
        <v/>
      </c>
      <c r="I1482" s="26">
        <f>IF($B1482='Perfil'!$B$3,COUNTIF($B$4:$B1482,'Perfil'!$B$3),"")</f>
        <v/>
      </c>
    </row>
    <row r="1483">
      <c r="A1483" s="22" t="n"/>
      <c r="B1483" s="23" t="n"/>
      <c r="C1483" s="23" t="n"/>
      <c r="D1483" s="24" t="n"/>
      <c r="E1483" s="24" t="n"/>
      <c r="F1483" s="23" t="n"/>
      <c r="G1483" s="19">
        <f>IFERROR(IF(OR($B1483="",$C1483=""),"",IF(MATCH($C1483,'Ajustes'!$A$5:$A$8,0)&lt;=2,$D1483*INDEX('Ajustes'!$C$5:$C$6,MATCH($C1483,'Ajustes'!$A$5:$A$8,0)),IF(MATCH($C1483,'Ajustes'!$A$5:$A$8,0)=3,-($D1483+$E1483*INDEX('Equipo'!$B$5:$B$29,MATCH($B1483,'Equipo'!$A$5:$A$29,0))),0))),"")</f>
        <v/>
      </c>
      <c r="H1483" s="25">
        <f>IFERROR(IF(OR($B1483="",$C1483=""),"",IF(MATCH($C1483,'Ajustes'!$A$5:$A$8,0)=4,$D1483/INDEX('Equipo'!$B$5:$B$29,MATCH($B1483,'Equipo'!$A$5:$A$29,0))+$E1483,0)),"")</f>
        <v/>
      </c>
      <c r="I1483" s="26">
        <f>IF($B1483='Perfil'!$B$3,COUNTIF($B$4:$B1483,'Perfil'!$B$3),"")</f>
        <v/>
      </c>
    </row>
    <row r="1484">
      <c r="A1484" s="22" t="n"/>
      <c r="B1484" s="23" t="n"/>
      <c r="C1484" s="23" t="n"/>
      <c r="D1484" s="24" t="n"/>
      <c r="E1484" s="24" t="n"/>
      <c r="F1484" s="23" t="n"/>
      <c r="G1484" s="19">
        <f>IFERROR(IF(OR($B1484="",$C1484=""),"",IF(MATCH($C1484,'Ajustes'!$A$5:$A$8,0)&lt;=2,$D1484*INDEX('Ajustes'!$C$5:$C$6,MATCH($C1484,'Ajustes'!$A$5:$A$8,0)),IF(MATCH($C1484,'Ajustes'!$A$5:$A$8,0)=3,-($D1484+$E1484*INDEX('Equipo'!$B$5:$B$29,MATCH($B1484,'Equipo'!$A$5:$A$29,0))),0))),"")</f>
        <v/>
      </c>
      <c r="H1484" s="25">
        <f>IFERROR(IF(OR($B1484="",$C1484=""),"",IF(MATCH($C1484,'Ajustes'!$A$5:$A$8,0)=4,$D1484/INDEX('Equipo'!$B$5:$B$29,MATCH($B1484,'Equipo'!$A$5:$A$29,0))+$E1484,0)),"")</f>
        <v/>
      </c>
      <c r="I1484" s="26">
        <f>IF($B1484='Perfil'!$B$3,COUNTIF($B$4:$B1484,'Perfil'!$B$3),"")</f>
        <v/>
      </c>
    </row>
    <row r="1485">
      <c r="A1485" s="22" t="n"/>
      <c r="B1485" s="23" t="n"/>
      <c r="C1485" s="23" t="n"/>
      <c r="D1485" s="24" t="n"/>
      <c r="E1485" s="24" t="n"/>
      <c r="F1485" s="23" t="n"/>
      <c r="G1485" s="19">
        <f>IFERROR(IF(OR($B1485="",$C1485=""),"",IF(MATCH($C1485,'Ajustes'!$A$5:$A$8,0)&lt;=2,$D1485*INDEX('Ajustes'!$C$5:$C$6,MATCH($C1485,'Ajustes'!$A$5:$A$8,0)),IF(MATCH($C1485,'Ajustes'!$A$5:$A$8,0)=3,-($D1485+$E1485*INDEX('Equipo'!$B$5:$B$29,MATCH($B1485,'Equipo'!$A$5:$A$29,0))),0))),"")</f>
        <v/>
      </c>
      <c r="H1485" s="25">
        <f>IFERROR(IF(OR($B1485="",$C1485=""),"",IF(MATCH($C1485,'Ajustes'!$A$5:$A$8,0)=4,$D1485/INDEX('Equipo'!$B$5:$B$29,MATCH($B1485,'Equipo'!$A$5:$A$29,0))+$E1485,0)),"")</f>
        <v/>
      </c>
      <c r="I1485" s="26">
        <f>IF($B1485='Perfil'!$B$3,COUNTIF($B$4:$B1485,'Perfil'!$B$3),"")</f>
        <v/>
      </c>
    </row>
    <row r="1486">
      <c r="A1486" s="22" t="n"/>
      <c r="B1486" s="23" t="n"/>
      <c r="C1486" s="23" t="n"/>
      <c r="D1486" s="24" t="n"/>
      <c r="E1486" s="24" t="n"/>
      <c r="F1486" s="23" t="n"/>
      <c r="G1486" s="19">
        <f>IFERROR(IF(OR($B1486="",$C1486=""),"",IF(MATCH($C1486,'Ajustes'!$A$5:$A$8,0)&lt;=2,$D1486*INDEX('Ajustes'!$C$5:$C$6,MATCH($C1486,'Ajustes'!$A$5:$A$8,0)),IF(MATCH($C1486,'Ajustes'!$A$5:$A$8,0)=3,-($D1486+$E1486*INDEX('Equipo'!$B$5:$B$29,MATCH($B1486,'Equipo'!$A$5:$A$29,0))),0))),"")</f>
        <v/>
      </c>
      <c r="H1486" s="25">
        <f>IFERROR(IF(OR($B1486="",$C1486=""),"",IF(MATCH($C1486,'Ajustes'!$A$5:$A$8,0)=4,$D1486/INDEX('Equipo'!$B$5:$B$29,MATCH($B1486,'Equipo'!$A$5:$A$29,0))+$E1486,0)),"")</f>
        <v/>
      </c>
      <c r="I1486" s="26">
        <f>IF($B1486='Perfil'!$B$3,COUNTIF($B$4:$B1486,'Perfil'!$B$3),"")</f>
        <v/>
      </c>
    </row>
    <row r="1487">
      <c r="A1487" s="22" t="n"/>
      <c r="B1487" s="23" t="n"/>
      <c r="C1487" s="23" t="n"/>
      <c r="D1487" s="24" t="n"/>
      <c r="E1487" s="24" t="n"/>
      <c r="F1487" s="23" t="n"/>
      <c r="G1487" s="19">
        <f>IFERROR(IF(OR($B1487="",$C1487=""),"",IF(MATCH($C1487,'Ajustes'!$A$5:$A$8,0)&lt;=2,$D1487*INDEX('Ajustes'!$C$5:$C$6,MATCH($C1487,'Ajustes'!$A$5:$A$8,0)),IF(MATCH($C1487,'Ajustes'!$A$5:$A$8,0)=3,-($D1487+$E1487*INDEX('Equipo'!$B$5:$B$29,MATCH($B1487,'Equipo'!$A$5:$A$29,0))),0))),"")</f>
        <v/>
      </c>
      <c r="H1487" s="25">
        <f>IFERROR(IF(OR($B1487="",$C1487=""),"",IF(MATCH($C1487,'Ajustes'!$A$5:$A$8,0)=4,$D1487/INDEX('Equipo'!$B$5:$B$29,MATCH($B1487,'Equipo'!$A$5:$A$29,0))+$E1487,0)),"")</f>
        <v/>
      </c>
      <c r="I1487" s="26">
        <f>IF($B1487='Perfil'!$B$3,COUNTIF($B$4:$B1487,'Perfil'!$B$3),"")</f>
        <v/>
      </c>
    </row>
    <row r="1488">
      <c r="A1488" s="22" t="n"/>
      <c r="B1488" s="23" t="n"/>
      <c r="C1488" s="23" t="n"/>
      <c r="D1488" s="24" t="n"/>
      <c r="E1488" s="24" t="n"/>
      <c r="F1488" s="23" t="n"/>
      <c r="G1488" s="19">
        <f>IFERROR(IF(OR($B1488="",$C1488=""),"",IF(MATCH($C1488,'Ajustes'!$A$5:$A$8,0)&lt;=2,$D1488*INDEX('Ajustes'!$C$5:$C$6,MATCH($C1488,'Ajustes'!$A$5:$A$8,0)),IF(MATCH($C1488,'Ajustes'!$A$5:$A$8,0)=3,-($D1488+$E1488*INDEX('Equipo'!$B$5:$B$29,MATCH($B1488,'Equipo'!$A$5:$A$29,0))),0))),"")</f>
        <v/>
      </c>
      <c r="H1488" s="25">
        <f>IFERROR(IF(OR($B1488="",$C1488=""),"",IF(MATCH($C1488,'Ajustes'!$A$5:$A$8,0)=4,$D1488/INDEX('Equipo'!$B$5:$B$29,MATCH($B1488,'Equipo'!$A$5:$A$29,0))+$E1488,0)),"")</f>
        <v/>
      </c>
      <c r="I1488" s="26">
        <f>IF($B1488='Perfil'!$B$3,COUNTIF($B$4:$B1488,'Perfil'!$B$3),"")</f>
        <v/>
      </c>
    </row>
    <row r="1489">
      <c r="A1489" s="22" t="n"/>
      <c r="B1489" s="23" t="n"/>
      <c r="C1489" s="23" t="n"/>
      <c r="D1489" s="24" t="n"/>
      <c r="E1489" s="24" t="n"/>
      <c r="F1489" s="23" t="n"/>
      <c r="G1489" s="19">
        <f>IFERROR(IF(OR($B1489="",$C1489=""),"",IF(MATCH($C1489,'Ajustes'!$A$5:$A$8,0)&lt;=2,$D1489*INDEX('Ajustes'!$C$5:$C$6,MATCH($C1489,'Ajustes'!$A$5:$A$8,0)),IF(MATCH($C1489,'Ajustes'!$A$5:$A$8,0)=3,-($D1489+$E1489*INDEX('Equipo'!$B$5:$B$29,MATCH($B1489,'Equipo'!$A$5:$A$29,0))),0))),"")</f>
        <v/>
      </c>
      <c r="H1489" s="25">
        <f>IFERROR(IF(OR($B1489="",$C1489=""),"",IF(MATCH($C1489,'Ajustes'!$A$5:$A$8,0)=4,$D1489/INDEX('Equipo'!$B$5:$B$29,MATCH($B1489,'Equipo'!$A$5:$A$29,0))+$E1489,0)),"")</f>
        <v/>
      </c>
      <c r="I1489" s="26">
        <f>IF($B1489='Perfil'!$B$3,COUNTIF($B$4:$B1489,'Perfil'!$B$3),"")</f>
        <v/>
      </c>
    </row>
    <row r="1490">
      <c r="A1490" s="22" t="n"/>
      <c r="B1490" s="23" t="n"/>
      <c r="C1490" s="23" t="n"/>
      <c r="D1490" s="24" t="n"/>
      <c r="E1490" s="24" t="n"/>
      <c r="F1490" s="23" t="n"/>
      <c r="G1490" s="19">
        <f>IFERROR(IF(OR($B1490="",$C1490=""),"",IF(MATCH($C1490,'Ajustes'!$A$5:$A$8,0)&lt;=2,$D1490*INDEX('Ajustes'!$C$5:$C$6,MATCH($C1490,'Ajustes'!$A$5:$A$8,0)),IF(MATCH($C1490,'Ajustes'!$A$5:$A$8,0)=3,-($D1490+$E1490*INDEX('Equipo'!$B$5:$B$29,MATCH($B1490,'Equipo'!$A$5:$A$29,0))),0))),"")</f>
        <v/>
      </c>
      <c r="H1490" s="25">
        <f>IFERROR(IF(OR($B1490="",$C1490=""),"",IF(MATCH($C1490,'Ajustes'!$A$5:$A$8,0)=4,$D1490/INDEX('Equipo'!$B$5:$B$29,MATCH($B1490,'Equipo'!$A$5:$A$29,0))+$E1490,0)),"")</f>
        <v/>
      </c>
      <c r="I1490" s="26">
        <f>IF($B1490='Perfil'!$B$3,COUNTIF($B$4:$B1490,'Perfil'!$B$3),"")</f>
        <v/>
      </c>
    </row>
    <row r="1491">
      <c r="A1491" s="22" t="n"/>
      <c r="B1491" s="23" t="n"/>
      <c r="C1491" s="23" t="n"/>
      <c r="D1491" s="24" t="n"/>
      <c r="E1491" s="24" t="n"/>
      <c r="F1491" s="23" t="n"/>
      <c r="G1491" s="19">
        <f>IFERROR(IF(OR($B1491="",$C1491=""),"",IF(MATCH($C1491,'Ajustes'!$A$5:$A$8,0)&lt;=2,$D1491*INDEX('Ajustes'!$C$5:$C$6,MATCH($C1491,'Ajustes'!$A$5:$A$8,0)),IF(MATCH($C1491,'Ajustes'!$A$5:$A$8,0)=3,-($D1491+$E1491*INDEX('Equipo'!$B$5:$B$29,MATCH($B1491,'Equipo'!$A$5:$A$29,0))),0))),"")</f>
        <v/>
      </c>
      <c r="H1491" s="25">
        <f>IFERROR(IF(OR($B1491="",$C1491=""),"",IF(MATCH($C1491,'Ajustes'!$A$5:$A$8,0)=4,$D1491/INDEX('Equipo'!$B$5:$B$29,MATCH($B1491,'Equipo'!$A$5:$A$29,0))+$E1491,0)),"")</f>
        <v/>
      </c>
      <c r="I1491" s="26">
        <f>IF($B1491='Perfil'!$B$3,COUNTIF($B$4:$B1491,'Perfil'!$B$3),"")</f>
        <v/>
      </c>
    </row>
    <row r="1492">
      <c r="A1492" s="22" t="n"/>
      <c r="B1492" s="23" t="n"/>
      <c r="C1492" s="23" t="n"/>
      <c r="D1492" s="24" t="n"/>
      <c r="E1492" s="24" t="n"/>
      <c r="F1492" s="23" t="n"/>
      <c r="G1492" s="19">
        <f>IFERROR(IF(OR($B1492="",$C1492=""),"",IF(MATCH($C1492,'Ajustes'!$A$5:$A$8,0)&lt;=2,$D1492*INDEX('Ajustes'!$C$5:$C$6,MATCH($C1492,'Ajustes'!$A$5:$A$8,0)),IF(MATCH($C1492,'Ajustes'!$A$5:$A$8,0)=3,-($D1492+$E1492*INDEX('Equipo'!$B$5:$B$29,MATCH($B1492,'Equipo'!$A$5:$A$29,0))),0))),"")</f>
        <v/>
      </c>
      <c r="H1492" s="25">
        <f>IFERROR(IF(OR($B1492="",$C1492=""),"",IF(MATCH($C1492,'Ajustes'!$A$5:$A$8,0)=4,$D1492/INDEX('Equipo'!$B$5:$B$29,MATCH($B1492,'Equipo'!$A$5:$A$29,0))+$E1492,0)),"")</f>
        <v/>
      </c>
      <c r="I1492" s="26">
        <f>IF($B1492='Perfil'!$B$3,COUNTIF($B$4:$B1492,'Perfil'!$B$3),"")</f>
        <v/>
      </c>
    </row>
    <row r="1493">
      <c r="A1493" s="22" t="n"/>
      <c r="B1493" s="23" t="n"/>
      <c r="C1493" s="23" t="n"/>
      <c r="D1493" s="24" t="n"/>
      <c r="E1493" s="24" t="n"/>
      <c r="F1493" s="23" t="n"/>
      <c r="G1493" s="19">
        <f>IFERROR(IF(OR($B1493="",$C1493=""),"",IF(MATCH($C1493,'Ajustes'!$A$5:$A$8,0)&lt;=2,$D1493*INDEX('Ajustes'!$C$5:$C$6,MATCH($C1493,'Ajustes'!$A$5:$A$8,0)),IF(MATCH($C1493,'Ajustes'!$A$5:$A$8,0)=3,-($D1493+$E1493*INDEX('Equipo'!$B$5:$B$29,MATCH($B1493,'Equipo'!$A$5:$A$29,0))),0))),"")</f>
        <v/>
      </c>
      <c r="H1493" s="25">
        <f>IFERROR(IF(OR($B1493="",$C1493=""),"",IF(MATCH($C1493,'Ajustes'!$A$5:$A$8,0)=4,$D1493/INDEX('Equipo'!$B$5:$B$29,MATCH($B1493,'Equipo'!$A$5:$A$29,0))+$E1493,0)),"")</f>
        <v/>
      </c>
      <c r="I1493" s="26">
        <f>IF($B1493='Perfil'!$B$3,COUNTIF($B$4:$B1493,'Perfil'!$B$3),"")</f>
        <v/>
      </c>
    </row>
    <row r="1494">
      <c r="A1494" s="22" t="n"/>
      <c r="B1494" s="23" t="n"/>
      <c r="C1494" s="23" t="n"/>
      <c r="D1494" s="24" t="n"/>
      <c r="E1494" s="24" t="n"/>
      <c r="F1494" s="23" t="n"/>
      <c r="G1494" s="19">
        <f>IFERROR(IF(OR($B1494="",$C1494=""),"",IF(MATCH($C1494,'Ajustes'!$A$5:$A$8,0)&lt;=2,$D1494*INDEX('Ajustes'!$C$5:$C$6,MATCH($C1494,'Ajustes'!$A$5:$A$8,0)),IF(MATCH($C1494,'Ajustes'!$A$5:$A$8,0)=3,-($D1494+$E1494*INDEX('Equipo'!$B$5:$B$29,MATCH($B1494,'Equipo'!$A$5:$A$29,0))),0))),"")</f>
        <v/>
      </c>
      <c r="H1494" s="25">
        <f>IFERROR(IF(OR($B1494="",$C1494=""),"",IF(MATCH($C1494,'Ajustes'!$A$5:$A$8,0)=4,$D1494/INDEX('Equipo'!$B$5:$B$29,MATCH($B1494,'Equipo'!$A$5:$A$29,0))+$E1494,0)),"")</f>
        <v/>
      </c>
      <c r="I1494" s="26">
        <f>IF($B1494='Perfil'!$B$3,COUNTIF($B$4:$B1494,'Perfil'!$B$3),"")</f>
        <v/>
      </c>
    </row>
    <row r="1495">
      <c r="A1495" s="22" t="n"/>
      <c r="B1495" s="23" t="n"/>
      <c r="C1495" s="23" t="n"/>
      <c r="D1495" s="24" t="n"/>
      <c r="E1495" s="24" t="n"/>
      <c r="F1495" s="23" t="n"/>
      <c r="G1495" s="19">
        <f>IFERROR(IF(OR($B1495="",$C1495=""),"",IF(MATCH($C1495,'Ajustes'!$A$5:$A$8,0)&lt;=2,$D1495*INDEX('Ajustes'!$C$5:$C$6,MATCH($C1495,'Ajustes'!$A$5:$A$8,0)),IF(MATCH($C1495,'Ajustes'!$A$5:$A$8,0)=3,-($D1495+$E1495*INDEX('Equipo'!$B$5:$B$29,MATCH($B1495,'Equipo'!$A$5:$A$29,0))),0))),"")</f>
        <v/>
      </c>
      <c r="H1495" s="25">
        <f>IFERROR(IF(OR($B1495="",$C1495=""),"",IF(MATCH($C1495,'Ajustes'!$A$5:$A$8,0)=4,$D1495/INDEX('Equipo'!$B$5:$B$29,MATCH($B1495,'Equipo'!$A$5:$A$29,0))+$E1495,0)),"")</f>
        <v/>
      </c>
      <c r="I1495" s="26">
        <f>IF($B1495='Perfil'!$B$3,COUNTIF($B$4:$B1495,'Perfil'!$B$3),"")</f>
        <v/>
      </c>
    </row>
    <row r="1496">
      <c r="A1496" s="22" t="n"/>
      <c r="B1496" s="23" t="n"/>
      <c r="C1496" s="23" t="n"/>
      <c r="D1496" s="24" t="n"/>
      <c r="E1496" s="24" t="n"/>
      <c r="F1496" s="23" t="n"/>
      <c r="G1496" s="19">
        <f>IFERROR(IF(OR($B1496="",$C1496=""),"",IF(MATCH($C1496,'Ajustes'!$A$5:$A$8,0)&lt;=2,$D1496*INDEX('Ajustes'!$C$5:$C$6,MATCH($C1496,'Ajustes'!$A$5:$A$8,0)),IF(MATCH($C1496,'Ajustes'!$A$5:$A$8,0)=3,-($D1496+$E1496*INDEX('Equipo'!$B$5:$B$29,MATCH($B1496,'Equipo'!$A$5:$A$29,0))),0))),"")</f>
        <v/>
      </c>
      <c r="H1496" s="25">
        <f>IFERROR(IF(OR($B1496="",$C1496=""),"",IF(MATCH($C1496,'Ajustes'!$A$5:$A$8,0)=4,$D1496/INDEX('Equipo'!$B$5:$B$29,MATCH($B1496,'Equipo'!$A$5:$A$29,0))+$E1496,0)),"")</f>
        <v/>
      </c>
      <c r="I1496" s="26">
        <f>IF($B1496='Perfil'!$B$3,COUNTIF($B$4:$B1496,'Perfil'!$B$3),"")</f>
        <v/>
      </c>
    </row>
    <row r="1497">
      <c r="A1497" s="22" t="n"/>
      <c r="B1497" s="23" t="n"/>
      <c r="C1497" s="23" t="n"/>
      <c r="D1497" s="24" t="n"/>
      <c r="E1497" s="24" t="n"/>
      <c r="F1497" s="23" t="n"/>
      <c r="G1497" s="19">
        <f>IFERROR(IF(OR($B1497="",$C1497=""),"",IF(MATCH($C1497,'Ajustes'!$A$5:$A$8,0)&lt;=2,$D1497*INDEX('Ajustes'!$C$5:$C$6,MATCH($C1497,'Ajustes'!$A$5:$A$8,0)),IF(MATCH($C1497,'Ajustes'!$A$5:$A$8,0)=3,-($D1497+$E1497*INDEX('Equipo'!$B$5:$B$29,MATCH($B1497,'Equipo'!$A$5:$A$29,0))),0))),"")</f>
        <v/>
      </c>
      <c r="H1497" s="25">
        <f>IFERROR(IF(OR($B1497="",$C1497=""),"",IF(MATCH($C1497,'Ajustes'!$A$5:$A$8,0)=4,$D1497/INDEX('Equipo'!$B$5:$B$29,MATCH($B1497,'Equipo'!$A$5:$A$29,0))+$E1497,0)),"")</f>
        <v/>
      </c>
      <c r="I1497" s="26">
        <f>IF($B1497='Perfil'!$B$3,COUNTIF($B$4:$B1497,'Perfil'!$B$3),"")</f>
        <v/>
      </c>
    </row>
    <row r="1498">
      <c r="A1498" s="22" t="n"/>
      <c r="B1498" s="23" t="n"/>
      <c r="C1498" s="23" t="n"/>
      <c r="D1498" s="24" t="n"/>
      <c r="E1498" s="24" t="n"/>
      <c r="F1498" s="23" t="n"/>
      <c r="G1498" s="19">
        <f>IFERROR(IF(OR($B1498="",$C1498=""),"",IF(MATCH($C1498,'Ajustes'!$A$5:$A$8,0)&lt;=2,$D1498*INDEX('Ajustes'!$C$5:$C$6,MATCH($C1498,'Ajustes'!$A$5:$A$8,0)),IF(MATCH($C1498,'Ajustes'!$A$5:$A$8,0)=3,-($D1498+$E1498*INDEX('Equipo'!$B$5:$B$29,MATCH($B1498,'Equipo'!$A$5:$A$29,0))),0))),"")</f>
        <v/>
      </c>
      <c r="H1498" s="25">
        <f>IFERROR(IF(OR($B1498="",$C1498=""),"",IF(MATCH($C1498,'Ajustes'!$A$5:$A$8,0)=4,$D1498/INDEX('Equipo'!$B$5:$B$29,MATCH($B1498,'Equipo'!$A$5:$A$29,0))+$E1498,0)),"")</f>
        <v/>
      </c>
      <c r="I1498" s="26">
        <f>IF($B1498='Perfil'!$B$3,COUNTIF($B$4:$B1498,'Perfil'!$B$3),"")</f>
        <v/>
      </c>
    </row>
    <row r="1499">
      <c r="A1499" s="22" t="n"/>
      <c r="B1499" s="23" t="n"/>
      <c r="C1499" s="23" t="n"/>
      <c r="D1499" s="24" t="n"/>
      <c r="E1499" s="24" t="n"/>
      <c r="F1499" s="23" t="n"/>
      <c r="G1499" s="19">
        <f>IFERROR(IF(OR($B1499="",$C1499=""),"",IF(MATCH($C1499,'Ajustes'!$A$5:$A$8,0)&lt;=2,$D1499*INDEX('Ajustes'!$C$5:$C$6,MATCH($C1499,'Ajustes'!$A$5:$A$8,0)),IF(MATCH($C1499,'Ajustes'!$A$5:$A$8,0)=3,-($D1499+$E1499*INDEX('Equipo'!$B$5:$B$29,MATCH($B1499,'Equipo'!$A$5:$A$29,0))),0))),"")</f>
        <v/>
      </c>
      <c r="H1499" s="25">
        <f>IFERROR(IF(OR($B1499="",$C1499=""),"",IF(MATCH($C1499,'Ajustes'!$A$5:$A$8,0)=4,$D1499/INDEX('Equipo'!$B$5:$B$29,MATCH($B1499,'Equipo'!$A$5:$A$29,0))+$E1499,0)),"")</f>
        <v/>
      </c>
      <c r="I1499" s="26">
        <f>IF($B1499='Perfil'!$B$3,COUNTIF($B$4:$B1499,'Perfil'!$B$3),"")</f>
        <v/>
      </c>
    </row>
    <row r="1500">
      <c r="A1500" s="22" t="n"/>
      <c r="B1500" s="23" t="n"/>
      <c r="C1500" s="23" t="n"/>
      <c r="D1500" s="24" t="n"/>
      <c r="E1500" s="24" t="n"/>
      <c r="F1500" s="23" t="n"/>
      <c r="G1500" s="19">
        <f>IFERROR(IF(OR($B1500="",$C1500=""),"",IF(MATCH($C1500,'Ajustes'!$A$5:$A$8,0)&lt;=2,$D1500*INDEX('Ajustes'!$C$5:$C$6,MATCH($C1500,'Ajustes'!$A$5:$A$8,0)),IF(MATCH($C1500,'Ajustes'!$A$5:$A$8,0)=3,-($D1500+$E1500*INDEX('Equipo'!$B$5:$B$29,MATCH($B1500,'Equipo'!$A$5:$A$29,0))),0))),"")</f>
        <v/>
      </c>
      <c r="H1500" s="25">
        <f>IFERROR(IF(OR($B1500="",$C1500=""),"",IF(MATCH($C1500,'Ajustes'!$A$5:$A$8,0)=4,$D1500/INDEX('Equipo'!$B$5:$B$29,MATCH($B1500,'Equipo'!$A$5:$A$29,0))+$E1500,0)),"")</f>
        <v/>
      </c>
      <c r="I1500" s="26">
        <f>IF($B1500='Perfil'!$B$3,COUNTIF($B$4:$B1500,'Perfil'!$B$3),"")</f>
        <v/>
      </c>
    </row>
    <row r="1501">
      <c r="A1501" s="22" t="n"/>
      <c r="B1501" s="23" t="n"/>
      <c r="C1501" s="23" t="n"/>
      <c r="D1501" s="24" t="n"/>
      <c r="E1501" s="24" t="n"/>
      <c r="F1501" s="23" t="n"/>
      <c r="G1501" s="19">
        <f>IFERROR(IF(OR($B1501="",$C1501=""),"",IF(MATCH($C1501,'Ajustes'!$A$5:$A$8,0)&lt;=2,$D1501*INDEX('Ajustes'!$C$5:$C$6,MATCH($C1501,'Ajustes'!$A$5:$A$8,0)),IF(MATCH($C1501,'Ajustes'!$A$5:$A$8,0)=3,-($D1501+$E1501*INDEX('Equipo'!$B$5:$B$29,MATCH($B1501,'Equipo'!$A$5:$A$29,0))),0))),"")</f>
        <v/>
      </c>
      <c r="H1501" s="25">
        <f>IFERROR(IF(OR($B1501="",$C1501=""),"",IF(MATCH($C1501,'Ajustes'!$A$5:$A$8,0)=4,$D1501/INDEX('Equipo'!$B$5:$B$29,MATCH($B1501,'Equipo'!$A$5:$A$29,0))+$E1501,0)),"")</f>
        <v/>
      </c>
      <c r="I1501" s="26">
        <f>IF($B1501='Perfil'!$B$3,COUNTIF($B$4:$B1501,'Perfil'!$B$3),"")</f>
        <v/>
      </c>
    </row>
    <row r="1502">
      <c r="A1502" s="22" t="n"/>
      <c r="B1502" s="23" t="n"/>
      <c r="C1502" s="23" t="n"/>
      <c r="D1502" s="24" t="n"/>
      <c r="E1502" s="24" t="n"/>
      <c r="F1502" s="23" t="n"/>
      <c r="G1502" s="19">
        <f>IFERROR(IF(OR($B1502="",$C1502=""),"",IF(MATCH($C1502,'Ajustes'!$A$5:$A$8,0)&lt;=2,$D1502*INDEX('Ajustes'!$C$5:$C$6,MATCH($C1502,'Ajustes'!$A$5:$A$8,0)),IF(MATCH($C1502,'Ajustes'!$A$5:$A$8,0)=3,-($D1502+$E1502*INDEX('Equipo'!$B$5:$B$29,MATCH($B1502,'Equipo'!$A$5:$A$29,0))),0))),"")</f>
        <v/>
      </c>
      <c r="H1502" s="25">
        <f>IFERROR(IF(OR($B1502="",$C1502=""),"",IF(MATCH($C1502,'Ajustes'!$A$5:$A$8,0)=4,$D1502/INDEX('Equipo'!$B$5:$B$29,MATCH($B1502,'Equipo'!$A$5:$A$29,0))+$E1502,0)),"")</f>
        <v/>
      </c>
      <c r="I1502" s="26">
        <f>IF($B1502='Perfil'!$B$3,COUNTIF($B$4:$B1502,'Perfil'!$B$3),"")</f>
        <v/>
      </c>
    </row>
    <row r="1503">
      <c r="A1503" s="22" t="n"/>
      <c r="B1503" s="23" t="n"/>
      <c r="C1503" s="23" t="n"/>
      <c r="D1503" s="24" t="n"/>
      <c r="E1503" s="24" t="n"/>
      <c r="F1503" s="23" t="n"/>
      <c r="G1503" s="19">
        <f>IFERROR(IF(OR($B1503="",$C1503=""),"",IF(MATCH($C1503,'Ajustes'!$A$5:$A$8,0)&lt;=2,$D1503*INDEX('Ajustes'!$C$5:$C$6,MATCH($C1503,'Ajustes'!$A$5:$A$8,0)),IF(MATCH($C1503,'Ajustes'!$A$5:$A$8,0)=3,-($D1503+$E1503*INDEX('Equipo'!$B$5:$B$29,MATCH($B1503,'Equipo'!$A$5:$A$29,0))),0))),"")</f>
        <v/>
      </c>
      <c r="H1503" s="25">
        <f>IFERROR(IF(OR($B1503="",$C1503=""),"",IF(MATCH($C1503,'Ajustes'!$A$5:$A$8,0)=4,$D1503/INDEX('Equipo'!$B$5:$B$29,MATCH($B1503,'Equipo'!$A$5:$A$29,0))+$E1503,0)),"")</f>
        <v/>
      </c>
      <c r="I1503" s="26">
        <f>IF($B1503='Perfil'!$B$3,COUNTIF($B$4:$B1503,'Perfil'!$B$3),"")</f>
        <v/>
      </c>
    </row>
  </sheetData>
  <conditionalFormatting sqref="G4:G1503">
    <cfRule type="expression" priority="1" dxfId="1">
      <formula>AND(ISNUMBER(G4),G4&lt;0)</formula>
    </cfRule>
  </conditionalFormatting>
  <dataValidations count="3">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showDropDown="0" showInputMessage="0" showErrorMessage="0" allowBlank="1" type="list">
      <formula1>='Equipo'!$A$5:$A$29</formula1>
    </dataValidation>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showDropDown="0" showInputMessage="0" showErrorMessage="0" allowBlank="1" type="list">
      <formula1>='Ajustes'!$A$5:$A$8</formula1>
    </dataValidation>
    <dataValidation sqref="D4:E4 D5:E5 D6:E6 D7:E7 D8:E8 D9:E9 D10:E10 D11:E11 D12:E12 D13:E13 D14:E14 D15:E15 D16:E16 D17:E17 D18:E18 D19:E19 D20:E20 D21:E21 D22:E22 D23:E23 D24:E24 D25:E25 D26:E26 D27:E27 D28:E28 D29:E29 D30:E30 D31:E31 D32:E32 D33:E33 D34:E34 D35:E35 D36:E36 D37:E37 D38:E38 D39:E39 D40:E40 D41:E41 D42:E42 D43:E43 D44:E44 D45:E45 D46:E46 D47:E47 D48:E48 D49:E49 D50:E50 D51:E51 D52:E52 D53:E53 D54:E54 D55:E55 D56:E56 D57:E57 D58:E58 D59:E59 D60:E60 D61:E61 D62:E62 D63:E63 D64:E64 D65:E65 D66:E66 D67:E67 D68:E68 D69:E69 D70:E70 D71:E71 D72:E72 D73:E73 D74:E74 D75:E75 D76:E76 D77:E77 D78:E78 D79:E79 D80:E80 D81:E81 D82:E82 D83:E83 D84:E84 D85:E85 D86:E86 D87:E87 D88:E88 D89:E89 D90:E90 D91:E91 D92:E92 D93:E93 D94:E94 D95:E95 D96:E96 D97:E97 D98:E98 D99:E99 D100:E100 D101:E101 D102:E102 D103:E103 D104:E104 D105:E105 D106:E106 D107:E107 D108:E108 D109:E109 D110:E110 D111:E111 D112:E112 D113:E113 D114:E114 D115:E115 D116:E116 D117:E117 D118:E118 D119:E119 D120:E120 D121:E121 D122:E122 D123:E123 D124:E124 D125:E125 D126:E126 D127:E127 D128:E128 D129:E129 D130:E130 D131:E131 D132:E132 D133:E133 D134:E134 D135:E135 D136:E136 D137:E137 D138:E138 D139:E139 D140:E140 D141:E141 D142:E142 D143:E143 D144:E144 D145:E145 D146:E146 D147:E147 D148:E148 D149:E149 D150:E150 D151:E151 D152:E152 D153:E153 D154:E154 D155:E155 D156:E156 D157:E157 D158:E158 D159:E159 D160:E160 D161:E161 D162:E162 D163:E163 D164:E164 D165:E165 D166:E166 D167:E167 D168:E168 D169:E169 D170:E170 D171:E171 D172:E172 D173:E173 D174:E174 D175:E175 D176:E176 D177:E177 D178:E178 D179:E179 D180:E180 D181:E181 D182:E182 D183:E183 D184:E184 D185:E185 D186:E186 D187:E187 D188:E188 D189:E189 D190:E190 D191:E191 D192:E192 D193:E193 D194:E194 D195:E195 D196:E196 D197:E197 D198:E198 D199:E199 D200:E200 D201:E201 D202:E202 D203:E203 D204:E204 D205:E205 D206:E206 D207:E207 D208:E208 D209:E209 D210:E210 D211:E211 D212:E212 D213:E213 D214:E214 D215:E215 D216:E216 D217:E217 D218:E218 D219:E219 D220:E220 D221:E221 D222:E222 D223:E223 D224:E224 D225:E225 D226:E226 D227:E227 D228:E228 D229:E229 D230:E230 D231:E231 D232:E232 D233:E233 D234:E234 D235:E235 D236:E236 D237:E237 D238:E238 D239:E239 D240:E240 D241:E241 D242:E242 D243:E243 D244:E244 D245:E245 D246:E246 D247:E247 D248:E248 D249:E249 D250:E250 D251:E251 D252:E252 D253:E253 D254:E254 D255:E255 D256:E256 D257:E257 D258:E258 D259:E259 D260:E260 D261:E261 D262:E262 D263:E263 D264:E264 D265:E265 D266:E266 D267:E267 D268:E268 D269:E269 D270:E270 D271:E271 D272:E272 D273:E273 D274:E274 D275:E275 D276:E276 D277:E277 D278:E278 D279:E279 D280:E280 D281:E281 D282:E282 D283:E283 D284:E284 D285:E285 D286:E286 D287:E287 D288:E288 D289:E289 D290:E290 D291:E291 D292:E292 D293:E293 D294:E294 D295:E295 D296:E296 D297:E297 D298:E298 D299:E299 D300:E300 D301:E301 D302:E302 D303:E303 D304:E304 D305:E305 D306:E306 D307:E307 D308:E308 D309:E309 D310:E310 D311:E311 D312:E312 D313:E313 D314:E314 D315:E315 D316:E316 D317:E317 D318:E318 D319:E319 D320:E320 D321:E321 D322:E322 D323:E323 D324:E324 D325:E325 D326:E326 D327:E327 D328:E328 D329:E329 D330:E330 D331:E331 D332:E332 D333:E333 D334:E334 D335:E335 D336:E336 D337:E337 D338:E338 D339:E339 D340:E340 D341:E341 D342:E342 D343:E343 D344:E344 D345:E345 D346:E346 D347:E347 D348:E348 D349:E349 D350:E350 D351:E351 D352:E352 D353:E353 D354:E354 D355:E355 D356:E356 D357:E357 D358:E358 D359:E359 D360:E360 D361:E361 D362:E362 D363:E363 D364:E364 D365:E365 D366:E366 D367:E367 D368:E368 D369:E369 D370:E370 D371:E371 D372:E372 D373:E373 D374:E374 D375:E375 D376:E376 D377:E377 D378:E378 D379:E379 D380:E380 D381:E381 D382:E382 D383:E383 D384:E384 D385:E385 D386:E386 D387:E387 D388:E388 D389:E389 D390:E390 D391:E391 D392:E392 D393:E393 D394:E394 D395:E395 D396:E396 D397:E397 D398:E398 D399:E399 D400:E400 D401:E401 D402:E402 D403:E403 D404:E404 D405:E405 D406:E406 D407:E407 D408:E408 D409:E409 D410:E410 D411:E411 D412:E412 D413:E413 D414:E414 D415:E415 D416:E416 D417:E417 D418:E418 D419:E419 D420:E420 D421:E421 D422:E422 D423:E423 D424:E424 D425:E425 D426:E426 D427:E427 D428:E428 D429:E429 D430:E430 D431:E431 D432:E432 D433:E433 D434:E434 D435:E435 D436:E436 D437:E437 D438:E438 D439:E439 D440:E440 D441:E441 D442:E442 D443:E443 D444:E444 D445:E445 D446:E446 D447:E447 D448:E448 D449:E449 D450:E450 D451:E451 D452:E452 D453:E453 D454:E454 D455:E455 D456:E456 D457:E457 D458:E458 D459:E459 D460:E460 D461:E461 D462:E462 D463:E463 D464:E464 D465:E465 D466:E466 D467:E467 D468:E468 D469:E469 D470:E470 D471:E471 D472:E472 D473:E473 D474:E474 D475:E475 D476:E476 D477:E477 D478:E478 D479:E479 D480:E480 D481:E481 D482:E482 D483:E483 D484:E484 D485:E485 D486:E486 D487:E487 D488:E488 D489:E489 D490:E490 D491:E491 D492:E492 D493:E493 D494:E494 D495:E495 D496:E496 D497:E497 D498:E498 D499:E499 D500:E500 D501:E501 D502:E502 D503:E503 D504:E504 D505:E505 D506:E506 D507:E507 D508:E508 D509:E509 D510:E510 D511:E511 D512:E512 D513:E513 D514:E514 D515:E515 D516:E516 D517:E517 D518:E518 D519:E519 D520:E520 D521:E521 D522:E522 D523:E523 D524:E524 D525:E525 D526:E526 D527:E527 D528:E528 D529:E529 D530:E530 D531:E531 D532:E532 D533:E533 D534:E534 D535:E535 D536:E536 D537:E537 D538:E538 D539:E539 D540:E540 D541:E541 D542:E542 D543:E543 D544:E544 D545:E545 D546:E546 D547:E547 D548:E548 D549:E549 D550:E550 D551:E551 D552:E552 D553:E553 D554:E554 D555:E555 D556:E556 D557:E557 D558:E558 D559:E559 D560:E560 D561:E561 D562:E562 D563:E563 D564:E564 D565:E565 D566:E566 D567:E567 D568:E568 D569:E569 D570:E570 D571:E571 D572:E572 D573:E573 D574:E574 D575:E575 D576:E576 D577:E577 D578:E578 D579:E579 D580:E580 D581:E581 D582:E582 D583:E583 D584:E584 D585:E585 D586:E586 D587:E587 D588:E588 D589:E589 D590:E590 D591:E591 D592:E592 D593:E593 D594:E594 D595:E595 D596:E596 D597:E597 D598:E598 D599:E599 D600:E600 D601:E601 D602:E602 D603:E603 D604:E604 D605:E605 D606:E606 D607:E607 D608:E608 D609:E609 D610:E610 D611:E611 D612:E612 D613:E613 D614:E614 D615:E615 D616:E616 D617:E617 D618:E618 D619:E619 D620:E620 D621:E621 D622:E622 D623:E623 D624:E624 D625:E625 D626:E626 D627:E627 D628:E628 D629:E629 D630:E630 D631:E631 D632:E632 D633:E633 D634:E634 D635:E635 D636:E636 D637:E637 D638:E638 D639:E639 D640:E640 D641:E641 D642:E642 D643:E643 D644:E644 D645:E645 D646:E646 D647:E647 D648:E648 D649:E649 D650:E650 D651:E651 D652:E652 D653:E653 D654:E654 D655:E655 D656:E656 D657:E657 D658:E658 D659:E659 D660:E660 D661:E661 D662:E662 D663:E663 D664:E664 D665:E665 D666:E666 D667:E667 D668:E668 D669:E669 D670:E670 D671:E671 D672:E672 D673:E673 D674:E674 D675:E675 D676:E676 D677:E677 D678:E678 D679:E679 D680:E680 D681:E681 D682:E682 D683:E683 D684:E684 D685:E685 D686:E686 D687:E687 D688:E688 D689:E689 D690:E690 D691:E691 D692:E692 D693:E693 D694:E694 D695:E695 D696:E696 D697:E697 D698:E698 D699:E699 D700:E700 D701:E701 D702:E702 D703:E703 D704:E704 D705:E705 D706:E706 D707:E707 D708:E708 D709:E709 D710:E710 D711:E711 D712:E712 D713:E713 D714:E714 D715:E715 D716:E716 D717:E717 D718:E718 D719:E719 D720:E720 D721:E721 D722:E722 D723:E723 D724:E724 D725:E725 D726:E726 D727:E727 D728:E728 D729:E729 D730:E730 D731:E731 D732:E732 D733:E733 D734:E734 D735:E735 D736:E736 D737:E737 D738:E738 D739:E739 D740:E740 D741:E741 D742:E742 D743:E743 D744:E744 D745:E745 D746:E746 D747:E747 D748:E748 D749:E749 D750:E750 D751:E751 D752:E752 D753:E753 D754:E754 D755:E755 D756:E756 D757:E757 D758:E758 D759:E759 D760:E760 D761:E761 D762:E762 D763:E763 D764:E764 D765:E765 D766:E766 D767:E767 D768:E768 D769:E769 D770:E770 D771:E771 D772:E772 D773:E773 D774:E774 D775:E775 D776:E776 D777:E777 D778:E778 D779:E779 D780:E780 D781:E781 D782:E782 D783:E783 D784:E784 D785:E785 D786:E786 D787:E787 D788:E788 D789:E789 D790:E790 D791:E791 D792:E792 D793:E793 D794:E794 D795:E795 D796:E796 D797:E797 D798:E798 D799:E799 D800:E800 D801:E801 D802:E802 D803:E803 D804:E804 D805:E805 D806:E806 D807:E807 D808:E808 D809:E809 D810:E810 D811:E811 D812:E812 D813:E813 D814:E814 D815:E815 D816:E816 D817:E817 D818:E818 D819:E819 D820:E820 D821:E821 D822:E822 D823:E823 D824:E824 D825:E825 D826:E826 D827:E827 D828:E828 D829:E829 D830:E830 D831:E831 D832:E832 D833:E833 D834:E834 D835:E835 D836:E836 D837:E837 D838:E838 D839:E839 D840:E840 D841:E841 D842:E842 D843:E843 D844:E844 D845:E845 D846:E846 D847:E847 D848:E848 D849:E849 D850:E850 D851:E851 D852:E852 D853:E853 D854:E854 D855:E855 D856:E856 D857:E857 D858:E858 D859:E859 D860:E860 D861:E861 D862:E862 D863:E863 D864:E864 D865:E865 D866:E866 D867:E867 D868:E868 D869:E869 D870:E870 D871:E871 D872:E872 D873:E873 D874:E874 D875:E875 D876:E876 D877:E877 D878:E878 D879:E879 D880:E880 D881:E881 D882:E882 D883:E883 D884:E884 D885:E885 D886:E886 D887:E887 D888:E888 D889:E889 D890:E890 D891:E891 D892:E892 D893:E893 D894:E894 D895:E895 D896:E896 D897:E897 D898:E898 D899:E899 D900:E900 D901:E901 D902:E902 D903:E903 D904:E904 D905:E905 D906:E906 D907:E907 D908:E908 D909:E909 D910:E910 D911:E911 D912:E912 D913:E913 D914:E914 D915:E915 D916:E916 D917:E917 D918:E918 D919:E919 D920:E920 D921:E921 D922:E922 D923:E923 D924:E924 D925:E925 D926:E926 D927:E927 D928:E928 D929:E929 D930:E930 D931:E931 D932:E932 D933:E933 D934:E934 D935:E935 D936:E936 D937:E937 D938:E938 D939:E939 D940:E940 D941:E941 D942:E942 D943:E943 D944:E944 D945:E945 D946:E946 D947:E947 D948:E948 D949:E949 D950:E950 D951:E951 D952:E952 D953:E953 D954:E954 D955:E955 D956:E956 D957:E957 D958:E958 D959:E959 D960:E960 D961:E961 D962:E962 D963:E963 D964:E964 D965:E965 D966:E966 D967:E967 D968:E968 D969:E969 D970:E970 D971:E971 D972:E972 D973:E973 D974:E974 D975:E975 D976:E976 D977:E977 D978:E978 D979:E979 D980:E980 D981:E981 D982:E982 D983:E983 D984:E984 D985:E985 D986:E986 D987:E987 D988:E988 D989:E989 D990:E990 D991:E991 D992:E992 D993:E993 D994:E994 D995:E995 D996:E996 D997:E997 D998:E998 D999:E999 D1000:E1000 D1001:E1001 D1002:E1002 D1003:E1003 D1004:E1004 D1005:E1005 D1006:E1006 D1007:E1007 D1008:E1008 D1009:E1009 D1010:E1010 D1011:E1011 D1012:E1012 D1013:E1013 D1014:E1014 D1015:E1015 D1016:E1016 D1017:E1017 D1018:E1018 D1019:E1019 D1020:E1020 D1021:E1021 D1022:E1022 D1023:E1023 D1024:E1024 D1025:E1025 D1026:E1026 D1027:E1027 D1028:E1028 D1029:E1029 D1030:E1030 D1031:E1031 D1032:E1032 D1033:E1033 D1034:E1034 D1035:E1035 D1036:E1036 D1037:E1037 D1038:E1038 D1039:E1039 D1040:E1040 D1041:E1041 D1042:E1042 D1043:E1043 D1044:E1044 D1045:E1045 D1046:E1046 D1047:E1047 D1048:E1048 D1049:E1049 D1050:E1050 D1051:E1051 D1052:E1052 D1053:E1053 D1054:E1054 D1055:E1055 D1056:E1056 D1057:E1057 D1058:E1058 D1059:E1059 D1060:E1060 D1061:E1061 D1062:E1062 D1063:E1063 D1064:E1064 D1065:E1065 D1066:E1066 D1067:E1067 D1068:E1068 D1069:E1069 D1070:E1070 D1071:E1071 D1072:E1072 D1073:E1073 D1074:E1074 D1075:E1075 D1076:E1076 D1077:E1077 D1078:E1078 D1079:E1079 D1080:E1080 D1081:E1081 D1082:E1082 D1083:E1083 D1084:E1084 D1085:E1085 D1086:E1086 D1087:E1087 D1088:E1088 D1089:E1089 D1090:E1090 D1091:E1091 D1092:E1092 D1093:E1093 D1094:E1094 D1095:E1095 D1096:E1096 D1097:E1097 D1098:E1098 D1099:E1099 D1100:E1100 D1101:E1101 D1102:E1102 D1103:E1103 D1104:E1104 D1105:E1105 D1106:E1106 D1107:E1107 D1108:E1108 D1109:E1109 D1110:E1110 D1111:E1111 D1112:E1112 D1113:E1113 D1114:E1114 D1115:E1115 D1116:E1116 D1117:E1117 D1118:E1118 D1119:E1119 D1120:E1120 D1121:E1121 D1122:E1122 D1123:E1123 D1124:E1124 D1125:E1125 D1126:E1126 D1127:E1127 D1128:E1128 D1129:E1129 D1130:E1130 D1131:E1131 D1132:E1132 D1133:E1133 D1134:E1134 D1135:E1135 D1136:E1136 D1137:E1137 D1138:E1138 D1139:E1139 D1140:E1140 D1141:E1141 D1142:E1142 D1143:E1143 D1144:E1144 D1145:E1145 D1146:E1146 D1147:E1147 D1148:E1148 D1149:E1149 D1150:E1150 D1151:E1151 D1152:E1152 D1153:E1153 D1154:E1154 D1155:E1155 D1156:E1156 D1157:E1157 D1158:E1158 D1159:E1159 D1160:E1160 D1161:E1161 D1162:E1162 D1163:E1163 D1164:E1164 D1165:E1165 D1166:E1166 D1167:E1167 D1168:E1168 D1169:E1169 D1170:E1170 D1171:E1171 D1172:E1172 D1173:E1173 D1174:E1174 D1175:E1175 D1176:E1176 D1177:E1177 D1178:E1178 D1179:E1179 D1180:E1180 D1181:E1181 D1182:E1182 D1183:E1183 D1184:E1184 D1185:E1185 D1186:E1186 D1187:E1187 D1188:E1188 D1189:E1189 D1190:E1190 D1191:E1191 D1192:E1192 D1193:E1193 D1194:E1194 D1195:E1195 D1196:E1196 D1197:E1197 D1198:E1198 D1199:E1199 D1200:E1200 D1201:E1201 D1202:E1202 D1203:E1203 D1204:E1204 D1205:E1205 D1206:E1206 D1207:E1207 D1208:E1208 D1209:E1209 D1210:E1210 D1211:E1211 D1212:E1212 D1213:E1213 D1214:E1214 D1215:E1215 D1216:E1216 D1217:E1217 D1218:E1218 D1219:E1219 D1220:E1220 D1221:E1221 D1222:E1222 D1223:E1223 D1224:E1224 D1225:E1225 D1226:E1226 D1227:E1227 D1228:E1228 D1229:E1229 D1230:E1230 D1231:E1231 D1232:E1232 D1233:E1233 D1234:E1234 D1235:E1235 D1236:E1236 D1237:E1237 D1238:E1238 D1239:E1239 D1240:E1240 D1241:E1241 D1242:E1242 D1243:E1243 D1244:E1244 D1245:E1245 D1246:E1246 D1247:E1247 D1248:E1248 D1249:E1249 D1250:E1250 D1251:E1251 D1252:E1252 D1253:E1253 D1254:E1254 D1255:E1255 D1256:E1256 D1257:E1257 D1258:E1258 D1259:E1259 D1260:E1260 D1261:E1261 D1262:E1262 D1263:E1263 D1264:E1264 D1265:E1265 D1266:E1266 D1267:E1267 D1268:E1268 D1269:E1269 D1270:E1270 D1271:E1271 D1272:E1272 D1273:E1273 D1274:E1274 D1275:E1275 D1276:E1276 D1277:E1277 D1278:E1278 D1279:E1279 D1280:E1280 D1281:E1281 D1282:E1282 D1283:E1283 D1284:E1284 D1285:E1285 D1286:E1286 D1287:E1287 D1288:E1288 D1289:E1289 D1290:E1290 D1291:E1291 D1292:E1292 D1293:E1293 D1294:E1294 D1295:E1295 D1296:E1296 D1297:E1297 D1298:E1298 D1299:E1299 D1300:E1300 D1301:E1301 D1302:E1302 D1303:E1303 D1304:E1304 D1305:E1305 D1306:E1306 D1307:E1307 D1308:E1308 D1309:E1309 D1310:E1310 D1311:E1311 D1312:E1312 D1313:E1313 D1314:E1314 D1315:E1315 D1316:E1316 D1317:E1317 D1318:E1318 D1319:E1319 D1320:E1320 D1321:E1321 D1322:E1322 D1323:E1323 D1324:E1324 D1325:E1325 D1326:E1326 D1327:E1327 D1328:E1328 D1329:E1329 D1330:E1330 D1331:E1331 D1332:E1332 D1333:E1333 D1334:E1334 D1335:E1335 D1336:E1336 D1337:E1337 D1338:E1338 D1339:E1339 D1340:E1340 D1341:E1341 D1342:E1342 D1343:E1343 D1344:E1344 D1345:E1345 D1346:E1346 D1347:E1347 D1348:E1348 D1349:E1349 D1350:E1350 D1351:E1351 D1352:E1352 D1353:E1353 D1354:E1354 D1355:E1355 D1356:E1356 D1357:E1357 D1358:E1358 D1359:E1359 D1360:E1360 D1361:E1361 D1362:E1362 D1363:E1363 D1364:E1364 D1365:E1365 D1366:E1366 D1367:E1367 D1368:E1368 D1369:E1369 D1370:E1370 D1371:E1371 D1372:E1372 D1373:E1373 D1374:E1374 D1375:E1375 D1376:E1376 D1377:E1377 D1378:E1378 D1379:E1379 D1380:E1380 D1381:E1381 D1382:E1382 D1383:E1383 D1384:E1384 D1385:E1385 D1386:E1386 D1387:E1387 D1388:E1388 D1389:E1389 D1390:E1390 D1391:E1391 D1392:E1392 D1393:E1393 D1394:E1394 D1395:E1395 D1396:E1396 D1397:E1397 D1398:E1398 D1399:E1399 D1400:E1400 D1401:E1401 D1402:E1402 D1403:E1403 D1404:E1404 D1405:E1405 D1406:E1406 D1407:E1407 D1408:E1408 D1409:E1409 D1410:E1410 D1411:E1411 D1412:E1412 D1413:E1413 D1414:E1414 D1415:E1415 D1416:E1416 D1417:E1417 D1418:E1418 D1419:E1419 D1420:E1420 D1421:E1421 D1422:E1422 D1423:E1423 D1424:E1424 D1425:E1425 D1426:E1426 D1427:E1427 D1428:E1428 D1429:E1429 D1430:E1430 D1431:E1431 D1432:E1432 D1433:E1433 D1434:E1434 D1435:E1435 D1436:E1436 D1437:E1437 D1438:E1438 D1439:E1439 D1440:E1440 D1441:E1441 D1442:E1442 D1443:E1443 D1444:E1444 D1445:E1445 D1446:E1446 D1447:E1447 D1448:E1448 D1449:E1449 D1450:E1450 D1451:E1451 D1452:E1452 D1453:E1453 D1454:E1454 D1455:E1455 D1456:E1456 D1457:E1457 D1458:E1458 D1459:E1459 D1460:E1460 D1461:E1461 D1462:E1462 D1463:E1463 D1464:E1464 D1465:E1465 D1466:E1466 D1467:E1467 D1468:E1468 D1469:E1469 D1470:E1470 D1471:E1471 D1472:E1472 D1473:E1473 D1474:E1474 D1475:E1475 D1476:E1476 D1477:E1477 D1478:E1478 D1479:E1479 D1480:E1480 D1481:E1481 D1482:E1482 D1483:E1483 D1484:E1484 D1485:E1485 D1486:E1486 D1487:E1487 D1488:E1488 D1489:E1489 D1490:E1490 D1491:E1491 D1492:E1492 D1493:E1493 D1494:E1494 D1495:E1495 D1496:E1496 D1497:E1497 D1498:E1498 D1499:E1499 D1500:E1500 D1501:E1501 D1502:E1502 D1503:E1503" showDropDown="0" showInputMessage="0" showErrorMessage="0" allowBlank="1" errorTitle="Solo números positivos" error="Cargá horas y días con números positivos." type="decimal" operator="greaterThanOrEqual">
      <formula1>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29"/>
  <sheetViews>
    <sheetView showGridLines="0" workbookViewId="0">
      <pane ySplit="4" topLeftCell="A5" activePane="bottomLeft" state="frozen"/>
      <selection pane="bottomLeft" activeCell="A1" sqref="A1"/>
    </sheetView>
  </sheetViews>
  <sheetFormatPr baseColWidth="8" defaultRowHeight="15"/>
  <cols>
    <col width="28" customWidth="1" min="1" max="1"/>
    <col width="18" customWidth="1" min="2" max="2"/>
    <col width="20" customWidth="1" min="3" max="3"/>
    <col width="20" customWidth="1" min="4" max="4"/>
    <col width="40" customWidth="1" min="6" max="6"/>
  </cols>
  <sheetData>
    <row r="1" ht="28" customHeight="1">
      <c r="A1" s="1" t="inlineStr">
        <is>
          <t>Equipo</t>
        </is>
      </c>
    </row>
    <row r="2">
      <c r="A2" s="2" t="inlineStr">
        <is>
          <t>Una fila por persona. Las celdas amarillas son tuyas.</t>
        </is>
      </c>
    </row>
    <row r="4" ht="32" customHeight="1">
      <c r="A4" s="15" t="inlineStr">
        <is>
          <t>Nombre</t>
        </is>
      </c>
      <c r="B4" s="15" t="inlineStr">
        <is>
          <t>Horas de la jornada</t>
        </is>
      </c>
      <c r="C4" s="15" t="inlineStr">
        <is>
          <t>Saldo inicial (horas)</t>
        </is>
      </c>
      <c r="D4" s="15" t="inlineStr">
        <is>
          <t>Días de vacaciones por año</t>
        </is>
      </c>
    </row>
    <row r="5">
      <c r="A5" s="23" t="inlineStr">
        <is>
          <t>Lucía Fernández</t>
        </is>
      </c>
      <c r="B5" s="24" t="n">
        <v>8</v>
      </c>
      <c r="C5" s="24" t="n">
        <v>0</v>
      </c>
      <c r="D5" s="27" t="n">
        <v>14</v>
      </c>
      <c r="F5" s="21" t="inlineStr">
        <is>
          <t>← personas de ejemplo: pisalas o borralas</t>
        </is>
      </c>
    </row>
    <row r="6">
      <c r="A6" s="23" t="inlineStr">
        <is>
          <t>Martín Gómez</t>
        </is>
      </c>
      <c r="B6" s="24" t="n">
        <v>8</v>
      </c>
      <c r="C6" s="24" t="n">
        <v>4</v>
      </c>
      <c r="D6" s="27" t="n">
        <v>14</v>
      </c>
    </row>
    <row r="7">
      <c r="A7" s="23" t="inlineStr">
        <is>
          <t>Sofía Ruiz</t>
        </is>
      </c>
      <c r="B7" s="24" t="n">
        <v>6</v>
      </c>
      <c r="C7" s="24" t="n">
        <v>0</v>
      </c>
      <c r="D7" s="27" t="n">
        <v>21</v>
      </c>
    </row>
    <row r="8">
      <c r="A8" s="23" t="n"/>
      <c r="B8" s="24" t="n"/>
      <c r="C8" s="24" t="n"/>
      <c r="D8" s="27" t="n"/>
    </row>
    <row r="9">
      <c r="A9" s="23" t="n"/>
      <c r="B9" s="24" t="n"/>
      <c r="C9" s="24" t="n"/>
      <c r="D9" s="27" t="n"/>
    </row>
    <row r="10">
      <c r="A10" s="23" t="n"/>
      <c r="B10" s="24" t="n"/>
      <c r="C10" s="24" t="n"/>
      <c r="D10" s="27" t="n"/>
    </row>
    <row r="11">
      <c r="A11" s="23" t="n"/>
      <c r="B11" s="24" t="n"/>
      <c r="C11" s="24" t="n"/>
      <c r="D11" s="27" t="n"/>
    </row>
    <row r="12">
      <c r="A12" s="23" t="n"/>
      <c r="B12" s="24" t="n"/>
      <c r="C12" s="24" t="n"/>
      <c r="D12" s="27" t="n"/>
    </row>
    <row r="13">
      <c r="A13" s="23" t="n"/>
      <c r="B13" s="24" t="n"/>
      <c r="C13" s="24" t="n"/>
      <c r="D13" s="27" t="n"/>
    </row>
    <row r="14">
      <c r="A14" s="23" t="n"/>
      <c r="B14" s="24" t="n"/>
      <c r="C14" s="24" t="n"/>
      <c r="D14" s="27" t="n"/>
    </row>
    <row r="15">
      <c r="A15" s="23" t="n"/>
      <c r="B15" s="24" t="n"/>
      <c r="C15" s="24" t="n"/>
      <c r="D15" s="27" t="n"/>
    </row>
    <row r="16">
      <c r="A16" s="23" t="n"/>
      <c r="B16" s="24" t="n"/>
      <c r="C16" s="24" t="n"/>
      <c r="D16" s="27" t="n"/>
    </row>
    <row r="17">
      <c r="A17" s="23" t="n"/>
      <c r="B17" s="24" t="n"/>
      <c r="C17" s="24" t="n"/>
      <c r="D17" s="27" t="n"/>
    </row>
    <row r="18">
      <c r="A18" s="23" t="n"/>
      <c r="B18" s="24" t="n"/>
      <c r="C18" s="24" t="n"/>
      <c r="D18" s="27" t="n"/>
    </row>
    <row r="19">
      <c r="A19" s="23" t="n"/>
      <c r="B19" s="24" t="n"/>
      <c r="C19" s="24" t="n"/>
      <c r="D19" s="27" t="n"/>
    </row>
    <row r="20">
      <c r="A20" s="23" t="n"/>
      <c r="B20" s="24" t="n"/>
      <c r="C20" s="24" t="n"/>
      <c r="D20" s="27" t="n"/>
    </row>
    <row r="21">
      <c r="A21" s="23" t="n"/>
      <c r="B21" s="24" t="n"/>
      <c r="C21" s="24" t="n"/>
      <c r="D21" s="27" t="n"/>
    </row>
    <row r="22">
      <c r="A22" s="23" t="n"/>
      <c r="B22" s="24" t="n"/>
      <c r="C22" s="24" t="n"/>
      <c r="D22" s="27" t="n"/>
    </row>
    <row r="23">
      <c r="A23" s="23" t="n"/>
      <c r="B23" s="24" t="n"/>
      <c r="C23" s="24" t="n"/>
      <c r="D23" s="27" t="n"/>
    </row>
    <row r="24">
      <c r="A24" s="23" t="n"/>
      <c r="B24" s="24" t="n"/>
      <c r="C24" s="24" t="n"/>
      <c r="D24" s="27" t="n"/>
    </row>
    <row r="25">
      <c r="A25" s="23" t="n"/>
      <c r="B25" s="24" t="n"/>
      <c r="C25" s="24" t="n"/>
      <c r="D25" s="27" t="n"/>
    </row>
    <row r="26">
      <c r="A26" s="23" t="n"/>
      <c r="B26" s="24" t="n"/>
      <c r="C26" s="24" t="n"/>
      <c r="D26" s="27" t="n"/>
    </row>
    <row r="27">
      <c r="A27" s="23" t="n"/>
      <c r="B27" s="24" t="n"/>
      <c r="C27" s="24" t="n"/>
      <c r="D27" s="27" t="n"/>
    </row>
    <row r="28">
      <c r="A28" s="23" t="n"/>
      <c r="B28" s="24" t="n"/>
      <c r="C28" s="24" t="n"/>
      <c r="D28" s="27" t="n"/>
    </row>
    <row r="29">
      <c r="A29" s="23" t="n"/>
      <c r="B29" s="24" t="n"/>
      <c r="C29" s="24" t="n"/>
      <c r="D29" s="27" t="n"/>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5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8" customWidth="1" min="9" max="9"/>
  </cols>
  <sheetData>
    <row r="1" ht="28" customHeight="1">
      <c r="A1" s="1" t="inlineStr">
        <is>
          <t>Resumen</t>
        </is>
      </c>
    </row>
    <row r="2">
      <c r="A2" s="2" t="inlineStr">
        <is>
          <t>El saldo de todos de un vistazo. Acá no hay nada que escribir.</t>
        </is>
      </c>
    </row>
    <row r="4" ht="44" customHeight="1">
      <c r="A4" s="15" t="inlineStr">
        <is>
          <t>Persona</t>
        </is>
      </c>
      <c r="B4" s="15" t="inlineStr">
        <is>
          <t>Horas extra acreditadas</t>
        </is>
      </c>
      <c r="C4" s="15" t="inlineStr">
        <is>
          <t>Francos tomados (h)</t>
        </is>
      </c>
      <c r="D4" s="15" t="inlineStr">
        <is>
          <t>Saldo inicial (h)</t>
        </is>
      </c>
      <c r="E4" s="15" t="inlineStr">
        <is>
          <t>Saldo (horas)</t>
        </is>
      </c>
      <c r="F4" s="15" t="inlineStr">
        <is>
          <t>Saldo (días)</t>
        </is>
      </c>
      <c r="G4" s="15" t="inlineStr">
        <is>
          <t>Vacaciones usadas (días)</t>
        </is>
      </c>
      <c r="H4" s="15" t="inlineStr">
        <is>
          <t>Vacaciones restantes (días)</t>
        </is>
      </c>
      <c r="I4" s="15" t="inlineStr">
        <is>
          <t>Estado</t>
        </is>
      </c>
    </row>
    <row r="5">
      <c r="A5" s="28">
        <f>IF('Equipo'!A5="","",'Equipo'!A5)</f>
        <v/>
      </c>
      <c r="B5" s="29">
        <f>IF($A5="","",SUMIFS('Registro'!$G$4:$G$1503,'Registro'!$B$4:$B$1503,$A5,'Registro'!$G$4:$G$1503,"&gt;0"))</f>
        <v/>
      </c>
      <c r="C5" s="29">
        <f>IF($A5="","",-SUMIFS('Registro'!$G$4:$G$1503,'Registro'!$B$4:$B$1503,$A5,'Registro'!$G$4:$G$1503,"&lt;0"))</f>
        <v/>
      </c>
      <c r="D5" s="29">
        <f>IF($A5="","",'Equipo'!C5)</f>
        <v/>
      </c>
      <c r="E5" s="20">
        <f>IF($A5="","",D5+B5-C5)</f>
        <v/>
      </c>
      <c r="F5" s="20">
        <f>IF($A5="","",IF('Equipo'!B5&gt;0,E5/'Equipo'!B5,0))</f>
        <v/>
      </c>
      <c r="G5" s="29">
        <f>IF($A5="","",SUMIFS('Registro'!$H$4:$H$1503,'Registro'!$B$4:$B$1503,$A5,'Registro'!$A$4:$A$1503,"&gt;="&amp;DATE('Ajustes'!$A$12,1,1),'Registro'!$A$4:$A$1503,"&lt;="&amp;DATE('Ajustes'!$A$12,12,31)))</f>
        <v/>
      </c>
      <c r="H5" s="9">
        <f>IF($A5="","",'Equipo'!D5-G5)</f>
        <v/>
      </c>
      <c r="I5" s="28">
        <f>IF($A5="","",IF(E5&gt;0.0001,"Francos a tomar",IF(E5&lt;-0.0001,"Tomó de más","Al día")))</f>
        <v/>
      </c>
    </row>
    <row r="6">
      <c r="A6" s="28">
        <f>IF('Equipo'!A6="","",'Equipo'!A6)</f>
        <v/>
      </c>
      <c r="B6" s="29">
        <f>IF($A6="","",SUMIFS('Registro'!$G$4:$G$1503,'Registro'!$B$4:$B$1503,$A6,'Registro'!$G$4:$G$1503,"&gt;0"))</f>
        <v/>
      </c>
      <c r="C6" s="29">
        <f>IF($A6="","",-SUMIFS('Registro'!$G$4:$G$1503,'Registro'!$B$4:$B$1503,$A6,'Registro'!$G$4:$G$1503,"&lt;0"))</f>
        <v/>
      </c>
      <c r="D6" s="29">
        <f>IF($A6="","",'Equipo'!C6)</f>
        <v/>
      </c>
      <c r="E6" s="20">
        <f>IF($A6="","",D6+B6-C6)</f>
        <v/>
      </c>
      <c r="F6" s="20">
        <f>IF($A6="","",IF('Equipo'!B6&gt;0,E6/'Equipo'!B6,0))</f>
        <v/>
      </c>
      <c r="G6" s="29">
        <f>IF($A6="","",SUMIFS('Registro'!$H$4:$H$1503,'Registro'!$B$4:$B$1503,$A6,'Registro'!$A$4:$A$1503,"&gt;="&amp;DATE('Ajustes'!$A$12,1,1),'Registro'!$A$4:$A$1503,"&lt;="&amp;DATE('Ajustes'!$A$12,12,31)))</f>
        <v/>
      </c>
      <c r="H6" s="9">
        <f>IF($A6="","",'Equipo'!D6-G6)</f>
        <v/>
      </c>
      <c r="I6" s="28">
        <f>IF($A6="","",IF(E6&gt;0.0001,"Francos a tomar",IF(E6&lt;-0.0001,"Tomó de más","Al día")))</f>
        <v/>
      </c>
    </row>
    <row r="7">
      <c r="A7" s="28">
        <f>IF('Equipo'!A7="","",'Equipo'!A7)</f>
        <v/>
      </c>
      <c r="B7" s="29">
        <f>IF($A7="","",SUMIFS('Registro'!$G$4:$G$1503,'Registro'!$B$4:$B$1503,$A7,'Registro'!$G$4:$G$1503,"&gt;0"))</f>
        <v/>
      </c>
      <c r="C7" s="29">
        <f>IF($A7="","",-SUMIFS('Registro'!$G$4:$G$1503,'Registro'!$B$4:$B$1503,$A7,'Registro'!$G$4:$G$1503,"&lt;0"))</f>
        <v/>
      </c>
      <c r="D7" s="29">
        <f>IF($A7="","",'Equipo'!C7)</f>
        <v/>
      </c>
      <c r="E7" s="20">
        <f>IF($A7="","",D7+B7-C7)</f>
        <v/>
      </c>
      <c r="F7" s="20">
        <f>IF($A7="","",IF('Equipo'!B7&gt;0,E7/'Equipo'!B7,0))</f>
        <v/>
      </c>
      <c r="G7" s="29">
        <f>IF($A7="","",SUMIFS('Registro'!$H$4:$H$1503,'Registro'!$B$4:$B$1503,$A7,'Registro'!$A$4:$A$1503,"&gt;="&amp;DATE('Ajustes'!$A$12,1,1),'Registro'!$A$4:$A$1503,"&lt;="&amp;DATE('Ajustes'!$A$12,12,31)))</f>
        <v/>
      </c>
      <c r="H7" s="9">
        <f>IF($A7="","",'Equipo'!D7-G7)</f>
        <v/>
      </c>
      <c r="I7" s="28">
        <f>IF($A7="","",IF(E7&gt;0.0001,"Francos a tomar",IF(E7&lt;-0.0001,"Tomó de más","Al día")))</f>
        <v/>
      </c>
    </row>
    <row r="8">
      <c r="A8" s="28">
        <f>IF('Equipo'!A8="","",'Equipo'!A8)</f>
        <v/>
      </c>
      <c r="B8" s="29">
        <f>IF($A8="","",SUMIFS('Registro'!$G$4:$G$1503,'Registro'!$B$4:$B$1503,$A8,'Registro'!$G$4:$G$1503,"&gt;0"))</f>
        <v/>
      </c>
      <c r="C8" s="29">
        <f>IF($A8="","",-SUMIFS('Registro'!$G$4:$G$1503,'Registro'!$B$4:$B$1503,$A8,'Registro'!$G$4:$G$1503,"&lt;0"))</f>
        <v/>
      </c>
      <c r="D8" s="29">
        <f>IF($A8="","",'Equipo'!C8)</f>
        <v/>
      </c>
      <c r="E8" s="20">
        <f>IF($A8="","",D8+B8-C8)</f>
        <v/>
      </c>
      <c r="F8" s="20">
        <f>IF($A8="","",IF('Equipo'!B8&gt;0,E8/'Equipo'!B8,0))</f>
        <v/>
      </c>
      <c r="G8" s="29">
        <f>IF($A8="","",SUMIFS('Registro'!$H$4:$H$1503,'Registro'!$B$4:$B$1503,$A8,'Registro'!$A$4:$A$1503,"&gt;="&amp;DATE('Ajustes'!$A$12,1,1),'Registro'!$A$4:$A$1503,"&lt;="&amp;DATE('Ajustes'!$A$12,12,31)))</f>
        <v/>
      </c>
      <c r="H8" s="9">
        <f>IF($A8="","",'Equipo'!D8-G8)</f>
        <v/>
      </c>
      <c r="I8" s="28">
        <f>IF($A8="","",IF(E8&gt;0.0001,"Francos a tomar",IF(E8&lt;-0.0001,"Tomó de más","Al día")))</f>
        <v/>
      </c>
    </row>
    <row r="9">
      <c r="A9" s="28">
        <f>IF('Equipo'!A9="","",'Equipo'!A9)</f>
        <v/>
      </c>
      <c r="B9" s="29">
        <f>IF($A9="","",SUMIFS('Registro'!$G$4:$G$1503,'Registro'!$B$4:$B$1503,$A9,'Registro'!$G$4:$G$1503,"&gt;0"))</f>
        <v/>
      </c>
      <c r="C9" s="29">
        <f>IF($A9="","",-SUMIFS('Registro'!$G$4:$G$1503,'Registro'!$B$4:$B$1503,$A9,'Registro'!$G$4:$G$1503,"&lt;0"))</f>
        <v/>
      </c>
      <c r="D9" s="29">
        <f>IF($A9="","",'Equipo'!C9)</f>
        <v/>
      </c>
      <c r="E9" s="20">
        <f>IF($A9="","",D9+B9-C9)</f>
        <v/>
      </c>
      <c r="F9" s="20">
        <f>IF($A9="","",IF('Equipo'!B9&gt;0,E9/'Equipo'!B9,0))</f>
        <v/>
      </c>
      <c r="G9" s="29">
        <f>IF($A9="","",SUMIFS('Registro'!$H$4:$H$1503,'Registro'!$B$4:$B$1503,$A9,'Registro'!$A$4:$A$1503,"&gt;="&amp;DATE('Ajustes'!$A$12,1,1),'Registro'!$A$4:$A$1503,"&lt;="&amp;DATE('Ajustes'!$A$12,12,31)))</f>
        <v/>
      </c>
      <c r="H9" s="9">
        <f>IF($A9="","",'Equipo'!D9-G9)</f>
        <v/>
      </c>
      <c r="I9" s="28">
        <f>IF($A9="","",IF(E9&gt;0.0001,"Francos a tomar",IF(E9&lt;-0.0001,"Tomó de más","Al día")))</f>
        <v/>
      </c>
    </row>
    <row r="10">
      <c r="A10" s="28">
        <f>IF('Equipo'!A10="","",'Equipo'!A10)</f>
        <v/>
      </c>
      <c r="B10" s="29">
        <f>IF($A10="","",SUMIFS('Registro'!$G$4:$G$1503,'Registro'!$B$4:$B$1503,$A10,'Registro'!$G$4:$G$1503,"&gt;0"))</f>
        <v/>
      </c>
      <c r="C10" s="29">
        <f>IF($A10="","",-SUMIFS('Registro'!$G$4:$G$1503,'Registro'!$B$4:$B$1503,$A10,'Registro'!$G$4:$G$1503,"&lt;0"))</f>
        <v/>
      </c>
      <c r="D10" s="29">
        <f>IF($A10="","",'Equipo'!C10)</f>
        <v/>
      </c>
      <c r="E10" s="20">
        <f>IF($A10="","",D10+B10-C10)</f>
        <v/>
      </c>
      <c r="F10" s="20">
        <f>IF($A10="","",IF('Equipo'!B10&gt;0,E10/'Equipo'!B10,0))</f>
        <v/>
      </c>
      <c r="G10" s="29">
        <f>IF($A10="","",SUMIFS('Registro'!$H$4:$H$1503,'Registro'!$B$4:$B$1503,$A10,'Registro'!$A$4:$A$1503,"&gt;="&amp;DATE('Ajustes'!$A$12,1,1),'Registro'!$A$4:$A$1503,"&lt;="&amp;DATE('Ajustes'!$A$12,12,31)))</f>
        <v/>
      </c>
      <c r="H10" s="9">
        <f>IF($A10="","",'Equipo'!D10-G10)</f>
        <v/>
      </c>
      <c r="I10" s="28">
        <f>IF($A10="","",IF(E10&gt;0.0001,"Francos a tomar",IF(E10&lt;-0.0001,"Tomó de más","Al día")))</f>
        <v/>
      </c>
    </row>
    <row r="11">
      <c r="A11" s="28">
        <f>IF('Equipo'!A11="","",'Equipo'!A11)</f>
        <v/>
      </c>
      <c r="B11" s="29">
        <f>IF($A11="","",SUMIFS('Registro'!$G$4:$G$1503,'Registro'!$B$4:$B$1503,$A11,'Registro'!$G$4:$G$1503,"&gt;0"))</f>
        <v/>
      </c>
      <c r="C11" s="29">
        <f>IF($A11="","",-SUMIFS('Registro'!$G$4:$G$1503,'Registro'!$B$4:$B$1503,$A11,'Registro'!$G$4:$G$1503,"&lt;0"))</f>
        <v/>
      </c>
      <c r="D11" s="29">
        <f>IF($A11="","",'Equipo'!C11)</f>
        <v/>
      </c>
      <c r="E11" s="20">
        <f>IF($A11="","",D11+B11-C11)</f>
        <v/>
      </c>
      <c r="F11" s="20">
        <f>IF($A11="","",IF('Equipo'!B11&gt;0,E11/'Equipo'!B11,0))</f>
        <v/>
      </c>
      <c r="G11" s="29">
        <f>IF($A11="","",SUMIFS('Registro'!$H$4:$H$1503,'Registro'!$B$4:$B$1503,$A11,'Registro'!$A$4:$A$1503,"&gt;="&amp;DATE('Ajustes'!$A$12,1,1),'Registro'!$A$4:$A$1503,"&lt;="&amp;DATE('Ajustes'!$A$12,12,31)))</f>
        <v/>
      </c>
      <c r="H11" s="9">
        <f>IF($A11="","",'Equipo'!D11-G11)</f>
        <v/>
      </c>
      <c r="I11" s="28">
        <f>IF($A11="","",IF(E11&gt;0.0001,"Francos a tomar",IF(E11&lt;-0.0001,"Tomó de más","Al día")))</f>
        <v/>
      </c>
    </row>
    <row r="12">
      <c r="A12" s="28">
        <f>IF('Equipo'!A12="","",'Equipo'!A12)</f>
        <v/>
      </c>
      <c r="B12" s="29">
        <f>IF($A12="","",SUMIFS('Registro'!$G$4:$G$1503,'Registro'!$B$4:$B$1503,$A12,'Registro'!$G$4:$G$1503,"&gt;0"))</f>
        <v/>
      </c>
      <c r="C12" s="29">
        <f>IF($A12="","",-SUMIFS('Registro'!$G$4:$G$1503,'Registro'!$B$4:$B$1503,$A12,'Registro'!$G$4:$G$1503,"&lt;0"))</f>
        <v/>
      </c>
      <c r="D12" s="29">
        <f>IF($A12="","",'Equipo'!C12)</f>
        <v/>
      </c>
      <c r="E12" s="20">
        <f>IF($A12="","",D12+B12-C12)</f>
        <v/>
      </c>
      <c r="F12" s="20">
        <f>IF($A12="","",IF('Equipo'!B12&gt;0,E12/'Equipo'!B12,0))</f>
        <v/>
      </c>
      <c r="G12" s="29">
        <f>IF($A12="","",SUMIFS('Registro'!$H$4:$H$1503,'Registro'!$B$4:$B$1503,$A12,'Registro'!$A$4:$A$1503,"&gt;="&amp;DATE('Ajustes'!$A$12,1,1),'Registro'!$A$4:$A$1503,"&lt;="&amp;DATE('Ajustes'!$A$12,12,31)))</f>
        <v/>
      </c>
      <c r="H12" s="9">
        <f>IF($A12="","",'Equipo'!D12-G12)</f>
        <v/>
      </c>
      <c r="I12" s="28">
        <f>IF($A12="","",IF(E12&gt;0.0001,"Francos a tomar",IF(E12&lt;-0.0001,"Tomó de más","Al día")))</f>
        <v/>
      </c>
    </row>
    <row r="13">
      <c r="A13" s="28">
        <f>IF('Equipo'!A13="","",'Equipo'!A13)</f>
        <v/>
      </c>
      <c r="B13" s="29">
        <f>IF($A13="","",SUMIFS('Registro'!$G$4:$G$1503,'Registro'!$B$4:$B$1503,$A13,'Registro'!$G$4:$G$1503,"&gt;0"))</f>
        <v/>
      </c>
      <c r="C13" s="29">
        <f>IF($A13="","",-SUMIFS('Registro'!$G$4:$G$1503,'Registro'!$B$4:$B$1503,$A13,'Registro'!$G$4:$G$1503,"&lt;0"))</f>
        <v/>
      </c>
      <c r="D13" s="29">
        <f>IF($A13="","",'Equipo'!C13)</f>
        <v/>
      </c>
      <c r="E13" s="20">
        <f>IF($A13="","",D13+B13-C13)</f>
        <v/>
      </c>
      <c r="F13" s="20">
        <f>IF($A13="","",IF('Equipo'!B13&gt;0,E13/'Equipo'!B13,0))</f>
        <v/>
      </c>
      <c r="G13" s="29">
        <f>IF($A13="","",SUMIFS('Registro'!$H$4:$H$1503,'Registro'!$B$4:$B$1503,$A13,'Registro'!$A$4:$A$1503,"&gt;="&amp;DATE('Ajustes'!$A$12,1,1),'Registro'!$A$4:$A$1503,"&lt;="&amp;DATE('Ajustes'!$A$12,12,31)))</f>
        <v/>
      </c>
      <c r="H13" s="9">
        <f>IF($A13="","",'Equipo'!D13-G13)</f>
        <v/>
      </c>
      <c r="I13" s="28">
        <f>IF($A13="","",IF(E13&gt;0.0001,"Francos a tomar",IF(E13&lt;-0.0001,"Tomó de más","Al día")))</f>
        <v/>
      </c>
    </row>
    <row r="14">
      <c r="A14" s="28">
        <f>IF('Equipo'!A14="","",'Equipo'!A14)</f>
        <v/>
      </c>
      <c r="B14" s="29">
        <f>IF($A14="","",SUMIFS('Registro'!$G$4:$G$1503,'Registro'!$B$4:$B$1503,$A14,'Registro'!$G$4:$G$1503,"&gt;0"))</f>
        <v/>
      </c>
      <c r="C14" s="29">
        <f>IF($A14="","",-SUMIFS('Registro'!$G$4:$G$1503,'Registro'!$B$4:$B$1503,$A14,'Registro'!$G$4:$G$1503,"&lt;0"))</f>
        <v/>
      </c>
      <c r="D14" s="29">
        <f>IF($A14="","",'Equipo'!C14)</f>
        <v/>
      </c>
      <c r="E14" s="20">
        <f>IF($A14="","",D14+B14-C14)</f>
        <v/>
      </c>
      <c r="F14" s="20">
        <f>IF($A14="","",IF('Equipo'!B14&gt;0,E14/'Equipo'!B14,0))</f>
        <v/>
      </c>
      <c r="G14" s="29">
        <f>IF($A14="","",SUMIFS('Registro'!$H$4:$H$1503,'Registro'!$B$4:$B$1503,$A14,'Registro'!$A$4:$A$1503,"&gt;="&amp;DATE('Ajustes'!$A$12,1,1),'Registro'!$A$4:$A$1503,"&lt;="&amp;DATE('Ajustes'!$A$12,12,31)))</f>
        <v/>
      </c>
      <c r="H14" s="9">
        <f>IF($A14="","",'Equipo'!D14-G14)</f>
        <v/>
      </c>
      <c r="I14" s="28">
        <f>IF($A14="","",IF(E14&gt;0.0001,"Francos a tomar",IF(E14&lt;-0.0001,"Tomó de más","Al día")))</f>
        <v/>
      </c>
    </row>
    <row r="15">
      <c r="A15" s="28">
        <f>IF('Equipo'!A15="","",'Equipo'!A15)</f>
        <v/>
      </c>
      <c r="B15" s="29">
        <f>IF($A15="","",SUMIFS('Registro'!$G$4:$G$1503,'Registro'!$B$4:$B$1503,$A15,'Registro'!$G$4:$G$1503,"&gt;0"))</f>
        <v/>
      </c>
      <c r="C15" s="29">
        <f>IF($A15="","",-SUMIFS('Registro'!$G$4:$G$1503,'Registro'!$B$4:$B$1503,$A15,'Registro'!$G$4:$G$1503,"&lt;0"))</f>
        <v/>
      </c>
      <c r="D15" s="29">
        <f>IF($A15="","",'Equipo'!C15)</f>
        <v/>
      </c>
      <c r="E15" s="20">
        <f>IF($A15="","",D15+B15-C15)</f>
        <v/>
      </c>
      <c r="F15" s="20">
        <f>IF($A15="","",IF('Equipo'!B15&gt;0,E15/'Equipo'!B15,0))</f>
        <v/>
      </c>
      <c r="G15" s="29">
        <f>IF($A15="","",SUMIFS('Registro'!$H$4:$H$1503,'Registro'!$B$4:$B$1503,$A15,'Registro'!$A$4:$A$1503,"&gt;="&amp;DATE('Ajustes'!$A$12,1,1),'Registro'!$A$4:$A$1503,"&lt;="&amp;DATE('Ajustes'!$A$12,12,31)))</f>
        <v/>
      </c>
      <c r="H15" s="9">
        <f>IF($A15="","",'Equipo'!D15-G15)</f>
        <v/>
      </c>
      <c r="I15" s="28">
        <f>IF($A15="","",IF(E15&gt;0.0001,"Francos a tomar",IF(E15&lt;-0.0001,"Tomó de más","Al día")))</f>
        <v/>
      </c>
    </row>
    <row r="16">
      <c r="A16" s="28">
        <f>IF('Equipo'!A16="","",'Equipo'!A16)</f>
        <v/>
      </c>
      <c r="B16" s="29">
        <f>IF($A16="","",SUMIFS('Registro'!$G$4:$G$1503,'Registro'!$B$4:$B$1503,$A16,'Registro'!$G$4:$G$1503,"&gt;0"))</f>
        <v/>
      </c>
      <c r="C16" s="29">
        <f>IF($A16="","",-SUMIFS('Registro'!$G$4:$G$1503,'Registro'!$B$4:$B$1503,$A16,'Registro'!$G$4:$G$1503,"&lt;0"))</f>
        <v/>
      </c>
      <c r="D16" s="29">
        <f>IF($A16="","",'Equipo'!C16)</f>
        <v/>
      </c>
      <c r="E16" s="20">
        <f>IF($A16="","",D16+B16-C16)</f>
        <v/>
      </c>
      <c r="F16" s="20">
        <f>IF($A16="","",IF('Equipo'!B16&gt;0,E16/'Equipo'!B16,0))</f>
        <v/>
      </c>
      <c r="G16" s="29">
        <f>IF($A16="","",SUMIFS('Registro'!$H$4:$H$1503,'Registro'!$B$4:$B$1503,$A16,'Registro'!$A$4:$A$1503,"&gt;="&amp;DATE('Ajustes'!$A$12,1,1),'Registro'!$A$4:$A$1503,"&lt;="&amp;DATE('Ajustes'!$A$12,12,31)))</f>
        <v/>
      </c>
      <c r="H16" s="9">
        <f>IF($A16="","",'Equipo'!D16-G16)</f>
        <v/>
      </c>
      <c r="I16" s="28">
        <f>IF($A16="","",IF(E16&gt;0.0001,"Francos a tomar",IF(E16&lt;-0.0001,"Tomó de más","Al día")))</f>
        <v/>
      </c>
    </row>
    <row r="17">
      <c r="A17" s="28">
        <f>IF('Equipo'!A17="","",'Equipo'!A17)</f>
        <v/>
      </c>
      <c r="B17" s="29">
        <f>IF($A17="","",SUMIFS('Registro'!$G$4:$G$1503,'Registro'!$B$4:$B$1503,$A17,'Registro'!$G$4:$G$1503,"&gt;0"))</f>
        <v/>
      </c>
      <c r="C17" s="29">
        <f>IF($A17="","",-SUMIFS('Registro'!$G$4:$G$1503,'Registro'!$B$4:$B$1503,$A17,'Registro'!$G$4:$G$1503,"&lt;0"))</f>
        <v/>
      </c>
      <c r="D17" s="29">
        <f>IF($A17="","",'Equipo'!C17)</f>
        <v/>
      </c>
      <c r="E17" s="20">
        <f>IF($A17="","",D17+B17-C17)</f>
        <v/>
      </c>
      <c r="F17" s="20">
        <f>IF($A17="","",IF('Equipo'!B17&gt;0,E17/'Equipo'!B17,0))</f>
        <v/>
      </c>
      <c r="G17" s="29">
        <f>IF($A17="","",SUMIFS('Registro'!$H$4:$H$1503,'Registro'!$B$4:$B$1503,$A17,'Registro'!$A$4:$A$1503,"&gt;="&amp;DATE('Ajustes'!$A$12,1,1),'Registro'!$A$4:$A$1503,"&lt;="&amp;DATE('Ajustes'!$A$12,12,31)))</f>
        <v/>
      </c>
      <c r="H17" s="9">
        <f>IF($A17="","",'Equipo'!D17-G17)</f>
        <v/>
      </c>
      <c r="I17" s="28">
        <f>IF($A17="","",IF(E17&gt;0.0001,"Francos a tomar",IF(E17&lt;-0.0001,"Tomó de más","Al día")))</f>
        <v/>
      </c>
    </row>
    <row r="18">
      <c r="A18" s="28">
        <f>IF('Equipo'!A18="","",'Equipo'!A18)</f>
        <v/>
      </c>
      <c r="B18" s="29">
        <f>IF($A18="","",SUMIFS('Registro'!$G$4:$G$1503,'Registro'!$B$4:$B$1503,$A18,'Registro'!$G$4:$G$1503,"&gt;0"))</f>
        <v/>
      </c>
      <c r="C18" s="29">
        <f>IF($A18="","",-SUMIFS('Registro'!$G$4:$G$1503,'Registro'!$B$4:$B$1503,$A18,'Registro'!$G$4:$G$1503,"&lt;0"))</f>
        <v/>
      </c>
      <c r="D18" s="29">
        <f>IF($A18="","",'Equipo'!C18)</f>
        <v/>
      </c>
      <c r="E18" s="20">
        <f>IF($A18="","",D18+B18-C18)</f>
        <v/>
      </c>
      <c r="F18" s="20">
        <f>IF($A18="","",IF('Equipo'!B18&gt;0,E18/'Equipo'!B18,0))</f>
        <v/>
      </c>
      <c r="G18" s="29">
        <f>IF($A18="","",SUMIFS('Registro'!$H$4:$H$1503,'Registro'!$B$4:$B$1503,$A18,'Registro'!$A$4:$A$1503,"&gt;="&amp;DATE('Ajustes'!$A$12,1,1),'Registro'!$A$4:$A$1503,"&lt;="&amp;DATE('Ajustes'!$A$12,12,31)))</f>
        <v/>
      </c>
      <c r="H18" s="9">
        <f>IF($A18="","",'Equipo'!D18-G18)</f>
        <v/>
      </c>
      <c r="I18" s="28">
        <f>IF($A18="","",IF(E18&gt;0.0001,"Francos a tomar",IF(E18&lt;-0.0001,"Tomó de más","Al día")))</f>
        <v/>
      </c>
    </row>
    <row r="19">
      <c r="A19" s="28">
        <f>IF('Equipo'!A19="","",'Equipo'!A19)</f>
        <v/>
      </c>
      <c r="B19" s="29">
        <f>IF($A19="","",SUMIFS('Registro'!$G$4:$G$1503,'Registro'!$B$4:$B$1503,$A19,'Registro'!$G$4:$G$1503,"&gt;0"))</f>
        <v/>
      </c>
      <c r="C19" s="29">
        <f>IF($A19="","",-SUMIFS('Registro'!$G$4:$G$1503,'Registro'!$B$4:$B$1503,$A19,'Registro'!$G$4:$G$1503,"&lt;0"))</f>
        <v/>
      </c>
      <c r="D19" s="29">
        <f>IF($A19="","",'Equipo'!C19)</f>
        <v/>
      </c>
      <c r="E19" s="20">
        <f>IF($A19="","",D19+B19-C19)</f>
        <v/>
      </c>
      <c r="F19" s="20">
        <f>IF($A19="","",IF('Equipo'!B19&gt;0,E19/'Equipo'!B19,0))</f>
        <v/>
      </c>
      <c r="G19" s="29">
        <f>IF($A19="","",SUMIFS('Registro'!$H$4:$H$1503,'Registro'!$B$4:$B$1503,$A19,'Registro'!$A$4:$A$1503,"&gt;="&amp;DATE('Ajustes'!$A$12,1,1),'Registro'!$A$4:$A$1503,"&lt;="&amp;DATE('Ajustes'!$A$12,12,31)))</f>
        <v/>
      </c>
      <c r="H19" s="9">
        <f>IF($A19="","",'Equipo'!D19-G19)</f>
        <v/>
      </c>
      <c r="I19" s="28">
        <f>IF($A19="","",IF(E19&gt;0.0001,"Francos a tomar",IF(E19&lt;-0.0001,"Tomó de más","Al día")))</f>
        <v/>
      </c>
    </row>
    <row r="20">
      <c r="A20" s="28">
        <f>IF('Equipo'!A20="","",'Equipo'!A20)</f>
        <v/>
      </c>
      <c r="B20" s="29">
        <f>IF($A20="","",SUMIFS('Registro'!$G$4:$G$1503,'Registro'!$B$4:$B$1503,$A20,'Registro'!$G$4:$G$1503,"&gt;0"))</f>
        <v/>
      </c>
      <c r="C20" s="29">
        <f>IF($A20="","",-SUMIFS('Registro'!$G$4:$G$1503,'Registro'!$B$4:$B$1503,$A20,'Registro'!$G$4:$G$1503,"&lt;0"))</f>
        <v/>
      </c>
      <c r="D20" s="29">
        <f>IF($A20="","",'Equipo'!C20)</f>
        <v/>
      </c>
      <c r="E20" s="20">
        <f>IF($A20="","",D20+B20-C20)</f>
        <v/>
      </c>
      <c r="F20" s="20">
        <f>IF($A20="","",IF('Equipo'!B20&gt;0,E20/'Equipo'!B20,0))</f>
        <v/>
      </c>
      <c r="G20" s="29">
        <f>IF($A20="","",SUMIFS('Registro'!$H$4:$H$1503,'Registro'!$B$4:$B$1503,$A20,'Registro'!$A$4:$A$1503,"&gt;="&amp;DATE('Ajustes'!$A$12,1,1),'Registro'!$A$4:$A$1503,"&lt;="&amp;DATE('Ajustes'!$A$12,12,31)))</f>
        <v/>
      </c>
      <c r="H20" s="9">
        <f>IF($A20="","",'Equipo'!D20-G20)</f>
        <v/>
      </c>
      <c r="I20" s="28">
        <f>IF($A20="","",IF(E20&gt;0.0001,"Francos a tomar",IF(E20&lt;-0.0001,"Tomó de más","Al día")))</f>
        <v/>
      </c>
    </row>
    <row r="21">
      <c r="A21" s="28">
        <f>IF('Equipo'!A21="","",'Equipo'!A21)</f>
        <v/>
      </c>
      <c r="B21" s="29">
        <f>IF($A21="","",SUMIFS('Registro'!$G$4:$G$1503,'Registro'!$B$4:$B$1503,$A21,'Registro'!$G$4:$G$1503,"&gt;0"))</f>
        <v/>
      </c>
      <c r="C21" s="29">
        <f>IF($A21="","",-SUMIFS('Registro'!$G$4:$G$1503,'Registro'!$B$4:$B$1503,$A21,'Registro'!$G$4:$G$1503,"&lt;0"))</f>
        <v/>
      </c>
      <c r="D21" s="29">
        <f>IF($A21="","",'Equipo'!C21)</f>
        <v/>
      </c>
      <c r="E21" s="20">
        <f>IF($A21="","",D21+B21-C21)</f>
        <v/>
      </c>
      <c r="F21" s="20">
        <f>IF($A21="","",IF('Equipo'!B21&gt;0,E21/'Equipo'!B21,0))</f>
        <v/>
      </c>
      <c r="G21" s="29">
        <f>IF($A21="","",SUMIFS('Registro'!$H$4:$H$1503,'Registro'!$B$4:$B$1503,$A21,'Registro'!$A$4:$A$1503,"&gt;="&amp;DATE('Ajustes'!$A$12,1,1),'Registro'!$A$4:$A$1503,"&lt;="&amp;DATE('Ajustes'!$A$12,12,31)))</f>
        <v/>
      </c>
      <c r="H21" s="9">
        <f>IF($A21="","",'Equipo'!D21-G21)</f>
        <v/>
      </c>
      <c r="I21" s="28">
        <f>IF($A21="","",IF(E21&gt;0.0001,"Francos a tomar",IF(E21&lt;-0.0001,"Tomó de más","Al día")))</f>
        <v/>
      </c>
    </row>
    <row r="22">
      <c r="A22" s="28">
        <f>IF('Equipo'!A22="","",'Equipo'!A22)</f>
        <v/>
      </c>
      <c r="B22" s="29">
        <f>IF($A22="","",SUMIFS('Registro'!$G$4:$G$1503,'Registro'!$B$4:$B$1503,$A22,'Registro'!$G$4:$G$1503,"&gt;0"))</f>
        <v/>
      </c>
      <c r="C22" s="29">
        <f>IF($A22="","",-SUMIFS('Registro'!$G$4:$G$1503,'Registro'!$B$4:$B$1503,$A22,'Registro'!$G$4:$G$1503,"&lt;0"))</f>
        <v/>
      </c>
      <c r="D22" s="29">
        <f>IF($A22="","",'Equipo'!C22)</f>
        <v/>
      </c>
      <c r="E22" s="20">
        <f>IF($A22="","",D22+B22-C22)</f>
        <v/>
      </c>
      <c r="F22" s="20">
        <f>IF($A22="","",IF('Equipo'!B22&gt;0,E22/'Equipo'!B22,0))</f>
        <v/>
      </c>
      <c r="G22" s="29">
        <f>IF($A22="","",SUMIFS('Registro'!$H$4:$H$1503,'Registro'!$B$4:$B$1503,$A22,'Registro'!$A$4:$A$1503,"&gt;="&amp;DATE('Ajustes'!$A$12,1,1),'Registro'!$A$4:$A$1503,"&lt;="&amp;DATE('Ajustes'!$A$12,12,31)))</f>
        <v/>
      </c>
      <c r="H22" s="9">
        <f>IF($A22="","",'Equipo'!D22-G22)</f>
        <v/>
      </c>
      <c r="I22" s="28">
        <f>IF($A22="","",IF(E22&gt;0.0001,"Francos a tomar",IF(E22&lt;-0.0001,"Tomó de más","Al día")))</f>
        <v/>
      </c>
    </row>
    <row r="23">
      <c r="A23" s="28">
        <f>IF('Equipo'!A23="","",'Equipo'!A23)</f>
        <v/>
      </c>
      <c r="B23" s="29">
        <f>IF($A23="","",SUMIFS('Registro'!$G$4:$G$1503,'Registro'!$B$4:$B$1503,$A23,'Registro'!$G$4:$G$1503,"&gt;0"))</f>
        <v/>
      </c>
      <c r="C23" s="29">
        <f>IF($A23="","",-SUMIFS('Registro'!$G$4:$G$1503,'Registro'!$B$4:$B$1503,$A23,'Registro'!$G$4:$G$1503,"&lt;0"))</f>
        <v/>
      </c>
      <c r="D23" s="29">
        <f>IF($A23="","",'Equipo'!C23)</f>
        <v/>
      </c>
      <c r="E23" s="20">
        <f>IF($A23="","",D23+B23-C23)</f>
        <v/>
      </c>
      <c r="F23" s="20">
        <f>IF($A23="","",IF('Equipo'!B23&gt;0,E23/'Equipo'!B23,0))</f>
        <v/>
      </c>
      <c r="G23" s="29">
        <f>IF($A23="","",SUMIFS('Registro'!$H$4:$H$1503,'Registro'!$B$4:$B$1503,$A23,'Registro'!$A$4:$A$1503,"&gt;="&amp;DATE('Ajustes'!$A$12,1,1),'Registro'!$A$4:$A$1503,"&lt;="&amp;DATE('Ajustes'!$A$12,12,31)))</f>
        <v/>
      </c>
      <c r="H23" s="9">
        <f>IF($A23="","",'Equipo'!D23-G23)</f>
        <v/>
      </c>
      <c r="I23" s="28">
        <f>IF($A23="","",IF(E23&gt;0.0001,"Francos a tomar",IF(E23&lt;-0.0001,"Tomó de más","Al día")))</f>
        <v/>
      </c>
    </row>
    <row r="24">
      <c r="A24" s="28">
        <f>IF('Equipo'!A24="","",'Equipo'!A24)</f>
        <v/>
      </c>
      <c r="B24" s="29">
        <f>IF($A24="","",SUMIFS('Registro'!$G$4:$G$1503,'Registro'!$B$4:$B$1503,$A24,'Registro'!$G$4:$G$1503,"&gt;0"))</f>
        <v/>
      </c>
      <c r="C24" s="29">
        <f>IF($A24="","",-SUMIFS('Registro'!$G$4:$G$1503,'Registro'!$B$4:$B$1503,$A24,'Registro'!$G$4:$G$1503,"&lt;0"))</f>
        <v/>
      </c>
      <c r="D24" s="29">
        <f>IF($A24="","",'Equipo'!C24)</f>
        <v/>
      </c>
      <c r="E24" s="20">
        <f>IF($A24="","",D24+B24-C24)</f>
        <v/>
      </c>
      <c r="F24" s="20">
        <f>IF($A24="","",IF('Equipo'!B24&gt;0,E24/'Equipo'!B24,0))</f>
        <v/>
      </c>
      <c r="G24" s="29">
        <f>IF($A24="","",SUMIFS('Registro'!$H$4:$H$1503,'Registro'!$B$4:$B$1503,$A24,'Registro'!$A$4:$A$1503,"&gt;="&amp;DATE('Ajustes'!$A$12,1,1),'Registro'!$A$4:$A$1503,"&lt;="&amp;DATE('Ajustes'!$A$12,12,31)))</f>
        <v/>
      </c>
      <c r="H24" s="9">
        <f>IF($A24="","",'Equipo'!D24-G24)</f>
        <v/>
      </c>
      <c r="I24" s="28">
        <f>IF($A24="","",IF(E24&gt;0.0001,"Francos a tomar",IF(E24&lt;-0.0001,"Tomó de más","Al día")))</f>
        <v/>
      </c>
    </row>
    <row r="25">
      <c r="A25" s="28">
        <f>IF('Equipo'!A25="","",'Equipo'!A25)</f>
        <v/>
      </c>
      <c r="B25" s="29">
        <f>IF($A25="","",SUMIFS('Registro'!$G$4:$G$1503,'Registro'!$B$4:$B$1503,$A25,'Registro'!$G$4:$G$1503,"&gt;0"))</f>
        <v/>
      </c>
      <c r="C25" s="29">
        <f>IF($A25="","",-SUMIFS('Registro'!$G$4:$G$1503,'Registro'!$B$4:$B$1503,$A25,'Registro'!$G$4:$G$1503,"&lt;0"))</f>
        <v/>
      </c>
      <c r="D25" s="29">
        <f>IF($A25="","",'Equipo'!C25)</f>
        <v/>
      </c>
      <c r="E25" s="20">
        <f>IF($A25="","",D25+B25-C25)</f>
        <v/>
      </c>
      <c r="F25" s="20">
        <f>IF($A25="","",IF('Equipo'!B25&gt;0,E25/'Equipo'!B25,0))</f>
        <v/>
      </c>
      <c r="G25" s="29">
        <f>IF($A25="","",SUMIFS('Registro'!$H$4:$H$1503,'Registro'!$B$4:$B$1503,$A25,'Registro'!$A$4:$A$1503,"&gt;="&amp;DATE('Ajustes'!$A$12,1,1),'Registro'!$A$4:$A$1503,"&lt;="&amp;DATE('Ajustes'!$A$12,12,31)))</f>
        <v/>
      </c>
      <c r="H25" s="9">
        <f>IF($A25="","",'Equipo'!D25-G25)</f>
        <v/>
      </c>
      <c r="I25" s="28">
        <f>IF($A25="","",IF(E25&gt;0.0001,"Francos a tomar",IF(E25&lt;-0.0001,"Tomó de más","Al día")))</f>
        <v/>
      </c>
    </row>
    <row r="26">
      <c r="A26" s="28">
        <f>IF('Equipo'!A26="","",'Equipo'!A26)</f>
        <v/>
      </c>
      <c r="B26" s="29">
        <f>IF($A26="","",SUMIFS('Registro'!$G$4:$G$1503,'Registro'!$B$4:$B$1503,$A26,'Registro'!$G$4:$G$1503,"&gt;0"))</f>
        <v/>
      </c>
      <c r="C26" s="29">
        <f>IF($A26="","",-SUMIFS('Registro'!$G$4:$G$1503,'Registro'!$B$4:$B$1503,$A26,'Registro'!$G$4:$G$1503,"&lt;0"))</f>
        <v/>
      </c>
      <c r="D26" s="29">
        <f>IF($A26="","",'Equipo'!C26)</f>
        <v/>
      </c>
      <c r="E26" s="20">
        <f>IF($A26="","",D26+B26-C26)</f>
        <v/>
      </c>
      <c r="F26" s="20">
        <f>IF($A26="","",IF('Equipo'!B26&gt;0,E26/'Equipo'!B26,0))</f>
        <v/>
      </c>
      <c r="G26" s="29">
        <f>IF($A26="","",SUMIFS('Registro'!$H$4:$H$1503,'Registro'!$B$4:$B$1503,$A26,'Registro'!$A$4:$A$1503,"&gt;="&amp;DATE('Ajustes'!$A$12,1,1),'Registro'!$A$4:$A$1503,"&lt;="&amp;DATE('Ajustes'!$A$12,12,31)))</f>
        <v/>
      </c>
      <c r="H26" s="9">
        <f>IF($A26="","",'Equipo'!D26-G26)</f>
        <v/>
      </c>
      <c r="I26" s="28">
        <f>IF($A26="","",IF(E26&gt;0.0001,"Francos a tomar",IF(E26&lt;-0.0001,"Tomó de más","Al día")))</f>
        <v/>
      </c>
    </row>
    <row r="27">
      <c r="A27" s="28">
        <f>IF('Equipo'!A27="","",'Equipo'!A27)</f>
        <v/>
      </c>
      <c r="B27" s="29">
        <f>IF($A27="","",SUMIFS('Registro'!$G$4:$G$1503,'Registro'!$B$4:$B$1503,$A27,'Registro'!$G$4:$G$1503,"&gt;0"))</f>
        <v/>
      </c>
      <c r="C27" s="29">
        <f>IF($A27="","",-SUMIFS('Registro'!$G$4:$G$1503,'Registro'!$B$4:$B$1503,$A27,'Registro'!$G$4:$G$1503,"&lt;0"))</f>
        <v/>
      </c>
      <c r="D27" s="29">
        <f>IF($A27="","",'Equipo'!C27)</f>
        <v/>
      </c>
      <c r="E27" s="20">
        <f>IF($A27="","",D27+B27-C27)</f>
        <v/>
      </c>
      <c r="F27" s="20">
        <f>IF($A27="","",IF('Equipo'!B27&gt;0,E27/'Equipo'!B27,0))</f>
        <v/>
      </c>
      <c r="G27" s="29">
        <f>IF($A27="","",SUMIFS('Registro'!$H$4:$H$1503,'Registro'!$B$4:$B$1503,$A27,'Registro'!$A$4:$A$1503,"&gt;="&amp;DATE('Ajustes'!$A$12,1,1),'Registro'!$A$4:$A$1503,"&lt;="&amp;DATE('Ajustes'!$A$12,12,31)))</f>
        <v/>
      </c>
      <c r="H27" s="9">
        <f>IF($A27="","",'Equipo'!D27-G27)</f>
        <v/>
      </c>
      <c r="I27" s="28">
        <f>IF($A27="","",IF(E27&gt;0.0001,"Francos a tomar",IF(E27&lt;-0.0001,"Tomó de más","Al día")))</f>
        <v/>
      </c>
    </row>
    <row r="28">
      <c r="A28" s="28">
        <f>IF('Equipo'!A28="","",'Equipo'!A28)</f>
        <v/>
      </c>
      <c r="B28" s="29">
        <f>IF($A28="","",SUMIFS('Registro'!$G$4:$G$1503,'Registro'!$B$4:$B$1503,$A28,'Registro'!$G$4:$G$1503,"&gt;0"))</f>
        <v/>
      </c>
      <c r="C28" s="29">
        <f>IF($A28="","",-SUMIFS('Registro'!$G$4:$G$1503,'Registro'!$B$4:$B$1503,$A28,'Registro'!$G$4:$G$1503,"&lt;0"))</f>
        <v/>
      </c>
      <c r="D28" s="29">
        <f>IF($A28="","",'Equipo'!C28)</f>
        <v/>
      </c>
      <c r="E28" s="20">
        <f>IF($A28="","",D28+B28-C28)</f>
        <v/>
      </c>
      <c r="F28" s="20">
        <f>IF($A28="","",IF('Equipo'!B28&gt;0,E28/'Equipo'!B28,0))</f>
        <v/>
      </c>
      <c r="G28" s="29">
        <f>IF($A28="","",SUMIFS('Registro'!$H$4:$H$1503,'Registro'!$B$4:$B$1503,$A28,'Registro'!$A$4:$A$1503,"&gt;="&amp;DATE('Ajustes'!$A$12,1,1),'Registro'!$A$4:$A$1503,"&lt;="&amp;DATE('Ajustes'!$A$12,12,31)))</f>
        <v/>
      </c>
      <c r="H28" s="9">
        <f>IF($A28="","",'Equipo'!D28-G28)</f>
        <v/>
      </c>
      <c r="I28" s="28">
        <f>IF($A28="","",IF(E28&gt;0.0001,"Francos a tomar",IF(E28&lt;-0.0001,"Tomó de más","Al día")))</f>
        <v/>
      </c>
    </row>
    <row r="29">
      <c r="A29" s="28">
        <f>IF('Equipo'!A29="","",'Equipo'!A29)</f>
        <v/>
      </c>
      <c r="B29" s="29">
        <f>IF($A29="","",SUMIFS('Registro'!$G$4:$G$1503,'Registro'!$B$4:$B$1503,$A29,'Registro'!$G$4:$G$1503,"&gt;0"))</f>
        <v/>
      </c>
      <c r="C29" s="29">
        <f>IF($A29="","",-SUMIFS('Registro'!$G$4:$G$1503,'Registro'!$B$4:$B$1503,$A29,'Registro'!$G$4:$G$1503,"&lt;0"))</f>
        <v/>
      </c>
      <c r="D29" s="29">
        <f>IF($A29="","",'Equipo'!C29)</f>
        <v/>
      </c>
      <c r="E29" s="20">
        <f>IF($A29="","",D29+B29-C29)</f>
        <v/>
      </c>
      <c r="F29" s="20">
        <f>IF($A29="","",IF('Equipo'!B29&gt;0,E29/'Equipo'!B29,0))</f>
        <v/>
      </c>
      <c r="G29" s="29">
        <f>IF($A29="","",SUMIFS('Registro'!$H$4:$H$1503,'Registro'!$B$4:$B$1503,$A29,'Registro'!$A$4:$A$1503,"&gt;="&amp;DATE('Ajustes'!$A$12,1,1),'Registro'!$A$4:$A$1503,"&lt;="&amp;DATE('Ajustes'!$A$12,12,31)))</f>
        <v/>
      </c>
      <c r="H29" s="9">
        <f>IF($A29="","",'Equipo'!D29-G29)</f>
        <v/>
      </c>
      <c r="I29" s="28">
        <f>IF($A29="","",IF(E29&gt;0.0001,"Francos a tomar",IF(E29&lt;-0.0001,"Tomó de más","Al día")))</f>
        <v/>
      </c>
    </row>
    <row r="30">
      <c r="A30" s="28" t="inlineStr">
        <is>
          <t>Total del equipo</t>
        </is>
      </c>
      <c r="B30" s="10">
        <f>SUM(B5:B29)</f>
        <v/>
      </c>
      <c r="C30" s="10">
        <f>SUM(C5:C29)</f>
        <v/>
      </c>
      <c r="D30" s="10">
        <f>SUM(D5:D29)</f>
        <v/>
      </c>
      <c r="E30" s="10">
        <f>SUM(E5:E29)</f>
        <v/>
      </c>
      <c r="F30" s="10">
        <f>SUM(F5:F29)</f>
        <v/>
      </c>
      <c r="G30" s="10">
        <f>SUM(G5:G29)</f>
        <v/>
      </c>
      <c r="H30" s="10">
        <f>SUM(H5:H29)</f>
        <v/>
      </c>
    </row>
    <row r="51">
      <c r="A51" s="21" t="inlineStr">
        <is>
          <t>El gráfico muestra las primeras 12 personas.</t>
        </is>
      </c>
    </row>
  </sheetData>
  <conditionalFormatting sqref="E5:F29">
    <cfRule type="expression" priority="1" dxfId="0">
      <formula>AND(ISNUMBER(E5),E5&lt;-0.0001)</formula>
    </cfRule>
  </conditionalFormatting>
  <conditionalFormatting sqref="I5:I29">
    <cfRule type="expression" priority="2" dxfId="2">
      <formula>I5="Francos a tomar"</formula>
    </cfRule>
  </conditionalFormatting>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36" customWidth="1" min="1" max="1"/>
    <col width="34" customWidth="1" min="2" max="2"/>
    <col width="14" customWidth="1" min="3" max="3"/>
    <col width="4" customWidth="1" min="4" max="4"/>
    <col width="22" customWidth="1" min="5" max="5"/>
  </cols>
  <sheetData>
    <row r="1" ht="28" customHeight="1">
      <c r="A1" s="1" t="inlineStr">
        <is>
          <t>Ajustes</t>
        </is>
      </c>
    </row>
    <row r="2">
      <c r="A2" s="2" t="inlineStr">
        <is>
          <t>Tipos de movimiento y cuánto vale cada hora.</t>
        </is>
      </c>
    </row>
    <row r="4" ht="32" customHeight="1">
      <c r="A4" s="15" t="inlineStr">
        <is>
          <t>Tipo</t>
        </is>
      </c>
      <c r="B4" s="15" t="inlineStr">
        <is>
          <t>Qué hace</t>
        </is>
      </c>
      <c r="C4" s="15" t="inlineStr">
        <is>
          <t>Coeficiente</t>
        </is>
      </c>
    </row>
    <row r="5">
      <c r="A5" s="23" t="inlineStr">
        <is>
          <t>Horas extra trabajadas</t>
        </is>
      </c>
      <c r="B5" s="17" t="inlineStr">
        <is>
          <t>Suma al saldo</t>
        </is>
      </c>
      <c r="C5" s="24" t="n">
        <v>1</v>
      </c>
    </row>
    <row r="6">
      <c r="A6" s="23" t="inlineStr">
        <is>
          <t>Trabajo en feriado / franco</t>
        </is>
      </c>
      <c r="B6" s="17" t="inlineStr">
        <is>
          <t>Suma al saldo</t>
        </is>
      </c>
      <c r="C6" s="24" t="n">
        <v>1</v>
      </c>
    </row>
    <row r="7">
      <c r="A7" s="23" t="inlineStr">
        <is>
          <t>Franco compensatorio tomado</t>
        </is>
      </c>
      <c r="B7" s="17" t="inlineStr">
        <is>
          <t>Resta del saldo</t>
        </is>
      </c>
      <c r="C7" s="30" t="inlineStr">
        <is>
          <t>–</t>
        </is>
      </c>
    </row>
    <row r="8">
      <c r="A8" s="23" t="inlineStr">
        <is>
          <t>Vacaciones / licencia oficial</t>
        </is>
      </c>
      <c r="B8" s="17" t="inlineStr">
        <is>
          <t>Aparte: vacaciones oficiales</t>
        </is>
      </c>
      <c r="C8" s="30" t="inlineStr">
        <is>
          <t>–</t>
        </is>
      </c>
    </row>
    <row r="11">
      <c r="A11" s="5" t="inlineStr">
        <is>
          <t>Año de vacaciones</t>
        </is>
      </c>
    </row>
    <row r="12">
      <c r="A12" s="27" t="n">
        <v>2026</v>
      </c>
    </row>
    <row r="14">
      <c r="A14" s="21" t="inlineStr">
        <is>
          <t>Los tipos 1 y 2 suman al saldo (por el coeficiente), el 3 resta y el 4 son vacaciones oficiales, que se cuentan aparte.</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2026-10-26T17:45:35Z</dcterms:created>
  <dcterms:modified xmlns:dcterms="http://purl.org/dc/terms/" xmlns:xsi="http://www.w3.org/2001/XMLSchema-instance" xsi:type="dcterms:W3CDTF">2026-10-26T17:45:37Z</dcterms:modified>
</cp:coreProperties>
</file>