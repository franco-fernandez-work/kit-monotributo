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Parámetros" sheetId="2" state="visible" r:id="rId2"/>
    <sheet xmlns:r="http://schemas.openxmlformats.org/officeDocument/2006/relationships" name="Hijo 1" sheetId="3" state="visible" r:id="rId3"/>
    <sheet xmlns:r="http://schemas.openxmlformats.org/officeDocument/2006/relationships" name="Hijo 2" sheetId="4" state="visible" r:id="rId4"/>
    <sheet xmlns:r="http://schemas.openxmlformats.org/officeDocument/2006/relationships" name="Hijo 3" sheetId="5" state="visible" r:id="rId5"/>
    <sheet xmlns:r="http://schemas.openxmlformats.org/officeDocument/2006/relationships" name="Resum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&quot;$&quot; #,##0"/>
  </numFmts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</font>
    <font>
      <b val="1"/>
      <color rgb="001F4E79"/>
      <sz val="12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2" borderId="1" pivotButton="0" quotePrefix="0" xfId="0"/>
    <xf numFmtId="0" fontId="0" fillId="2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165" fontId="0" fillId="2" borderId="1" pivotButton="0" quotePrefix="0" xfId="0"/>
    <xf numFmtId="1" fontId="0" fillId="2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Planilla Anual del Gasto Escolar</t>
        </is>
      </c>
    </row>
    <row r="2">
      <c r="A2" s="2" t="inlineStr">
        <is>
          <t>Presupuesto por hijo, ajuste por IPC y comparación con el gasto real. Excel y Google Sheets.</t>
        </is>
      </c>
    </row>
    <row r="4">
      <c r="A4" s="3" t="inlineStr">
        <is>
          <t>CÓMO USARLO</t>
        </is>
      </c>
    </row>
    <row r="5">
      <c r="A5" t="inlineStr">
        <is>
          <t>1. Pestaña 'Parámetros': poné el IPC mensual que esperás (por ejemplo 3%) y los nombres de tus hijos.</t>
        </is>
      </c>
    </row>
    <row r="6">
      <c r="A6" t="inlineStr">
        <is>
          <t>2. En cada pestaña 'Hijo': en 'Gastos mensuales' cargá el monto base, si ajusta por IPC (SI/NO) y de qué mes a qué mes se paga. El resto se calcula.</t>
        </is>
      </c>
    </row>
    <row r="7">
      <c r="A7" t="inlineStr">
        <is>
          <t>3. En 'Gastos únicos' cargá útiles, uniforme, calzado, libros y otros en el mes en que los vas a comprar.</t>
        </is>
      </c>
    </row>
    <row r="8">
      <c r="A8" t="inlineStr">
        <is>
          <t>4. En 'Gastado real' cargá el total que gastaste cada mes. La diferencia contra lo presupuestado se calcula sola.</t>
        </is>
      </c>
    </row>
    <row r="9">
      <c r="A9" t="inlineStr">
        <is>
          <t>5. 'Resumen' suma a toda la familia, por mes y por hijo.</t>
        </is>
      </c>
    </row>
    <row r="10">
      <c r="A10" t="inlineStr"/>
    </row>
    <row r="11">
      <c r="A11" t="inlineStr">
        <is>
          <t>Celdas amarillas = las cargás vos. Celdas celestes = se calculan solas. Los números de ejemplo son referencia: pisalos con los tuyos.</t>
        </is>
      </c>
    </row>
    <row r="12">
      <c r="A12" t="inlineStr"/>
    </row>
    <row r="13">
      <c r="A13" s="3" t="inlineStr">
        <is>
          <t>AVISO</t>
        </is>
      </c>
    </row>
    <row r="14">
      <c r="A14" t="inlineStr">
        <is>
          <t>Herramienta de cálculo orientativa. Los precios de ejemplo no corresponden a ningún colegio ni comercio. Para uso propio, prohibida su reventa.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Parámetros</t>
        </is>
      </c>
    </row>
    <row r="2">
      <c r="A2" s="2" t="inlineStr">
        <is>
          <t>Valores que usan todas las pestañas</t>
        </is>
      </c>
    </row>
    <row r="4">
      <c r="A4" t="inlineStr">
        <is>
          <t>IPC mensual esperado</t>
        </is>
      </c>
      <c r="B4" s="4" t="n">
        <v>0.03</v>
      </c>
    </row>
    <row r="6">
      <c r="A6" t="inlineStr">
        <is>
          <t>Nombre hijo 1</t>
        </is>
      </c>
      <c r="B6" s="5" t="inlineStr">
        <is>
          <t>Hijo 1</t>
        </is>
      </c>
    </row>
    <row r="7">
      <c r="A7" t="inlineStr">
        <is>
          <t>Nombre hijo 2</t>
        </is>
      </c>
      <c r="B7" s="5" t="inlineStr">
        <is>
          <t>Hijo 2</t>
        </is>
      </c>
    </row>
    <row r="8">
      <c r="A8" t="inlineStr">
        <is>
          <t>Nombre hijo 3</t>
        </is>
      </c>
      <c r="B8" s="5" t="inlineStr">
        <is>
          <t>Hijo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6" customWidth="1" min="18" max="18"/>
  </cols>
  <sheetData>
    <row r="1">
      <c r="A1" s="1" t="inlineStr">
        <is>
          <t>Hijo 1</t>
        </is>
      </c>
    </row>
    <row r="2">
      <c r="A2" s="2" t="inlineStr">
        <is>
          <t>Presupuesto y gasto real del año</t>
        </is>
      </c>
    </row>
    <row r="3">
      <c r="A3" t="inlineStr">
        <is>
          <t>Nombre</t>
        </is>
      </c>
      <c r="B3" s="6">
        <f>Parámetros!B6</f>
        <v/>
      </c>
    </row>
    <row r="5">
      <c r="A5" s="7" t="inlineStr">
        <is>
          <t>Gastos mensuales</t>
        </is>
      </c>
      <c r="B5" s="7" t="inlineStr">
        <is>
          <t>Monto base</t>
        </is>
      </c>
      <c r="C5" s="7" t="inlineStr">
        <is>
          <t>Ajusta IPC</t>
        </is>
      </c>
      <c r="D5" s="7" t="inlineStr">
        <is>
          <t>Desde (mes 1-12)</t>
        </is>
      </c>
      <c r="E5" s="7" t="inlineStr">
        <is>
          <t>Hasta (mes 1-12)</t>
        </is>
      </c>
      <c r="F5" s="7" t="inlineStr">
        <is>
          <t>Ene</t>
        </is>
      </c>
      <c r="G5" s="7" t="inlineStr">
        <is>
          <t>Feb</t>
        </is>
      </c>
      <c r="H5" s="7" t="inlineStr">
        <is>
          <t>Mar</t>
        </is>
      </c>
      <c r="I5" s="7" t="inlineStr">
        <is>
          <t>Abr</t>
        </is>
      </c>
      <c r="J5" s="7" t="inlineStr">
        <is>
          <t>May</t>
        </is>
      </c>
      <c r="K5" s="7" t="inlineStr">
        <is>
          <t>Jun</t>
        </is>
      </c>
      <c r="L5" s="7" t="inlineStr">
        <is>
          <t>Jul</t>
        </is>
      </c>
      <c r="M5" s="7" t="inlineStr">
        <is>
          <t>Ago</t>
        </is>
      </c>
      <c r="N5" s="7" t="inlineStr">
        <is>
          <t>Sep</t>
        </is>
      </c>
      <c r="O5" s="7" t="inlineStr">
        <is>
          <t>Oct</t>
        </is>
      </c>
      <c r="P5" s="7" t="inlineStr">
        <is>
          <t>Nov</t>
        </is>
      </c>
      <c r="Q5" s="7" t="inlineStr">
        <is>
          <t>Dic</t>
        </is>
      </c>
      <c r="R5" s="7" t="inlineStr">
        <is>
          <t>Total año</t>
        </is>
      </c>
    </row>
    <row r="6">
      <c r="A6" t="inlineStr">
        <is>
          <t>Cuota del colegio</t>
        </is>
      </c>
      <c r="B6" s="8" t="n">
        <v>120000</v>
      </c>
      <c r="C6" s="5" t="inlineStr">
        <is>
          <t>SI</t>
        </is>
      </c>
      <c r="D6" s="9" t="n">
        <v>3</v>
      </c>
      <c r="E6" s="9" t="n">
        <v>12</v>
      </c>
      <c r="F6" s="10">
        <f>IF(AND(1&gt;=$D6,1&lt;=$E6),$B6*IF($C6="SI",(1+Parámetros!$B$4)^(1-$D6),1),0)</f>
        <v/>
      </c>
      <c r="G6" s="10">
        <f>IF(AND(2&gt;=$D6,2&lt;=$E6),$B6*IF($C6="SI",(1+Parámetros!$B$4)^(2-$D6),1),0)</f>
        <v/>
      </c>
      <c r="H6" s="10">
        <f>IF(AND(3&gt;=$D6,3&lt;=$E6),$B6*IF($C6="SI",(1+Parámetros!$B$4)^(3-$D6),1),0)</f>
        <v/>
      </c>
      <c r="I6" s="10">
        <f>IF(AND(4&gt;=$D6,4&lt;=$E6),$B6*IF($C6="SI",(1+Parámetros!$B$4)^(4-$D6),1),0)</f>
        <v/>
      </c>
      <c r="J6" s="10">
        <f>IF(AND(5&gt;=$D6,5&lt;=$E6),$B6*IF($C6="SI",(1+Parámetros!$B$4)^(5-$D6),1),0)</f>
        <v/>
      </c>
      <c r="K6" s="10">
        <f>IF(AND(6&gt;=$D6,6&lt;=$E6),$B6*IF($C6="SI",(1+Parámetros!$B$4)^(6-$D6),1),0)</f>
        <v/>
      </c>
      <c r="L6" s="10">
        <f>IF(AND(7&gt;=$D6,7&lt;=$E6),$B6*IF($C6="SI",(1+Parámetros!$B$4)^(7-$D6),1),0)</f>
        <v/>
      </c>
      <c r="M6" s="10">
        <f>IF(AND(8&gt;=$D6,8&lt;=$E6),$B6*IF($C6="SI",(1+Parámetros!$B$4)^(8-$D6),1),0)</f>
        <v/>
      </c>
      <c r="N6" s="10">
        <f>IF(AND(9&gt;=$D6,9&lt;=$E6),$B6*IF($C6="SI",(1+Parámetros!$B$4)^(9-$D6),1),0)</f>
        <v/>
      </c>
      <c r="O6" s="10">
        <f>IF(AND(10&gt;=$D6,10&lt;=$E6),$B6*IF($C6="SI",(1+Parámetros!$B$4)^(10-$D6),1),0)</f>
        <v/>
      </c>
      <c r="P6" s="10">
        <f>IF(AND(11&gt;=$D6,11&lt;=$E6),$B6*IF($C6="SI",(1+Parámetros!$B$4)^(11-$D6),1),0)</f>
        <v/>
      </c>
      <c r="Q6" s="10">
        <f>IF(AND(12&gt;=$D6,12&lt;=$E6),$B6*IF($C6="SI",(1+Parámetros!$B$4)^(12-$D6),1),0)</f>
        <v/>
      </c>
      <c r="R6" s="10">
        <f>SUM(F6:Q6)</f>
        <v/>
      </c>
    </row>
    <row r="7">
      <c r="A7" t="inlineStr">
        <is>
          <t>Transporte</t>
        </is>
      </c>
      <c r="B7" s="8" t="n">
        <v>45000</v>
      </c>
      <c r="C7" s="5" t="inlineStr">
        <is>
          <t>SI</t>
        </is>
      </c>
      <c r="D7" s="9" t="n">
        <v>3</v>
      </c>
      <c r="E7" s="9" t="n">
        <v>12</v>
      </c>
      <c r="F7" s="10">
        <f>IF(AND(1&gt;=$D7,1&lt;=$E7),$B7*IF($C7="SI",(1+Parámetros!$B$4)^(1-$D7),1),0)</f>
        <v/>
      </c>
      <c r="G7" s="10">
        <f>IF(AND(2&gt;=$D7,2&lt;=$E7),$B7*IF($C7="SI",(1+Parámetros!$B$4)^(2-$D7),1),0)</f>
        <v/>
      </c>
      <c r="H7" s="10">
        <f>IF(AND(3&gt;=$D7,3&lt;=$E7),$B7*IF($C7="SI",(1+Parámetros!$B$4)^(3-$D7),1),0)</f>
        <v/>
      </c>
      <c r="I7" s="10">
        <f>IF(AND(4&gt;=$D7,4&lt;=$E7),$B7*IF($C7="SI",(1+Parámetros!$B$4)^(4-$D7),1),0)</f>
        <v/>
      </c>
      <c r="J7" s="10">
        <f>IF(AND(5&gt;=$D7,5&lt;=$E7),$B7*IF($C7="SI",(1+Parámetros!$B$4)^(5-$D7),1),0)</f>
        <v/>
      </c>
      <c r="K7" s="10">
        <f>IF(AND(6&gt;=$D7,6&lt;=$E7),$B7*IF($C7="SI",(1+Parámetros!$B$4)^(6-$D7),1),0)</f>
        <v/>
      </c>
      <c r="L7" s="10">
        <f>IF(AND(7&gt;=$D7,7&lt;=$E7),$B7*IF($C7="SI",(1+Parámetros!$B$4)^(7-$D7),1),0)</f>
        <v/>
      </c>
      <c r="M7" s="10">
        <f>IF(AND(8&gt;=$D7,8&lt;=$E7),$B7*IF($C7="SI",(1+Parámetros!$B$4)^(8-$D7),1),0)</f>
        <v/>
      </c>
      <c r="N7" s="10">
        <f>IF(AND(9&gt;=$D7,9&lt;=$E7),$B7*IF($C7="SI",(1+Parámetros!$B$4)^(9-$D7),1),0)</f>
        <v/>
      </c>
      <c r="O7" s="10">
        <f>IF(AND(10&gt;=$D7,10&lt;=$E7),$B7*IF($C7="SI",(1+Parámetros!$B$4)^(10-$D7),1),0)</f>
        <v/>
      </c>
      <c r="P7" s="10">
        <f>IF(AND(11&gt;=$D7,11&lt;=$E7),$B7*IF($C7="SI",(1+Parámetros!$B$4)^(11-$D7),1),0)</f>
        <v/>
      </c>
      <c r="Q7" s="10">
        <f>IF(AND(12&gt;=$D7,12&lt;=$E7),$B7*IF($C7="SI",(1+Parámetros!$B$4)^(12-$D7),1),0)</f>
        <v/>
      </c>
      <c r="R7" s="10">
        <f>SUM(F7:Q7)</f>
        <v/>
      </c>
    </row>
    <row r="8">
      <c r="A8" t="inlineStr">
        <is>
          <t>Comedor</t>
        </is>
      </c>
      <c r="B8" s="8" t="n">
        <v>0</v>
      </c>
      <c r="C8" s="5" t="inlineStr">
        <is>
          <t>NO</t>
        </is>
      </c>
      <c r="D8" s="9" t="n">
        <v>3</v>
      </c>
      <c r="E8" s="9" t="n">
        <v>12</v>
      </c>
      <c r="F8" s="10">
        <f>IF(AND(1&gt;=$D8,1&lt;=$E8),$B8*IF($C8="SI",(1+Parámetros!$B$4)^(1-$D8),1),0)</f>
        <v/>
      </c>
      <c r="G8" s="10">
        <f>IF(AND(2&gt;=$D8,2&lt;=$E8),$B8*IF($C8="SI",(1+Parámetros!$B$4)^(2-$D8),1),0)</f>
        <v/>
      </c>
      <c r="H8" s="10">
        <f>IF(AND(3&gt;=$D8,3&lt;=$E8),$B8*IF($C8="SI",(1+Parámetros!$B$4)^(3-$D8),1),0)</f>
        <v/>
      </c>
      <c r="I8" s="10">
        <f>IF(AND(4&gt;=$D8,4&lt;=$E8),$B8*IF($C8="SI",(1+Parámetros!$B$4)^(4-$D8),1),0)</f>
        <v/>
      </c>
      <c r="J8" s="10">
        <f>IF(AND(5&gt;=$D8,5&lt;=$E8),$B8*IF($C8="SI",(1+Parámetros!$B$4)^(5-$D8),1),0)</f>
        <v/>
      </c>
      <c r="K8" s="10">
        <f>IF(AND(6&gt;=$D8,6&lt;=$E8),$B8*IF($C8="SI",(1+Parámetros!$B$4)^(6-$D8),1),0)</f>
        <v/>
      </c>
      <c r="L8" s="10">
        <f>IF(AND(7&gt;=$D8,7&lt;=$E8),$B8*IF($C8="SI",(1+Parámetros!$B$4)^(7-$D8),1),0)</f>
        <v/>
      </c>
      <c r="M8" s="10">
        <f>IF(AND(8&gt;=$D8,8&lt;=$E8),$B8*IF($C8="SI",(1+Parámetros!$B$4)^(8-$D8),1),0)</f>
        <v/>
      </c>
      <c r="N8" s="10">
        <f>IF(AND(9&gt;=$D8,9&lt;=$E8),$B8*IF($C8="SI",(1+Parámetros!$B$4)^(9-$D8),1),0)</f>
        <v/>
      </c>
      <c r="O8" s="10">
        <f>IF(AND(10&gt;=$D8,10&lt;=$E8),$B8*IF($C8="SI",(1+Parámetros!$B$4)^(10-$D8),1),0)</f>
        <v/>
      </c>
      <c r="P8" s="10">
        <f>IF(AND(11&gt;=$D8,11&lt;=$E8),$B8*IF($C8="SI",(1+Parámetros!$B$4)^(11-$D8),1),0)</f>
        <v/>
      </c>
      <c r="Q8" s="10">
        <f>IF(AND(12&gt;=$D8,12&lt;=$E8),$B8*IF($C8="SI",(1+Parámetros!$B$4)^(12-$D8),1),0)</f>
        <v/>
      </c>
      <c r="R8" s="10">
        <f>SUM(F8:Q8)</f>
        <v/>
      </c>
    </row>
    <row r="9">
      <c r="A9" t="inlineStr">
        <is>
          <t>Actividades extra</t>
        </is>
      </c>
      <c r="B9" s="8" t="n">
        <v>0</v>
      </c>
      <c r="C9" s="5" t="inlineStr">
        <is>
          <t>NO</t>
        </is>
      </c>
      <c r="D9" s="9" t="n">
        <v>3</v>
      </c>
      <c r="E9" s="9" t="n">
        <v>11</v>
      </c>
      <c r="F9" s="10">
        <f>IF(AND(1&gt;=$D9,1&lt;=$E9),$B9*IF($C9="SI",(1+Parámetros!$B$4)^(1-$D9),1),0)</f>
        <v/>
      </c>
      <c r="G9" s="10">
        <f>IF(AND(2&gt;=$D9,2&lt;=$E9),$B9*IF($C9="SI",(1+Parámetros!$B$4)^(2-$D9),1),0)</f>
        <v/>
      </c>
      <c r="H9" s="10">
        <f>IF(AND(3&gt;=$D9,3&lt;=$E9),$B9*IF($C9="SI",(1+Parámetros!$B$4)^(3-$D9),1),0)</f>
        <v/>
      </c>
      <c r="I9" s="10">
        <f>IF(AND(4&gt;=$D9,4&lt;=$E9),$B9*IF($C9="SI",(1+Parámetros!$B$4)^(4-$D9),1),0)</f>
        <v/>
      </c>
      <c r="J9" s="10">
        <f>IF(AND(5&gt;=$D9,5&lt;=$E9),$B9*IF($C9="SI",(1+Parámetros!$B$4)^(5-$D9),1),0)</f>
        <v/>
      </c>
      <c r="K9" s="10">
        <f>IF(AND(6&gt;=$D9,6&lt;=$E9),$B9*IF($C9="SI",(1+Parámetros!$B$4)^(6-$D9),1),0)</f>
        <v/>
      </c>
      <c r="L9" s="10">
        <f>IF(AND(7&gt;=$D9,7&lt;=$E9),$B9*IF($C9="SI",(1+Parámetros!$B$4)^(7-$D9),1),0)</f>
        <v/>
      </c>
      <c r="M9" s="10">
        <f>IF(AND(8&gt;=$D9,8&lt;=$E9),$B9*IF($C9="SI",(1+Parámetros!$B$4)^(8-$D9),1),0)</f>
        <v/>
      </c>
      <c r="N9" s="10">
        <f>IF(AND(9&gt;=$D9,9&lt;=$E9),$B9*IF($C9="SI",(1+Parámetros!$B$4)^(9-$D9),1),0)</f>
        <v/>
      </c>
      <c r="O9" s="10">
        <f>IF(AND(10&gt;=$D9,10&lt;=$E9),$B9*IF($C9="SI",(1+Parámetros!$B$4)^(10-$D9),1),0)</f>
        <v/>
      </c>
      <c r="P9" s="10">
        <f>IF(AND(11&gt;=$D9,11&lt;=$E9),$B9*IF($C9="SI",(1+Parámetros!$B$4)^(11-$D9),1),0)</f>
        <v/>
      </c>
      <c r="Q9" s="10">
        <f>IF(AND(12&gt;=$D9,12&lt;=$E9),$B9*IF($C9="SI",(1+Parámetros!$B$4)^(12-$D9),1),0)</f>
        <v/>
      </c>
      <c r="R9" s="10">
        <f>SUM(F9:Q9)</f>
        <v/>
      </c>
    </row>
    <row r="11">
      <c r="A11" s="7" t="inlineStr">
        <is>
          <t>Gastos únicos (cargalos en su mes)</t>
        </is>
      </c>
      <c r="B11" s="7" t="inlineStr"/>
      <c r="C11" s="7" t="inlineStr"/>
      <c r="D11" s="7" t="inlineStr"/>
      <c r="E11" s="7" t="inlineStr"/>
      <c r="F11" s="7" t="inlineStr">
        <is>
          <t>Ene</t>
        </is>
      </c>
      <c r="G11" s="7" t="inlineStr">
        <is>
          <t>Feb</t>
        </is>
      </c>
      <c r="H11" s="7" t="inlineStr">
        <is>
          <t>Mar</t>
        </is>
      </c>
      <c r="I11" s="7" t="inlineStr">
        <is>
          <t>Abr</t>
        </is>
      </c>
      <c r="J11" s="7" t="inlineStr">
        <is>
          <t>May</t>
        </is>
      </c>
      <c r="K11" s="7" t="inlineStr">
        <is>
          <t>Jun</t>
        </is>
      </c>
      <c r="L11" s="7" t="inlineStr">
        <is>
          <t>Jul</t>
        </is>
      </c>
      <c r="M11" s="7" t="inlineStr">
        <is>
          <t>Ago</t>
        </is>
      </c>
      <c r="N11" s="7" t="inlineStr">
        <is>
          <t>Sep</t>
        </is>
      </c>
      <c r="O11" s="7" t="inlineStr">
        <is>
          <t>Oct</t>
        </is>
      </c>
      <c r="P11" s="7" t="inlineStr">
        <is>
          <t>Nov</t>
        </is>
      </c>
      <c r="Q11" s="7" t="inlineStr">
        <is>
          <t>Dic</t>
        </is>
      </c>
      <c r="R11" s="7" t="inlineStr">
        <is>
          <t>Total año</t>
        </is>
      </c>
    </row>
    <row r="12">
      <c r="A12" t="inlineStr">
        <is>
          <t>Útiles y mochila</t>
        </is>
      </c>
      <c r="F12" s="8" t="n">
        <v>0</v>
      </c>
      <c r="G12" s="8" t="n">
        <v>60000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10">
        <f>SUM(F12:Q12)</f>
        <v/>
      </c>
    </row>
    <row r="13">
      <c r="A13" t="inlineStr">
        <is>
          <t>Uniforme y ropa</t>
        </is>
      </c>
      <c r="F13" s="8" t="n">
        <v>0</v>
      </c>
      <c r="G13" s="8" t="n">
        <v>70000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10">
        <f>SUM(F13:Q13)</f>
        <v/>
      </c>
    </row>
    <row r="14">
      <c r="A14" t="inlineStr">
        <is>
          <t>Calzado</t>
        </is>
      </c>
      <c r="F14" s="8" t="n">
        <v>0</v>
      </c>
      <c r="G14" s="8" t="n">
        <v>80000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10">
        <f>SUM(F14:Q14)</f>
        <v/>
      </c>
    </row>
    <row r="15">
      <c r="A15" t="inlineStr">
        <is>
          <t>Libros</t>
        </is>
      </c>
      <c r="F15" s="8" t="n">
        <v>0</v>
      </c>
      <c r="G15" s="8" t="n">
        <v>0</v>
      </c>
      <c r="H15" s="8" t="n">
        <v>50000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10">
        <f>SUM(F15:Q15)</f>
        <v/>
      </c>
    </row>
    <row r="16">
      <c r="A16" t="inlineStr">
        <is>
          <t>Otros</t>
        </is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10">
        <f>SUM(F16:Q16)</f>
        <v/>
      </c>
    </row>
    <row r="18">
      <c r="A18" s="6" t="inlineStr">
        <is>
          <t>TOTAL PRESUPUESTADO</t>
        </is>
      </c>
      <c r="F18" s="10">
        <f>SUM(F6:F9)+SUM(F12:F16)</f>
        <v/>
      </c>
      <c r="G18" s="10">
        <f>SUM(G6:G9)+SUM(G12:G16)</f>
        <v/>
      </c>
      <c r="H18" s="10">
        <f>SUM(H6:H9)+SUM(H12:H16)</f>
        <v/>
      </c>
      <c r="I18" s="10">
        <f>SUM(I6:I9)+SUM(I12:I16)</f>
        <v/>
      </c>
      <c r="J18" s="10">
        <f>SUM(J6:J9)+SUM(J12:J16)</f>
        <v/>
      </c>
      <c r="K18" s="10">
        <f>SUM(K6:K9)+SUM(K12:K16)</f>
        <v/>
      </c>
      <c r="L18" s="10">
        <f>SUM(L6:L9)+SUM(L12:L16)</f>
        <v/>
      </c>
      <c r="M18" s="10">
        <f>SUM(M6:M9)+SUM(M12:M16)</f>
        <v/>
      </c>
      <c r="N18" s="10">
        <f>SUM(N6:N9)+SUM(N12:N16)</f>
        <v/>
      </c>
      <c r="O18" s="10">
        <f>SUM(O6:O9)+SUM(O12:O16)</f>
        <v/>
      </c>
      <c r="P18" s="10">
        <f>SUM(P6:P9)+SUM(P12:P16)</f>
        <v/>
      </c>
      <c r="Q18" s="10">
        <f>SUM(Q6:Q9)+SUM(Q12:Q16)</f>
        <v/>
      </c>
      <c r="R18" s="10">
        <f>SUM(R6:R9)+SUM(R12:R16)</f>
        <v/>
      </c>
    </row>
    <row r="19">
      <c r="A19" s="6" t="inlineStr">
        <is>
          <t>Gastado real</t>
        </is>
      </c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10">
        <f>SUM(F19:Q19)</f>
        <v/>
      </c>
    </row>
    <row r="20">
      <c r="A20" s="6" t="inlineStr">
        <is>
          <t>Diferencia (presupuesto - real)</t>
        </is>
      </c>
      <c r="F20" s="10">
        <f>F18-F19</f>
        <v/>
      </c>
      <c r="G20" s="10">
        <f>G18-G19</f>
        <v/>
      </c>
      <c r="H20" s="10">
        <f>H18-H19</f>
        <v/>
      </c>
      <c r="I20" s="10">
        <f>I18-I19</f>
        <v/>
      </c>
      <c r="J20" s="10">
        <f>J18-J19</f>
        <v/>
      </c>
      <c r="K20" s="10">
        <f>K18-K19</f>
        <v/>
      </c>
      <c r="L20" s="10">
        <f>L18-L19</f>
        <v/>
      </c>
      <c r="M20" s="10">
        <f>M18-M19</f>
        <v/>
      </c>
      <c r="N20" s="10">
        <f>N18-N19</f>
        <v/>
      </c>
      <c r="O20" s="10">
        <f>O18-O19</f>
        <v/>
      </c>
      <c r="P20" s="10">
        <f>P18-P19</f>
        <v/>
      </c>
      <c r="Q20" s="10">
        <f>Q18-Q19</f>
        <v/>
      </c>
      <c r="R20" s="10">
        <f>R18-R19</f>
        <v/>
      </c>
    </row>
  </sheetData>
  <dataValidations count="1">
    <dataValidation sqref="C6 C7 C8 C9" showDropDown="0" showInputMessage="0" showErrorMessage="0" allowBlank="0" type="list">
      <formula1>"SI,NO"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6" customWidth="1" min="18" max="18"/>
  </cols>
  <sheetData>
    <row r="1">
      <c r="A1" s="1" t="inlineStr">
        <is>
          <t>Hijo 2</t>
        </is>
      </c>
    </row>
    <row r="2">
      <c r="A2" s="2" t="inlineStr">
        <is>
          <t>Presupuesto y gasto real del año</t>
        </is>
      </c>
    </row>
    <row r="3">
      <c r="A3" t="inlineStr">
        <is>
          <t>Nombre</t>
        </is>
      </c>
      <c r="B3" s="6">
        <f>Parámetros!B7</f>
        <v/>
      </c>
    </row>
    <row r="5">
      <c r="A5" s="7" t="inlineStr">
        <is>
          <t>Gastos mensuales</t>
        </is>
      </c>
      <c r="B5" s="7" t="inlineStr">
        <is>
          <t>Monto base</t>
        </is>
      </c>
      <c r="C5" s="7" t="inlineStr">
        <is>
          <t>Ajusta IPC</t>
        </is>
      </c>
      <c r="D5" s="7" t="inlineStr">
        <is>
          <t>Desde (mes 1-12)</t>
        </is>
      </c>
      <c r="E5" s="7" t="inlineStr">
        <is>
          <t>Hasta (mes 1-12)</t>
        </is>
      </c>
      <c r="F5" s="7" t="inlineStr">
        <is>
          <t>Ene</t>
        </is>
      </c>
      <c r="G5" s="7" t="inlineStr">
        <is>
          <t>Feb</t>
        </is>
      </c>
      <c r="H5" s="7" t="inlineStr">
        <is>
          <t>Mar</t>
        </is>
      </c>
      <c r="I5" s="7" t="inlineStr">
        <is>
          <t>Abr</t>
        </is>
      </c>
      <c r="J5" s="7" t="inlineStr">
        <is>
          <t>May</t>
        </is>
      </c>
      <c r="K5" s="7" t="inlineStr">
        <is>
          <t>Jun</t>
        </is>
      </c>
      <c r="L5" s="7" t="inlineStr">
        <is>
          <t>Jul</t>
        </is>
      </c>
      <c r="M5" s="7" t="inlineStr">
        <is>
          <t>Ago</t>
        </is>
      </c>
      <c r="N5" s="7" t="inlineStr">
        <is>
          <t>Sep</t>
        </is>
      </c>
      <c r="O5" s="7" t="inlineStr">
        <is>
          <t>Oct</t>
        </is>
      </c>
      <c r="P5" s="7" t="inlineStr">
        <is>
          <t>Nov</t>
        </is>
      </c>
      <c r="Q5" s="7" t="inlineStr">
        <is>
          <t>Dic</t>
        </is>
      </c>
      <c r="R5" s="7" t="inlineStr">
        <is>
          <t>Total año</t>
        </is>
      </c>
    </row>
    <row r="6">
      <c r="A6" t="inlineStr">
        <is>
          <t>Cuota del colegio</t>
        </is>
      </c>
      <c r="B6" s="8" t="n">
        <v>0</v>
      </c>
      <c r="C6" s="5" t="inlineStr">
        <is>
          <t>SI</t>
        </is>
      </c>
      <c r="D6" s="9" t="n">
        <v>3</v>
      </c>
      <c r="E6" s="9" t="n">
        <v>12</v>
      </c>
      <c r="F6" s="10">
        <f>IF(AND(1&gt;=$D6,1&lt;=$E6),$B6*IF($C6="SI",(1+Parámetros!$B$4)^(1-$D6),1),0)</f>
        <v/>
      </c>
      <c r="G6" s="10">
        <f>IF(AND(2&gt;=$D6,2&lt;=$E6),$B6*IF($C6="SI",(1+Parámetros!$B$4)^(2-$D6),1),0)</f>
        <v/>
      </c>
      <c r="H6" s="10">
        <f>IF(AND(3&gt;=$D6,3&lt;=$E6),$B6*IF($C6="SI",(1+Parámetros!$B$4)^(3-$D6),1),0)</f>
        <v/>
      </c>
      <c r="I6" s="10">
        <f>IF(AND(4&gt;=$D6,4&lt;=$E6),$B6*IF($C6="SI",(1+Parámetros!$B$4)^(4-$D6),1),0)</f>
        <v/>
      </c>
      <c r="J6" s="10">
        <f>IF(AND(5&gt;=$D6,5&lt;=$E6),$B6*IF($C6="SI",(1+Parámetros!$B$4)^(5-$D6),1),0)</f>
        <v/>
      </c>
      <c r="K6" s="10">
        <f>IF(AND(6&gt;=$D6,6&lt;=$E6),$B6*IF($C6="SI",(1+Parámetros!$B$4)^(6-$D6),1),0)</f>
        <v/>
      </c>
      <c r="L6" s="10">
        <f>IF(AND(7&gt;=$D6,7&lt;=$E6),$B6*IF($C6="SI",(1+Parámetros!$B$4)^(7-$D6),1),0)</f>
        <v/>
      </c>
      <c r="M6" s="10">
        <f>IF(AND(8&gt;=$D6,8&lt;=$E6),$B6*IF($C6="SI",(1+Parámetros!$B$4)^(8-$D6),1),0)</f>
        <v/>
      </c>
      <c r="N6" s="10">
        <f>IF(AND(9&gt;=$D6,9&lt;=$E6),$B6*IF($C6="SI",(1+Parámetros!$B$4)^(9-$D6),1),0)</f>
        <v/>
      </c>
      <c r="O6" s="10">
        <f>IF(AND(10&gt;=$D6,10&lt;=$E6),$B6*IF($C6="SI",(1+Parámetros!$B$4)^(10-$D6),1),0)</f>
        <v/>
      </c>
      <c r="P6" s="10">
        <f>IF(AND(11&gt;=$D6,11&lt;=$E6),$B6*IF($C6="SI",(1+Parámetros!$B$4)^(11-$D6),1),0)</f>
        <v/>
      </c>
      <c r="Q6" s="10">
        <f>IF(AND(12&gt;=$D6,12&lt;=$E6),$B6*IF($C6="SI",(1+Parámetros!$B$4)^(12-$D6),1),0)</f>
        <v/>
      </c>
      <c r="R6" s="10">
        <f>SUM(F6:Q6)</f>
        <v/>
      </c>
    </row>
    <row r="7">
      <c r="A7" t="inlineStr">
        <is>
          <t>Transporte</t>
        </is>
      </c>
      <c r="B7" s="8" t="n">
        <v>0</v>
      </c>
      <c r="C7" s="5" t="inlineStr">
        <is>
          <t>SI</t>
        </is>
      </c>
      <c r="D7" s="9" t="n">
        <v>3</v>
      </c>
      <c r="E7" s="9" t="n">
        <v>12</v>
      </c>
      <c r="F7" s="10">
        <f>IF(AND(1&gt;=$D7,1&lt;=$E7),$B7*IF($C7="SI",(1+Parámetros!$B$4)^(1-$D7),1),0)</f>
        <v/>
      </c>
      <c r="G7" s="10">
        <f>IF(AND(2&gt;=$D7,2&lt;=$E7),$B7*IF($C7="SI",(1+Parámetros!$B$4)^(2-$D7),1),0)</f>
        <v/>
      </c>
      <c r="H7" s="10">
        <f>IF(AND(3&gt;=$D7,3&lt;=$E7),$B7*IF($C7="SI",(1+Parámetros!$B$4)^(3-$D7),1),0)</f>
        <v/>
      </c>
      <c r="I7" s="10">
        <f>IF(AND(4&gt;=$D7,4&lt;=$E7),$B7*IF($C7="SI",(1+Parámetros!$B$4)^(4-$D7),1),0)</f>
        <v/>
      </c>
      <c r="J7" s="10">
        <f>IF(AND(5&gt;=$D7,5&lt;=$E7),$B7*IF($C7="SI",(1+Parámetros!$B$4)^(5-$D7),1),0)</f>
        <v/>
      </c>
      <c r="K7" s="10">
        <f>IF(AND(6&gt;=$D7,6&lt;=$E7),$B7*IF($C7="SI",(1+Parámetros!$B$4)^(6-$D7),1),0)</f>
        <v/>
      </c>
      <c r="L7" s="10">
        <f>IF(AND(7&gt;=$D7,7&lt;=$E7),$B7*IF($C7="SI",(1+Parámetros!$B$4)^(7-$D7),1),0)</f>
        <v/>
      </c>
      <c r="M7" s="10">
        <f>IF(AND(8&gt;=$D7,8&lt;=$E7),$B7*IF($C7="SI",(1+Parámetros!$B$4)^(8-$D7),1),0)</f>
        <v/>
      </c>
      <c r="N7" s="10">
        <f>IF(AND(9&gt;=$D7,9&lt;=$E7),$B7*IF($C7="SI",(1+Parámetros!$B$4)^(9-$D7),1),0)</f>
        <v/>
      </c>
      <c r="O7" s="10">
        <f>IF(AND(10&gt;=$D7,10&lt;=$E7),$B7*IF($C7="SI",(1+Parámetros!$B$4)^(10-$D7),1),0)</f>
        <v/>
      </c>
      <c r="P7" s="10">
        <f>IF(AND(11&gt;=$D7,11&lt;=$E7),$B7*IF($C7="SI",(1+Parámetros!$B$4)^(11-$D7),1),0)</f>
        <v/>
      </c>
      <c r="Q7" s="10">
        <f>IF(AND(12&gt;=$D7,12&lt;=$E7),$B7*IF($C7="SI",(1+Parámetros!$B$4)^(12-$D7),1),0)</f>
        <v/>
      </c>
      <c r="R7" s="10">
        <f>SUM(F7:Q7)</f>
        <v/>
      </c>
    </row>
    <row r="8">
      <c r="A8" t="inlineStr">
        <is>
          <t>Comedor</t>
        </is>
      </c>
      <c r="B8" s="8" t="n">
        <v>0</v>
      </c>
      <c r="C8" s="5" t="inlineStr">
        <is>
          <t>NO</t>
        </is>
      </c>
      <c r="D8" s="9" t="n">
        <v>3</v>
      </c>
      <c r="E8" s="9" t="n">
        <v>12</v>
      </c>
      <c r="F8" s="10">
        <f>IF(AND(1&gt;=$D8,1&lt;=$E8),$B8*IF($C8="SI",(1+Parámetros!$B$4)^(1-$D8),1),0)</f>
        <v/>
      </c>
      <c r="G8" s="10">
        <f>IF(AND(2&gt;=$D8,2&lt;=$E8),$B8*IF($C8="SI",(1+Parámetros!$B$4)^(2-$D8),1),0)</f>
        <v/>
      </c>
      <c r="H8" s="10">
        <f>IF(AND(3&gt;=$D8,3&lt;=$E8),$B8*IF($C8="SI",(1+Parámetros!$B$4)^(3-$D8),1),0)</f>
        <v/>
      </c>
      <c r="I8" s="10">
        <f>IF(AND(4&gt;=$D8,4&lt;=$E8),$B8*IF($C8="SI",(1+Parámetros!$B$4)^(4-$D8),1),0)</f>
        <v/>
      </c>
      <c r="J8" s="10">
        <f>IF(AND(5&gt;=$D8,5&lt;=$E8),$B8*IF($C8="SI",(1+Parámetros!$B$4)^(5-$D8),1),0)</f>
        <v/>
      </c>
      <c r="K8" s="10">
        <f>IF(AND(6&gt;=$D8,6&lt;=$E8),$B8*IF($C8="SI",(1+Parámetros!$B$4)^(6-$D8),1),0)</f>
        <v/>
      </c>
      <c r="L8" s="10">
        <f>IF(AND(7&gt;=$D8,7&lt;=$E8),$B8*IF($C8="SI",(1+Parámetros!$B$4)^(7-$D8),1),0)</f>
        <v/>
      </c>
      <c r="M8" s="10">
        <f>IF(AND(8&gt;=$D8,8&lt;=$E8),$B8*IF($C8="SI",(1+Parámetros!$B$4)^(8-$D8),1),0)</f>
        <v/>
      </c>
      <c r="N8" s="10">
        <f>IF(AND(9&gt;=$D8,9&lt;=$E8),$B8*IF($C8="SI",(1+Parámetros!$B$4)^(9-$D8),1),0)</f>
        <v/>
      </c>
      <c r="O8" s="10">
        <f>IF(AND(10&gt;=$D8,10&lt;=$E8),$B8*IF($C8="SI",(1+Parámetros!$B$4)^(10-$D8),1),0)</f>
        <v/>
      </c>
      <c r="P8" s="10">
        <f>IF(AND(11&gt;=$D8,11&lt;=$E8),$B8*IF($C8="SI",(1+Parámetros!$B$4)^(11-$D8),1),0)</f>
        <v/>
      </c>
      <c r="Q8" s="10">
        <f>IF(AND(12&gt;=$D8,12&lt;=$E8),$B8*IF($C8="SI",(1+Parámetros!$B$4)^(12-$D8),1),0)</f>
        <v/>
      </c>
      <c r="R8" s="10">
        <f>SUM(F8:Q8)</f>
        <v/>
      </c>
    </row>
    <row r="9">
      <c r="A9" t="inlineStr">
        <is>
          <t>Actividades extra</t>
        </is>
      </c>
      <c r="B9" s="8" t="n">
        <v>0</v>
      </c>
      <c r="C9" s="5" t="inlineStr">
        <is>
          <t>NO</t>
        </is>
      </c>
      <c r="D9" s="9" t="n">
        <v>3</v>
      </c>
      <c r="E9" s="9" t="n">
        <v>11</v>
      </c>
      <c r="F9" s="10">
        <f>IF(AND(1&gt;=$D9,1&lt;=$E9),$B9*IF($C9="SI",(1+Parámetros!$B$4)^(1-$D9),1),0)</f>
        <v/>
      </c>
      <c r="G9" s="10">
        <f>IF(AND(2&gt;=$D9,2&lt;=$E9),$B9*IF($C9="SI",(1+Parámetros!$B$4)^(2-$D9),1),0)</f>
        <v/>
      </c>
      <c r="H9" s="10">
        <f>IF(AND(3&gt;=$D9,3&lt;=$E9),$B9*IF($C9="SI",(1+Parámetros!$B$4)^(3-$D9),1),0)</f>
        <v/>
      </c>
      <c r="I9" s="10">
        <f>IF(AND(4&gt;=$D9,4&lt;=$E9),$B9*IF($C9="SI",(1+Parámetros!$B$4)^(4-$D9),1),0)</f>
        <v/>
      </c>
      <c r="J9" s="10">
        <f>IF(AND(5&gt;=$D9,5&lt;=$E9),$B9*IF($C9="SI",(1+Parámetros!$B$4)^(5-$D9),1),0)</f>
        <v/>
      </c>
      <c r="K9" s="10">
        <f>IF(AND(6&gt;=$D9,6&lt;=$E9),$B9*IF($C9="SI",(1+Parámetros!$B$4)^(6-$D9),1),0)</f>
        <v/>
      </c>
      <c r="L9" s="10">
        <f>IF(AND(7&gt;=$D9,7&lt;=$E9),$B9*IF($C9="SI",(1+Parámetros!$B$4)^(7-$D9),1),0)</f>
        <v/>
      </c>
      <c r="M9" s="10">
        <f>IF(AND(8&gt;=$D9,8&lt;=$E9),$B9*IF($C9="SI",(1+Parámetros!$B$4)^(8-$D9),1),0)</f>
        <v/>
      </c>
      <c r="N9" s="10">
        <f>IF(AND(9&gt;=$D9,9&lt;=$E9),$B9*IF($C9="SI",(1+Parámetros!$B$4)^(9-$D9),1),0)</f>
        <v/>
      </c>
      <c r="O9" s="10">
        <f>IF(AND(10&gt;=$D9,10&lt;=$E9),$B9*IF($C9="SI",(1+Parámetros!$B$4)^(10-$D9),1),0)</f>
        <v/>
      </c>
      <c r="P9" s="10">
        <f>IF(AND(11&gt;=$D9,11&lt;=$E9),$B9*IF($C9="SI",(1+Parámetros!$B$4)^(11-$D9),1),0)</f>
        <v/>
      </c>
      <c r="Q9" s="10">
        <f>IF(AND(12&gt;=$D9,12&lt;=$E9),$B9*IF($C9="SI",(1+Parámetros!$B$4)^(12-$D9),1),0)</f>
        <v/>
      </c>
      <c r="R9" s="10">
        <f>SUM(F9:Q9)</f>
        <v/>
      </c>
    </row>
    <row r="11">
      <c r="A11" s="7" t="inlineStr">
        <is>
          <t>Gastos únicos (cargalos en su mes)</t>
        </is>
      </c>
      <c r="B11" s="7" t="inlineStr"/>
      <c r="C11" s="7" t="inlineStr"/>
      <c r="D11" s="7" t="inlineStr"/>
      <c r="E11" s="7" t="inlineStr"/>
      <c r="F11" s="7" t="inlineStr">
        <is>
          <t>Ene</t>
        </is>
      </c>
      <c r="G11" s="7" t="inlineStr">
        <is>
          <t>Feb</t>
        </is>
      </c>
      <c r="H11" s="7" t="inlineStr">
        <is>
          <t>Mar</t>
        </is>
      </c>
      <c r="I11" s="7" t="inlineStr">
        <is>
          <t>Abr</t>
        </is>
      </c>
      <c r="J11" s="7" t="inlineStr">
        <is>
          <t>May</t>
        </is>
      </c>
      <c r="K11" s="7" t="inlineStr">
        <is>
          <t>Jun</t>
        </is>
      </c>
      <c r="L11" s="7" t="inlineStr">
        <is>
          <t>Jul</t>
        </is>
      </c>
      <c r="M11" s="7" t="inlineStr">
        <is>
          <t>Ago</t>
        </is>
      </c>
      <c r="N11" s="7" t="inlineStr">
        <is>
          <t>Sep</t>
        </is>
      </c>
      <c r="O11" s="7" t="inlineStr">
        <is>
          <t>Oct</t>
        </is>
      </c>
      <c r="P11" s="7" t="inlineStr">
        <is>
          <t>Nov</t>
        </is>
      </c>
      <c r="Q11" s="7" t="inlineStr">
        <is>
          <t>Dic</t>
        </is>
      </c>
      <c r="R11" s="7" t="inlineStr">
        <is>
          <t>Total año</t>
        </is>
      </c>
    </row>
    <row r="12">
      <c r="A12" t="inlineStr">
        <is>
          <t>Útiles y mochila</t>
        </is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10">
        <f>SUM(F12:Q12)</f>
        <v/>
      </c>
    </row>
    <row r="13">
      <c r="A13" t="inlineStr">
        <is>
          <t>Uniforme y ropa</t>
        </is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10">
        <f>SUM(F13:Q13)</f>
        <v/>
      </c>
    </row>
    <row r="14">
      <c r="A14" t="inlineStr">
        <is>
          <t>Calzado</t>
        </is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10">
        <f>SUM(F14:Q14)</f>
        <v/>
      </c>
    </row>
    <row r="15">
      <c r="A15" t="inlineStr">
        <is>
          <t>Libros</t>
        </is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10">
        <f>SUM(F15:Q15)</f>
        <v/>
      </c>
    </row>
    <row r="16">
      <c r="A16" t="inlineStr">
        <is>
          <t>Otros</t>
        </is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10">
        <f>SUM(F16:Q16)</f>
        <v/>
      </c>
    </row>
    <row r="18">
      <c r="A18" s="6" t="inlineStr">
        <is>
          <t>TOTAL PRESUPUESTADO</t>
        </is>
      </c>
      <c r="F18" s="10">
        <f>SUM(F6:F9)+SUM(F12:F16)</f>
        <v/>
      </c>
      <c r="G18" s="10">
        <f>SUM(G6:G9)+SUM(G12:G16)</f>
        <v/>
      </c>
      <c r="H18" s="10">
        <f>SUM(H6:H9)+SUM(H12:H16)</f>
        <v/>
      </c>
      <c r="I18" s="10">
        <f>SUM(I6:I9)+SUM(I12:I16)</f>
        <v/>
      </c>
      <c r="J18" s="10">
        <f>SUM(J6:J9)+SUM(J12:J16)</f>
        <v/>
      </c>
      <c r="K18" s="10">
        <f>SUM(K6:K9)+SUM(K12:K16)</f>
        <v/>
      </c>
      <c r="L18" s="10">
        <f>SUM(L6:L9)+SUM(L12:L16)</f>
        <v/>
      </c>
      <c r="M18" s="10">
        <f>SUM(M6:M9)+SUM(M12:M16)</f>
        <v/>
      </c>
      <c r="N18" s="10">
        <f>SUM(N6:N9)+SUM(N12:N16)</f>
        <v/>
      </c>
      <c r="O18" s="10">
        <f>SUM(O6:O9)+SUM(O12:O16)</f>
        <v/>
      </c>
      <c r="P18" s="10">
        <f>SUM(P6:P9)+SUM(P12:P16)</f>
        <v/>
      </c>
      <c r="Q18" s="10">
        <f>SUM(Q6:Q9)+SUM(Q12:Q16)</f>
        <v/>
      </c>
      <c r="R18" s="10">
        <f>SUM(R6:R9)+SUM(R12:R16)</f>
        <v/>
      </c>
    </row>
    <row r="19">
      <c r="A19" s="6" t="inlineStr">
        <is>
          <t>Gastado real</t>
        </is>
      </c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10">
        <f>SUM(F19:Q19)</f>
        <v/>
      </c>
    </row>
    <row r="20">
      <c r="A20" s="6" t="inlineStr">
        <is>
          <t>Diferencia (presupuesto - real)</t>
        </is>
      </c>
      <c r="F20" s="10">
        <f>F18-F19</f>
        <v/>
      </c>
      <c r="G20" s="10">
        <f>G18-G19</f>
        <v/>
      </c>
      <c r="H20" s="10">
        <f>H18-H19</f>
        <v/>
      </c>
      <c r="I20" s="10">
        <f>I18-I19</f>
        <v/>
      </c>
      <c r="J20" s="10">
        <f>J18-J19</f>
        <v/>
      </c>
      <c r="K20" s="10">
        <f>K18-K19</f>
        <v/>
      </c>
      <c r="L20" s="10">
        <f>L18-L19</f>
        <v/>
      </c>
      <c r="M20" s="10">
        <f>M18-M19</f>
        <v/>
      </c>
      <c r="N20" s="10">
        <f>N18-N19</f>
        <v/>
      </c>
      <c r="O20" s="10">
        <f>O18-O19</f>
        <v/>
      </c>
      <c r="P20" s="10">
        <f>P18-P19</f>
        <v/>
      </c>
      <c r="Q20" s="10">
        <f>Q18-Q19</f>
        <v/>
      </c>
      <c r="R20" s="10">
        <f>R18-R19</f>
        <v/>
      </c>
    </row>
  </sheetData>
  <dataValidations count="1">
    <dataValidation sqref="C6 C7 C8 C9" showDropDown="0" showInputMessage="0" showErrorMessage="0" allowBlank="0" type="list">
      <formula1>"SI,NO"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6" customWidth="1" min="18" max="18"/>
  </cols>
  <sheetData>
    <row r="1">
      <c r="A1" s="1" t="inlineStr">
        <is>
          <t>Hijo 3</t>
        </is>
      </c>
    </row>
    <row r="2">
      <c r="A2" s="2" t="inlineStr">
        <is>
          <t>Presupuesto y gasto real del año</t>
        </is>
      </c>
    </row>
    <row r="3">
      <c r="A3" t="inlineStr">
        <is>
          <t>Nombre</t>
        </is>
      </c>
      <c r="B3" s="6">
        <f>Parámetros!B8</f>
        <v/>
      </c>
    </row>
    <row r="5">
      <c r="A5" s="7" t="inlineStr">
        <is>
          <t>Gastos mensuales</t>
        </is>
      </c>
      <c r="B5" s="7" t="inlineStr">
        <is>
          <t>Monto base</t>
        </is>
      </c>
      <c r="C5" s="7" t="inlineStr">
        <is>
          <t>Ajusta IPC</t>
        </is>
      </c>
      <c r="D5" s="7" t="inlineStr">
        <is>
          <t>Desde (mes 1-12)</t>
        </is>
      </c>
      <c r="E5" s="7" t="inlineStr">
        <is>
          <t>Hasta (mes 1-12)</t>
        </is>
      </c>
      <c r="F5" s="7" t="inlineStr">
        <is>
          <t>Ene</t>
        </is>
      </c>
      <c r="G5" s="7" t="inlineStr">
        <is>
          <t>Feb</t>
        </is>
      </c>
      <c r="H5" s="7" t="inlineStr">
        <is>
          <t>Mar</t>
        </is>
      </c>
      <c r="I5" s="7" t="inlineStr">
        <is>
          <t>Abr</t>
        </is>
      </c>
      <c r="J5" s="7" t="inlineStr">
        <is>
          <t>May</t>
        </is>
      </c>
      <c r="K5" s="7" t="inlineStr">
        <is>
          <t>Jun</t>
        </is>
      </c>
      <c r="L5" s="7" t="inlineStr">
        <is>
          <t>Jul</t>
        </is>
      </c>
      <c r="M5" s="7" t="inlineStr">
        <is>
          <t>Ago</t>
        </is>
      </c>
      <c r="N5" s="7" t="inlineStr">
        <is>
          <t>Sep</t>
        </is>
      </c>
      <c r="O5" s="7" t="inlineStr">
        <is>
          <t>Oct</t>
        </is>
      </c>
      <c r="P5" s="7" t="inlineStr">
        <is>
          <t>Nov</t>
        </is>
      </c>
      <c r="Q5" s="7" t="inlineStr">
        <is>
          <t>Dic</t>
        </is>
      </c>
      <c r="R5" s="7" t="inlineStr">
        <is>
          <t>Total año</t>
        </is>
      </c>
    </row>
    <row r="6">
      <c r="A6" t="inlineStr">
        <is>
          <t>Cuota del colegio</t>
        </is>
      </c>
      <c r="B6" s="8" t="n">
        <v>0</v>
      </c>
      <c r="C6" s="5" t="inlineStr">
        <is>
          <t>SI</t>
        </is>
      </c>
      <c r="D6" s="9" t="n">
        <v>3</v>
      </c>
      <c r="E6" s="9" t="n">
        <v>12</v>
      </c>
      <c r="F6" s="10">
        <f>IF(AND(1&gt;=$D6,1&lt;=$E6),$B6*IF($C6="SI",(1+Parámetros!$B$4)^(1-$D6),1),0)</f>
        <v/>
      </c>
      <c r="G6" s="10">
        <f>IF(AND(2&gt;=$D6,2&lt;=$E6),$B6*IF($C6="SI",(1+Parámetros!$B$4)^(2-$D6),1),0)</f>
        <v/>
      </c>
      <c r="H6" s="10">
        <f>IF(AND(3&gt;=$D6,3&lt;=$E6),$B6*IF($C6="SI",(1+Parámetros!$B$4)^(3-$D6),1),0)</f>
        <v/>
      </c>
      <c r="I6" s="10">
        <f>IF(AND(4&gt;=$D6,4&lt;=$E6),$B6*IF($C6="SI",(1+Parámetros!$B$4)^(4-$D6),1),0)</f>
        <v/>
      </c>
      <c r="J6" s="10">
        <f>IF(AND(5&gt;=$D6,5&lt;=$E6),$B6*IF($C6="SI",(1+Parámetros!$B$4)^(5-$D6),1),0)</f>
        <v/>
      </c>
      <c r="K6" s="10">
        <f>IF(AND(6&gt;=$D6,6&lt;=$E6),$B6*IF($C6="SI",(1+Parámetros!$B$4)^(6-$D6),1),0)</f>
        <v/>
      </c>
      <c r="L6" s="10">
        <f>IF(AND(7&gt;=$D6,7&lt;=$E6),$B6*IF($C6="SI",(1+Parámetros!$B$4)^(7-$D6),1),0)</f>
        <v/>
      </c>
      <c r="M6" s="10">
        <f>IF(AND(8&gt;=$D6,8&lt;=$E6),$B6*IF($C6="SI",(1+Parámetros!$B$4)^(8-$D6),1),0)</f>
        <v/>
      </c>
      <c r="N6" s="10">
        <f>IF(AND(9&gt;=$D6,9&lt;=$E6),$B6*IF($C6="SI",(1+Parámetros!$B$4)^(9-$D6),1),0)</f>
        <v/>
      </c>
      <c r="O6" s="10">
        <f>IF(AND(10&gt;=$D6,10&lt;=$E6),$B6*IF($C6="SI",(1+Parámetros!$B$4)^(10-$D6),1),0)</f>
        <v/>
      </c>
      <c r="P6" s="10">
        <f>IF(AND(11&gt;=$D6,11&lt;=$E6),$B6*IF($C6="SI",(1+Parámetros!$B$4)^(11-$D6),1),0)</f>
        <v/>
      </c>
      <c r="Q6" s="10">
        <f>IF(AND(12&gt;=$D6,12&lt;=$E6),$B6*IF($C6="SI",(1+Parámetros!$B$4)^(12-$D6),1),0)</f>
        <v/>
      </c>
      <c r="R6" s="10">
        <f>SUM(F6:Q6)</f>
        <v/>
      </c>
    </row>
    <row r="7">
      <c r="A7" t="inlineStr">
        <is>
          <t>Transporte</t>
        </is>
      </c>
      <c r="B7" s="8" t="n">
        <v>0</v>
      </c>
      <c r="C7" s="5" t="inlineStr">
        <is>
          <t>SI</t>
        </is>
      </c>
      <c r="D7" s="9" t="n">
        <v>3</v>
      </c>
      <c r="E7" s="9" t="n">
        <v>12</v>
      </c>
      <c r="F7" s="10">
        <f>IF(AND(1&gt;=$D7,1&lt;=$E7),$B7*IF($C7="SI",(1+Parámetros!$B$4)^(1-$D7),1),0)</f>
        <v/>
      </c>
      <c r="G7" s="10">
        <f>IF(AND(2&gt;=$D7,2&lt;=$E7),$B7*IF($C7="SI",(1+Parámetros!$B$4)^(2-$D7),1),0)</f>
        <v/>
      </c>
      <c r="H7" s="10">
        <f>IF(AND(3&gt;=$D7,3&lt;=$E7),$B7*IF($C7="SI",(1+Parámetros!$B$4)^(3-$D7),1),0)</f>
        <v/>
      </c>
      <c r="I7" s="10">
        <f>IF(AND(4&gt;=$D7,4&lt;=$E7),$B7*IF($C7="SI",(1+Parámetros!$B$4)^(4-$D7),1),0)</f>
        <v/>
      </c>
      <c r="J7" s="10">
        <f>IF(AND(5&gt;=$D7,5&lt;=$E7),$B7*IF($C7="SI",(1+Parámetros!$B$4)^(5-$D7),1),0)</f>
        <v/>
      </c>
      <c r="K7" s="10">
        <f>IF(AND(6&gt;=$D7,6&lt;=$E7),$B7*IF($C7="SI",(1+Parámetros!$B$4)^(6-$D7),1),0)</f>
        <v/>
      </c>
      <c r="L7" s="10">
        <f>IF(AND(7&gt;=$D7,7&lt;=$E7),$B7*IF($C7="SI",(1+Parámetros!$B$4)^(7-$D7),1),0)</f>
        <v/>
      </c>
      <c r="M7" s="10">
        <f>IF(AND(8&gt;=$D7,8&lt;=$E7),$B7*IF($C7="SI",(1+Parámetros!$B$4)^(8-$D7),1),0)</f>
        <v/>
      </c>
      <c r="N7" s="10">
        <f>IF(AND(9&gt;=$D7,9&lt;=$E7),$B7*IF($C7="SI",(1+Parámetros!$B$4)^(9-$D7),1),0)</f>
        <v/>
      </c>
      <c r="O7" s="10">
        <f>IF(AND(10&gt;=$D7,10&lt;=$E7),$B7*IF($C7="SI",(1+Parámetros!$B$4)^(10-$D7),1),0)</f>
        <v/>
      </c>
      <c r="P7" s="10">
        <f>IF(AND(11&gt;=$D7,11&lt;=$E7),$B7*IF($C7="SI",(1+Parámetros!$B$4)^(11-$D7),1),0)</f>
        <v/>
      </c>
      <c r="Q7" s="10">
        <f>IF(AND(12&gt;=$D7,12&lt;=$E7),$B7*IF($C7="SI",(1+Parámetros!$B$4)^(12-$D7),1),0)</f>
        <v/>
      </c>
      <c r="R7" s="10">
        <f>SUM(F7:Q7)</f>
        <v/>
      </c>
    </row>
    <row r="8">
      <c r="A8" t="inlineStr">
        <is>
          <t>Comedor</t>
        </is>
      </c>
      <c r="B8" s="8" t="n">
        <v>0</v>
      </c>
      <c r="C8" s="5" t="inlineStr">
        <is>
          <t>NO</t>
        </is>
      </c>
      <c r="D8" s="9" t="n">
        <v>3</v>
      </c>
      <c r="E8" s="9" t="n">
        <v>12</v>
      </c>
      <c r="F8" s="10">
        <f>IF(AND(1&gt;=$D8,1&lt;=$E8),$B8*IF($C8="SI",(1+Parámetros!$B$4)^(1-$D8),1),0)</f>
        <v/>
      </c>
      <c r="G8" s="10">
        <f>IF(AND(2&gt;=$D8,2&lt;=$E8),$B8*IF($C8="SI",(1+Parámetros!$B$4)^(2-$D8),1),0)</f>
        <v/>
      </c>
      <c r="H8" s="10">
        <f>IF(AND(3&gt;=$D8,3&lt;=$E8),$B8*IF($C8="SI",(1+Parámetros!$B$4)^(3-$D8),1),0)</f>
        <v/>
      </c>
      <c r="I8" s="10">
        <f>IF(AND(4&gt;=$D8,4&lt;=$E8),$B8*IF($C8="SI",(1+Parámetros!$B$4)^(4-$D8),1),0)</f>
        <v/>
      </c>
      <c r="J8" s="10">
        <f>IF(AND(5&gt;=$D8,5&lt;=$E8),$B8*IF($C8="SI",(1+Parámetros!$B$4)^(5-$D8),1),0)</f>
        <v/>
      </c>
      <c r="K8" s="10">
        <f>IF(AND(6&gt;=$D8,6&lt;=$E8),$B8*IF($C8="SI",(1+Parámetros!$B$4)^(6-$D8),1),0)</f>
        <v/>
      </c>
      <c r="L8" s="10">
        <f>IF(AND(7&gt;=$D8,7&lt;=$E8),$B8*IF($C8="SI",(1+Parámetros!$B$4)^(7-$D8),1),0)</f>
        <v/>
      </c>
      <c r="M8" s="10">
        <f>IF(AND(8&gt;=$D8,8&lt;=$E8),$B8*IF($C8="SI",(1+Parámetros!$B$4)^(8-$D8),1),0)</f>
        <v/>
      </c>
      <c r="N8" s="10">
        <f>IF(AND(9&gt;=$D8,9&lt;=$E8),$B8*IF($C8="SI",(1+Parámetros!$B$4)^(9-$D8),1),0)</f>
        <v/>
      </c>
      <c r="O8" s="10">
        <f>IF(AND(10&gt;=$D8,10&lt;=$E8),$B8*IF($C8="SI",(1+Parámetros!$B$4)^(10-$D8),1),0)</f>
        <v/>
      </c>
      <c r="P8" s="10">
        <f>IF(AND(11&gt;=$D8,11&lt;=$E8),$B8*IF($C8="SI",(1+Parámetros!$B$4)^(11-$D8),1),0)</f>
        <v/>
      </c>
      <c r="Q8" s="10">
        <f>IF(AND(12&gt;=$D8,12&lt;=$E8),$B8*IF($C8="SI",(1+Parámetros!$B$4)^(12-$D8),1),0)</f>
        <v/>
      </c>
      <c r="R8" s="10">
        <f>SUM(F8:Q8)</f>
        <v/>
      </c>
    </row>
    <row r="9">
      <c r="A9" t="inlineStr">
        <is>
          <t>Actividades extra</t>
        </is>
      </c>
      <c r="B9" s="8" t="n">
        <v>0</v>
      </c>
      <c r="C9" s="5" t="inlineStr">
        <is>
          <t>NO</t>
        </is>
      </c>
      <c r="D9" s="9" t="n">
        <v>3</v>
      </c>
      <c r="E9" s="9" t="n">
        <v>11</v>
      </c>
      <c r="F9" s="10">
        <f>IF(AND(1&gt;=$D9,1&lt;=$E9),$B9*IF($C9="SI",(1+Parámetros!$B$4)^(1-$D9),1),0)</f>
        <v/>
      </c>
      <c r="G9" s="10">
        <f>IF(AND(2&gt;=$D9,2&lt;=$E9),$B9*IF($C9="SI",(1+Parámetros!$B$4)^(2-$D9),1),0)</f>
        <v/>
      </c>
      <c r="H9" s="10">
        <f>IF(AND(3&gt;=$D9,3&lt;=$E9),$B9*IF($C9="SI",(1+Parámetros!$B$4)^(3-$D9),1),0)</f>
        <v/>
      </c>
      <c r="I9" s="10">
        <f>IF(AND(4&gt;=$D9,4&lt;=$E9),$B9*IF($C9="SI",(1+Parámetros!$B$4)^(4-$D9),1),0)</f>
        <v/>
      </c>
      <c r="J9" s="10">
        <f>IF(AND(5&gt;=$D9,5&lt;=$E9),$B9*IF($C9="SI",(1+Parámetros!$B$4)^(5-$D9),1),0)</f>
        <v/>
      </c>
      <c r="K9" s="10">
        <f>IF(AND(6&gt;=$D9,6&lt;=$E9),$B9*IF($C9="SI",(1+Parámetros!$B$4)^(6-$D9),1),0)</f>
        <v/>
      </c>
      <c r="L9" s="10">
        <f>IF(AND(7&gt;=$D9,7&lt;=$E9),$B9*IF($C9="SI",(1+Parámetros!$B$4)^(7-$D9),1),0)</f>
        <v/>
      </c>
      <c r="M9" s="10">
        <f>IF(AND(8&gt;=$D9,8&lt;=$E9),$B9*IF($C9="SI",(1+Parámetros!$B$4)^(8-$D9),1),0)</f>
        <v/>
      </c>
      <c r="N9" s="10">
        <f>IF(AND(9&gt;=$D9,9&lt;=$E9),$B9*IF($C9="SI",(1+Parámetros!$B$4)^(9-$D9),1),0)</f>
        <v/>
      </c>
      <c r="O9" s="10">
        <f>IF(AND(10&gt;=$D9,10&lt;=$E9),$B9*IF($C9="SI",(1+Parámetros!$B$4)^(10-$D9),1),0)</f>
        <v/>
      </c>
      <c r="P9" s="10">
        <f>IF(AND(11&gt;=$D9,11&lt;=$E9),$B9*IF($C9="SI",(1+Parámetros!$B$4)^(11-$D9),1),0)</f>
        <v/>
      </c>
      <c r="Q9" s="10">
        <f>IF(AND(12&gt;=$D9,12&lt;=$E9),$B9*IF($C9="SI",(1+Parámetros!$B$4)^(12-$D9),1),0)</f>
        <v/>
      </c>
      <c r="R9" s="10">
        <f>SUM(F9:Q9)</f>
        <v/>
      </c>
    </row>
    <row r="11">
      <c r="A11" s="7" t="inlineStr">
        <is>
          <t>Gastos únicos (cargalos en su mes)</t>
        </is>
      </c>
      <c r="B11" s="7" t="inlineStr"/>
      <c r="C11" s="7" t="inlineStr"/>
      <c r="D11" s="7" t="inlineStr"/>
      <c r="E11" s="7" t="inlineStr"/>
      <c r="F11" s="7" t="inlineStr">
        <is>
          <t>Ene</t>
        </is>
      </c>
      <c r="G11" s="7" t="inlineStr">
        <is>
          <t>Feb</t>
        </is>
      </c>
      <c r="H11" s="7" t="inlineStr">
        <is>
          <t>Mar</t>
        </is>
      </c>
      <c r="I11" s="7" t="inlineStr">
        <is>
          <t>Abr</t>
        </is>
      </c>
      <c r="J11" s="7" t="inlineStr">
        <is>
          <t>May</t>
        </is>
      </c>
      <c r="K11" s="7" t="inlineStr">
        <is>
          <t>Jun</t>
        </is>
      </c>
      <c r="L11" s="7" t="inlineStr">
        <is>
          <t>Jul</t>
        </is>
      </c>
      <c r="M11" s="7" t="inlineStr">
        <is>
          <t>Ago</t>
        </is>
      </c>
      <c r="N11" s="7" t="inlineStr">
        <is>
          <t>Sep</t>
        </is>
      </c>
      <c r="O11" s="7" t="inlineStr">
        <is>
          <t>Oct</t>
        </is>
      </c>
      <c r="P11" s="7" t="inlineStr">
        <is>
          <t>Nov</t>
        </is>
      </c>
      <c r="Q11" s="7" t="inlineStr">
        <is>
          <t>Dic</t>
        </is>
      </c>
      <c r="R11" s="7" t="inlineStr">
        <is>
          <t>Total año</t>
        </is>
      </c>
    </row>
    <row r="12">
      <c r="A12" t="inlineStr">
        <is>
          <t>Útiles y mochila</t>
        </is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10">
        <f>SUM(F12:Q12)</f>
        <v/>
      </c>
    </row>
    <row r="13">
      <c r="A13" t="inlineStr">
        <is>
          <t>Uniforme y ropa</t>
        </is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10">
        <f>SUM(F13:Q13)</f>
        <v/>
      </c>
    </row>
    <row r="14">
      <c r="A14" t="inlineStr">
        <is>
          <t>Calzado</t>
        </is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10">
        <f>SUM(F14:Q14)</f>
        <v/>
      </c>
    </row>
    <row r="15">
      <c r="A15" t="inlineStr">
        <is>
          <t>Libros</t>
        </is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10">
        <f>SUM(F15:Q15)</f>
        <v/>
      </c>
    </row>
    <row r="16">
      <c r="A16" t="inlineStr">
        <is>
          <t>Otros</t>
        </is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10">
        <f>SUM(F16:Q16)</f>
        <v/>
      </c>
    </row>
    <row r="18">
      <c r="A18" s="6" t="inlineStr">
        <is>
          <t>TOTAL PRESUPUESTADO</t>
        </is>
      </c>
      <c r="F18" s="10">
        <f>SUM(F6:F9)+SUM(F12:F16)</f>
        <v/>
      </c>
      <c r="G18" s="10">
        <f>SUM(G6:G9)+SUM(G12:G16)</f>
        <v/>
      </c>
      <c r="H18" s="10">
        <f>SUM(H6:H9)+SUM(H12:H16)</f>
        <v/>
      </c>
      <c r="I18" s="10">
        <f>SUM(I6:I9)+SUM(I12:I16)</f>
        <v/>
      </c>
      <c r="J18" s="10">
        <f>SUM(J6:J9)+SUM(J12:J16)</f>
        <v/>
      </c>
      <c r="K18" s="10">
        <f>SUM(K6:K9)+SUM(K12:K16)</f>
        <v/>
      </c>
      <c r="L18" s="10">
        <f>SUM(L6:L9)+SUM(L12:L16)</f>
        <v/>
      </c>
      <c r="M18" s="10">
        <f>SUM(M6:M9)+SUM(M12:M16)</f>
        <v/>
      </c>
      <c r="N18" s="10">
        <f>SUM(N6:N9)+SUM(N12:N16)</f>
        <v/>
      </c>
      <c r="O18" s="10">
        <f>SUM(O6:O9)+SUM(O12:O16)</f>
        <v/>
      </c>
      <c r="P18" s="10">
        <f>SUM(P6:P9)+SUM(P12:P16)</f>
        <v/>
      </c>
      <c r="Q18" s="10">
        <f>SUM(Q6:Q9)+SUM(Q12:Q16)</f>
        <v/>
      </c>
      <c r="R18" s="10">
        <f>SUM(R6:R9)+SUM(R12:R16)</f>
        <v/>
      </c>
    </row>
    <row r="19">
      <c r="A19" s="6" t="inlineStr">
        <is>
          <t>Gastado real</t>
        </is>
      </c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10">
        <f>SUM(F19:Q19)</f>
        <v/>
      </c>
    </row>
    <row r="20">
      <c r="A20" s="6" t="inlineStr">
        <is>
          <t>Diferencia (presupuesto - real)</t>
        </is>
      </c>
      <c r="F20" s="10">
        <f>F18-F19</f>
        <v/>
      </c>
      <c r="G20" s="10">
        <f>G18-G19</f>
        <v/>
      </c>
      <c r="H20" s="10">
        <f>H18-H19</f>
        <v/>
      </c>
      <c r="I20" s="10">
        <f>I18-I19</f>
        <v/>
      </c>
      <c r="J20" s="10">
        <f>J18-J19</f>
        <v/>
      </c>
      <c r="K20" s="10">
        <f>K18-K19</f>
        <v/>
      </c>
      <c r="L20" s="10">
        <f>L18-L19</f>
        <v/>
      </c>
      <c r="M20" s="10">
        <f>M18-M19</f>
        <v/>
      </c>
      <c r="N20" s="10">
        <f>N18-N19</f>
        <v/>
      </c>
      <c r="O20" s="10">
        <f>O18-O19</f>
        <v/>
      </c>
      <c r="P20" s="10">
        <f>P18-P19</f>
        <v/>
      </c>
      <c r="Q20" s="10">
        <f>Q18-Q19</f>
        <v/>
      </c>
      <c r="R20" s="10">
        <f>R18-R19</f>
        <v/>
      </c>
    </row>
  </sheetData>
  <dataValidations count="1">
    <dataValidation sqref="C6 C7 C8 C9" showDropDown="0" showInputMessage="0" showErrorMessage="0" allowBlank="0" type="list">
      <formula1>"SI,NO"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6" customWidth="1" min="14" max="14"/>
  </cols>
  <sheetData>
    <row r="1">
      <c r="A1" s="1" t="inlineStr">
        <is>
          <t>Resumen familiar</t>
        </is>
      </c>
    </row>
    <row r="2">
      <c r="A2" s="2" t="inlineStr">
        <is>
          <t>Suma de los tres hijos</t>
        </is>
      </c>
    </row>
    <row r="4">
      <c r="A4" s="7" t="inlineStr">
        <is>
          <t>Concepto</t>
        </is>
      </c>
      <c r="B4" s="7" t="inlineStr">
        <is>
          <t>Ene</t>
        </is>
      </c>
      <c r="C4" s="7" t="inlineStr">
        <is>
          <t>Feb</t>
        </is>
      </c>
      <c r="D4" s="7" t="inlineStr">
        <is>
          <t>Mar</t>
        </is>
      </c>
      <c r="E4" s="7" t="inlineStr">
        <is>
          <t>Abr</t>
        </is>
      </c>
      <c r="F4" s="7" t="inlineStr">
        <is>
          <t>May</t>
        </is>
      </c>
      <c r="G4" s="7" t="inlineStr">
        <is>
          <t>Jun</t>
        </is>
      </c>
      <c r="H4" s="7" t="inlineStr">
        <is>
          <t>Jul</t>
        </is>
      </c>
      <c r="I4" s="7" t="inlineStr">
        <is>
          <t>Ago</t>
        </is>
      </c>
      <c r="J4" s="7" t="inlineStr">
        <is>
          <t>Sep</t>
        </is>
      </c>
      <c r="K4" s="7" t="inlineStr">
        <is>
          <t>Oct</t>
        </is>
      </c>
      <c r="L4" s="7" t="inlineStr">
        <is>
          <t>Nov</t>
        </is>
      </c>
      <c r="M4" s="7" t="inlineStr">
        <is>
          <t>Dic</t>
        </is>
      </c>
      <c r="N4" s="7" t="inlineStr">
        <is>
          <t>Total año</t>
        </is>
      </c>
    </row>
    <row r="5">
      <c r="A5" s="6" t="inlineStr">
        <is>
          <t>Presupuestado</t>
        </is>
      </c>
      <c r="B5" s="10">
        <f>'Hijo 1'!F18+'Hijo 2'!F18+'Hijo 3'!F18</f>
        <v/>
      </c>
      <c r="C5" s="10">
        <f>'Hijo 1'!G18+'Hijo 2'!G18+'Hijo 3'!G18</f>
        <v/>
      </c>
      <c r="D5" s="10">
        <f>'Hijo 1'!H18+'Hijo 2'!H18+'Hijo 3'!H18</f>
        <v/>
      </c>
      <c r="E5" s="10">
        <f>'Hijo 1'!I18+'Hijo 2'!I18+'Hijo 3'!I18</f>
        <v/>
      </c>
      <c r="F5" s="10">
        <f>'Hijo 1'!J18+'Hijo 2'!J18+'Hijo 3'!J18</f>
        <v/>
      </c>
      <c r="G5" s="10">
        <f>'Hijo 1'!K18+'Hijo 2'!K18+'Hijo 3'!K18</f>
        <v/>
      </c>
      <c r="H5" s="10">
        <f>'Hijo 1'!L18+'Hijo 2'!L18+'Hijo 3'!L18</f>
        <v/>
      </c>
      <c r="I5" s="10">
        <f>'Hijo 1'!M18+'Hijo 2'!M18+'Hijo 3'!M18</f>
        <v/>
      </c>
      <c r="J5" s="10">
        <f>'Hijo 1'!N18+'Hijo 2'!N18+'Hijo 3'!N18</f>
        <v/>
      </c>
      <c r="K5" s="10">
        <f>'Hijo 1'!O18+'Hijo 2'!O18+'Hijo 3'!O18</f>
        <v/>
      </c>
      <c r="L5" s="10">
        <f>'Hijo 1'!P18+'Hijo 2'!P18+'Hijo 3'!P18</f>
        <v/>
      </c>
      <c r="M5" s="10">
        <f>'Hijo 1'!Q18+'Hijo 2'!Q18+'Hijo 3'!Q18</f>
        <v/>
      </c>
      <c r="N5" s="10">
        <f>'Hijo 1'!R18+'Hijo 2'!R18+'Hijo 3'!R18</f>
        <v/>
      </c>
    </row>
    <row r="6">
      <c r="A6" s="6" t="inlineStr">
        <is>
          <t>Gastado real</t>
        </is>
      </c>
      <c r="B6" s="10">
        <f>'Hijo 1'!F19+'Hijo 2'!F19+'Hijo 3'!F19</f>
        <v/>
      </c>
      <c r="C6" s="10">
        <f>'Hijo 1'!G19+'Hijo 2'!G19+'Hijo 3'!G19</f>
        <v/>
      </c>
      <c r="D6" s="10">
        <f>'Hijo 1'!H19+'Hijo 2'!H19+'Hijo 3'!H19</f>
        <v/>
      </c>
      <c r="E6" s="10">
        <f>'Hijo 1'!I19+'Hijo 2'!I19+'Hijo 3'!I19</f>
        <v/>
      </c>
      <c r="F6" s="10">
        <f>'Hijo 1'!J19+'Hijo 2'!J19+'Hijo 3'!J19</f>
        <v/>
      </c>
      <c r="G6" s="10">
        <f>'Hijo 1'!K19+'Hijo 2'!K19+'Hijo 3'!K19</f>
        <v/>
      </c>
      <c r="H6" s="10">
        <f>'Hijo 1'!L19+'Hijo 2'!L19+'Hijo 3'!L19</f>
        <v/>
      </c>
      <c r="I6" s="10">
        <f>'Hijo 1'!M19+'Hijo 2'!M19+'Hijo 3'!M19</f>
        <v/>
      </c>
      <c r="J6" s="10">
        <f>'Hijo 1'!N19+'Hijo 2'!N19+'Hijo 3'!N19</f>
        <v/>
      </c>
      <c r="K6" s="10">
        <f>'Hijo 1'!O19+'Hijo 2'!O19+'Hijo 3'!O19</f>
        <v/>
      </c>
      <c r="L6" s="10">
        <f>'Hijo 1'!P19+'Hijo 2'!P19+'Hijo 3'!P19</f>
        <v/>
      </c>
      <c r="M6" s="10">
        <f>'Hijo 1'!Q19+'Hijo 2'!Q19+'Hijo 3'!Q19</f>
        <v/>
      </c>
      <c r="N6" s="10">
        <f>'Hijo 1'!R19+'Hijo 2'!R19+'Hijo 3'!R19</f>
        <v/>
      </c>
    </row>
    <row r="7">
      <c r="A7" s="6" t="inlineStr">
        <is>
          <t>Diferencia</t>
        </is>
      </c>
      <c r="B7" s="10">
        <f>'Hijo 1'!F20+'Hijo 2'!F20+'Hijo 3'!F20</f>
        <v/>
      </c>
      <c r="C7" s="10">
        <f>'Hijo 1'!G20+'Hijo 2'!G20+'Hijo 3'!G20</f>
        <v/>
      </c>
      <c r="D7" s="10">
        <f>'Hijo 1'!H20+'Hijo 2'!H20+'Hijo 3'!H20</f>
        <v/>
      </c>
      <c r="E7" s="10">
        <f>'Hijo 1'!I20+'Hijo 2'!I20+'Hijo 3'!I20</f>
        <v/>
      </c>
      <c r="F7" s="10">
        <f>'Hijo 1'!J20+'Hijo 2'!J20+'Hijo 3'!J20</f>
        <v/>
      </c>
      <c r="G7" s="10">
        <f>'Hijo 1'!K20+'Hijo 2'!K20+'Hijo 3'!K20</f>
        <v/>
      </c>
      <c r="H7" s="10">
        <f>'Hijo 1'!L20+'Hijo 2'!L20+'Hijo 3'!L20</f>
        <v/>
      </c>
      <c r="I7" s="10">
        <f>'Hijo 1'!M20+'Hijo 2'!M20+'Hijo 3'!M20</f>
        <v/>
      </c>
      <c r="J7" s="10">
        <f>'Hijo 1'!N20+'Hijo 2'!N20+'Hijo 3'!N20</f>
        <v/>
      </c>
      <c r="K7" s="10">
        <f>'Hijo 1'!O20+'Hijo 2'!O20+'Hijo 3'!O20</f>
        <v/>
      </c>
      <c r="L7" s="10">
        <f>'Hijo 1'!P20+'Hijo 2'!P20+'Hijo 3'!P20</f>
        <v/>
      </c>
      <c r="M7" s="10">
        <f>'Hijo 1'!Q20+'Hijo 2'!Q20+'Hijo 3'!Q20</f>
        <v/>
      </c>
      <c r="N7" s="10">
        <f>'Hijo 1'!R20+'Hijo 2'!R20+'Hijo 3'!R20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2026-10-25T01:55:44Z</dcterms:created>
  <dcterms:modified xmlns:dcterms="http://purl.org/dc/terms/" xmlns:xsi="http://www.w3.org/2001/XMLSchema-instance" xsi:type="dcterms:W3CDTF">2026-10-25T01:55:44Z</dcterms:modified>
</cp:coreProperties>
</file>