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icio" sheetId="1" state="visible" r:id="rId1"/>
    <sheet xmlns:r="http://schemas.openxmlformats.org/officeDocument/2006/relationships" name="Parámetros" sheetId="2" state="visible" r:id="rId2"/>
    <sheet xmlns:r="http://schemas.openxmlformats.org/officeDocument/2006/relationships" name="Comprobantes" sheetId="3" state="visible" r:id="rId3"/>
    <sheet xmlns:r="http://schemas.openxmlformats.org/officeDocument/2006/relationships" name="Resumen" sheetId="4" state="visible" r:id="rId4"/>
    <sheet xmlns:r="http://schemas.openxmlformats.org/officeDocument/2006/relationships" name="Guía de carga" sheetId="5" state="visible" r:id="rId5"/>
  </sheets>
  <definedNames/>
  <calcPr calcId="124519" fullCalcOnLoad="1"/>
</workbook>
</file>

<file path=xl/styles.xml><?xml version="1.0" encoding="utf-8"?>
<styleSheet xmlns="http://schemas.openxmlformats.org/spreadsheetml/2006/main">
  <numFmts count="2">
    <numFmt numFmtId="164" formatCode="&quot;$&quot; #,##0"/>
    <numFmt numFmtId="165" formatCode="dd/mm/yyyy"/>
  </numFmts>
  <fonts count="6">
    <font>
      <name val="Calibri"/>
      <family val="2"/>
      <color theme="1"/>
      <sz val="11"/>
      <scheme val="minor"/>
    </font>
    <font>
      <b val="1"/>
      <color rgb="001F4E79"/>
      <sz val="16"/>
    </font>
    <font>
      <i val="1"/>
      <color rgb="00595959"/>
    </font>
    <font>
      <b val="1"/>
      <color rgb="001F4E79"/>
      <sz val="12"/>
    </font>
    <font>
      <b val="1"/>
      <color rgb="00FFFFFF"/>
    </font>
    <font>
      <b val="1"/>
    </font>
  </fonts>
  <fills count="5">
    <fill>
      <patternFill/>
    </fill>
    <fill>
      <patternFill patternType="gray125"/>
    </fill>
    <fill>
      <patternFill patternType="solid">
        <fgColor rgb="00FFF2CC"/>
      </patternFill>
    </fill>
    <fill>
      <patternFill patternType="solid">
        <fgColor rgb="001F4E79"/>
      </patternFill>
    </fill>
    <fill>
      <patternFill patternType="solid">
        <fgColor rgb="00DDEBF7"/>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164" fontId="0" fillId="2" borderId="1" pivotButton="0" quotePrefix="0" xfId="0"/>
    <xf numFmtId="0" fontId="4" fillId="3" borderId="1" applyAlignment="1" pivotButton="0" quotePrefix="0" xfId="0">
      <alignment horizontal="center" vertical="center" wrapText="1"/>
    </xf>
    <xf numFmtId="1" fontId="0" fillId="2" borderId="1" pivotButton="0" quotePrefix="0" xfId="0"/>
    <xf numFmtId="165" fontId="0" fillId="2" borderId="1" pivotButton="0" quotePrefix="0" xfId="0"/>
    <xf numFmtId="0" fontId="0" fillId="2" borderId="1" pivotButton="0" quotePrefix="0" xfId="0"/>
    <xf numFmtId="164" fontId="0" fillId="4" borderId="1" pivotButton="0" quotePrefix="0" xfId="0"/>
    <xf numFmtId="0"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9"/>
  <sheetViews>
    <sheetView workbookViewId="0">
      <selection activeCell="A1" sqref="A1"/>
    </sheetView>
  </sheetViews>
  <sheetFormatPr baseColWidth="8" defaultRowHeight="15"/>
  <cols>
    <col width="120" customWidth="1" min="1" max="1"/>
  </cols>
  <sheetData>
    <row r="1">
      <c r="A1" s="1" t="inlineStr">
        <is>
          <t>Organizador SIRADIG 2026</t>
        </is>
      </c>
    </row>
    <row r="2">
      <c r="A2" s="2" t="inlineStr">
        <is>
          <t>Registro de comprobantes deducibles, topes y ahorro estimado de Ganancias. Excel y Google Sheets.</t>
        </is>
      </c>
    </row>
    <row r="4">
      <c r="A4" s="3" t="inlineStr">
        <is>
          <t>CÓMO USARLO</t>
        </is>
      </c>
    </row>
    <row r="5">
      <c r="A5" t="inlineStr">
        <is>
          <t>1. Pestaña 'Comprobantes': cargá cada factura o recibo (fecha, rubro, CUIT del proveedor, número, monto). Marcá SI cuando lo cargues en el SIRADIG.</t>
        </is>
      </c>
    </row>
    <row r="6">
      <c r="A6" t="inlineStr">
        <is>
          <t>2. Pestaña 'Resumen': poné tu ganancia neta anual estimada y la cantidad de hijos. Te muestra cuánto podés deducir por rubro con su tope y el ahorro estimado.</t>
        </is>
      </c>
    </row>
    <row r="7">
      <c r="A7" t="inlineStr">
        <is>
          <t>3. Pestaña 'Parámetros': escala y deducciones personales de ARCA 2026 (acumulado a diciembre) y los topes de ARCA para intereses hipotecarios ($20.000 al año) y seguro de vida ($753.472,14 en 2026).</t>
        </is>
      </c>
    </row>
    <row r="8">
      <c r="A8" t="inlineStr">
        <is>
          <t>4. Pestaña 'Guía de carga': los pasos para cargar el formulario 572 web.</t>
        </is>
      </c>
    </row>
    <row r="9">
      <c r="A9" t="inlineStr"/>
    </row>
    <row r="10">
      <c r="A10" t="inlineStr">
        <is>
          <t>Celdas amarillas = las cargás vos. Celdas celestes = se calculan solas. Las filas de ejemplo se pisan o se borran.</t>
        </is>
      </c>
    </row>
    <row r="11">
      <c r="A11" t="inlineStr"/>
    </row>
    <row r="12">
      <c r="A12" s="3" t="inlineStr">
        <is>
          <t>TOPES QUE APLICA</t>
        </is>
      </c>
    </row>
    <row r="13">
      <c r="A13" t="inlineStr">
        <is>
          <t>Alquiler: 40% de lo pagado, hasta la ganancia no imponible. Servicio doméstico: lo pagado, hasta la ganancia no imponible.</t>
        </is>
      </c>
    </row>
    <row r="14">
      <c r="A14" t="inlineStr">
        <is>
          <t>Gastos médicos: 40% de lo facturado, hasta el 5% de la ganancia neta. Prepaga y seguro médico: hasta el 5% de la ganancia neta. Donaciones: hasta el 5% de la ganancia neta.</t>
        </is>
      </c>
    </row>
    <row r="15">
      <c r="A15" t="inlineStr">
        <is>
          <t>Intereses hipotecarios y seguro de vida: tope anual en 'Parámetros' ($20.000 y $753.472,14 en 2026, según ARCA). Actualizalo cada año.</t>
        </is>
      </c>
    </row>
    <row r="16">
      <c r="A16" t="inlineStr"/>
    </row>
    <row r="17">
      <c r="A17" s="3" t="inlineStr">
        <is>
          <t>AVISO</t>
        </is>
      </c>
    </row>
    <row r="18">
      <c r="A18" t="inlineStr">
        <is>
          <t>Estimación orientativa. No reemplaza el cálculo de tu empleador ni el de un contador. Verificá topes, requisitos y la fecha de cierre del SIRADIG en ARCA.</t>
        </is>
      </c>
    </row>
    <row r="19">
      <c r="A19" t="inlineStr">
        <is>
          <t>Para uso propio, prohibida su reventa.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20"/>
  <sheetViews>
    <sheetView workbookViewId="0">
      <selection activeCell="A1" sqref="A1"/>
    </sheetView>
  </sheetViews>
  <sheetFormatPr baseColWidth="8" defaultRowHeight="15"/>
  <cols>
    <col width="38" customWidth="1" min="1" max="1"/>
    <col width="18" customWidth="1" min="2" max="2"/>
    <col width="18" customWidth="1" min="3" max="3"/>
    <col width="18" customWidth="1" min="4" max="4"/>
  </cols>
  <sheetData>
    <row r="1">
      <c r="A1" s="1" t="inlineStr">
        <is>
          <t>Parámetros 2026</t>
        </is>
      </c>
    </row>
    <row r="2">
      <c r="A2" s="2" t="inlineStr">
        <is>
          <t>Escala acumulada a diciembre y deducciones personales (fuente: ARCA, art. 30 y 94)</t>
        </is>
      </c>
    </row>
    <row r="4">
      <c r="A4" t="inlineStr">
        <is>
          <t>Ganancia no imponible</t>
        </is>
      </c>
      <c r="B4" s="4" t="n">
        <v>5585720.79</v>
      </c>
    </row>
    <row r="5">
      <c r="A5" t="inlineStr">
        <is>
          <t>Cónyuge</t>
        </is>
      </c>
      <c r="B5" s="4" t="n">
        <v>5260628.66</v>
      </c>
    </row>
    <row r="6">
      <c r="A6" t="inlineStr">
        <is>
          <t>Hijo</t>
        </is>
      </c>
      <c r="B6" s="4" t="n">
        <v>2652954.23</v>
      </c>
    </row>
    <row r="8">
      <c r="A8" t="inlineStr">
        <is>
          <t>Tope anual intereses hipotecarios</t>
        </is>
      </c>
      <c r="B8" s="4" t="n">
        <v>20000</v>
      </c>
    </row>
    <row r="9">
      <c r="A9" t="inlineStr">
        <is>
          <t>Tope anual seguro de vida (2026)</t>
        </is>
      </c>
      <c r="B9" s="4" t="n">
        <v>753472.14</v>
      </c>
    </row>
    <row r="11">
      <c r="A11" s="5" t="inlineStr">
        <is>
          <t>Desde (neta anual)</t>
        </is>
      </c>
      <c r="B11" s="5" t="inlineStr">
        <is>
          <t>Monto fijo</t>
        </is>
      </c>
      <c r="C11" s="5" t="inlineStr">
        <is>
          <t>% sobre excedente</t>
        </is>
      </c>
    </row>
    <row r="12">
      <c r="A12" s="4" t="n">
        <v>0</v>
      </c>
      <c r="B12" s="4" t="n">
        <v>0</v>
      </c>
      <c r="C12" s="6" t="n">
        <v>5</v>
      </c>
    </row>
    <row r="13">
      <c r="A13" s="4" t="n">
        <v>2168485.62</v>
      </c>
      <c r="B13" s="4" t="n">
        <v>108424.28</v>
      </c>
      <c r="C13" s="6" t="n">
        <v>9</v>
      </c>
    </row>
    <row r="14">
      <c r="A14" s="4" t="n">
        <v>4336971.24</v>
      </c>
      <c r="B14" s="4" t="n">
        <v>303587.99</v>
      </c>
      <c r="C14" s="6" t="n">
        <v>12</v>
      </c>
    </row>
    <row r="15">
      <c r="A15" s="4" t="n">
        <v>6505456.86</v>
      </c>
      <c r="B15" s="4" t="n">
        <v>563806.26</v>
      </c>
      <c r="C15" s="6" t="n">
        <v>15</v>
      </c>
    </row>
    <row r="16">
      <c r="A16" s="4" t="n">
        <v>9758185.300000001</v>
      </c>
      <c r="B16" s="4" t="n">
        <v>1051715.53</v>
      </c>
      <c r="C16" s="6" t="n">
        <v>19</v>
      </c>
    </row>
    <row r="17">
      <c r="A17" s="4" t="n">
        <v>19516370.61</v>
      </c>
      <c r="B17" s="4" t="n">
        <v>2905770.74</v>
      </c>
      <c r="C17" s="6" t="n">
        <v>23</v>
      </c>
    </row>
    <row r="18">
      <c r="A18" s="4" t="n">
        <v>29274555.91</v>
      </c>
      <c r="B18" s="4" t="n">
        <v>5150153.36</v>
      </c>
      <c r="C18" s="6" t="n">
        <v>27</v>
      </c>
    </row>
    <row r="19">
      <c r="A19" s="4" t="n">
        <v>43911833.87</v>
      </c>
      <c r="B19" s="4" t="n">
        <v>9102218.4</v>
      </c>
      <c r="C19" s="6" t="n">
        <v>31</v>
      </c>
    </row>
    <row r="20">
      <c r="A20" s="4" t="n">
        <v>65867750.81</v>
      </c>
      <c r="B20" s="4" t="n">
        <v>15908552.66</v>
      </c>
      <c r="C20" s="6" t="n">
        <v>35</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04"/>
  <sheetViews>
    <sheetView workbookViewId="0">
      <pane ySplit="4" topLeftCell="A5" activePane="bottomLeft" state="frozen"/>
      <selection pane="bottomLeft" activeCell="A1" sqref="A1"/>
    </sheetView>
  </sheetViews>
  <sheetFormatPr baseColWidth="8" defaultRowHeight="15"/>
  <cols>
    <col width="13" customWidth="1" min="1" max="1"/>
    <col width="28" customWidth="1" min="2" max="2"/>
    <col width="20" customWidth="1" min="3" max="3"/>
    <col width="20" customWidth="1" min="4" max="4"/>
    <col width="38" customWidth="1" min="5" max="5"/>
    <col width="16" customWidth="1" min="6" max="6"/>
    <col width="18" customWidth="1" min="7" max="7"/>
  </cols>
  <sheetData>
    <row r="1">
      <c r="A1" s="1" t="inlineStr">
        <is>
          <t>Comprobantes</t>
        </is>
      </c>
    </row>
    <row r="2">
      <c r="A2" s="2" t="inlineStr">
        <is>
          <t>Un renglón por factura o recibo</t>
        </is>
      </c>
    </row>
    <row r="4">
      <c r="A4" s="5" t="inlineStr">
        <is>
          <t>Fecha</t>
        </is>
      </c>
      <c r="B4" s="5" t="inlineStr">
        <is>
          <t>Rubro</t>
        </is>
      </c>
      <c r="C4" s="5" t="inlineStr">
        <is>
          <t>CUIT del proveedor</t>
        </is>
      </c>
      <c r="D4" s="5" t="inlineStr">
        <is>
          <t>N.º de comprobante</t>
        </is>
      </c>
      <c r="E4" s="5" t="inlineStr">
        <is>
          <t>Descripción</t>
        </is>
      </c>
      <c r="F4" s="5" t="inlineStr">
        <is>
          <t>Monto</t>
        </is>
      </c>
      <c r="G4" s="5" t="inlineStr">
        <is>
          <t>Cargado en SIRADIG</t>
        </is>
      </c>
    </row>
    <row r="5">
      <c r="A5" s="7" t="n">
        <v>46086</v>
      </c>
      <c r="B5" s="8" t="inlineStr">
        <is>
          <t>Alquiler</t>
        </is>
      </c>
      <c r="C5" s="8" t="n"/>
      <c r="D5" s="8" t="n"/>
      <c r="E5" s="8" t="inlineStr">
        <is>
          <t>Alquiler marzo</t>
        </is>
      </c>
      <c r="F5" s="4" t="n">
        <v>500000</v>
      </c>
      <c r="G5" s="8" t="inlineStr">
        <is>
          <t>NO</t>
        </is>
      </c>
    </row>
    <row r="6">
      <c r="A6" s="7" t="n">
        <v>46117</v>
      </c>
      <c r="B6" s="8" t="inlineStr">
        <is>
          <t>Alquiler</t>
        </is>
      </c>
      <c r="C6" s="8" t="n"/>
      <c r="D6" s="8" t="n"/>
      <c r="E6" s="8" t="inlineStr">
        <is>
          <t>Alquiler abril</t>
        </is>
      </c>
      <c r="F6" s="4" t="n">
        <v>500000</v>
      </c>
      <c r="G6" s="8" t="inlineStr">
        <is>
          <t>NO</t>
        </is>
      </c>
    </row>
    <row r="7">
      <c r="A7" s="7" t="n">
        <v>46093</v>
      </c>
      <c r="B7" s="8" t="inlineStr">
        <is>
          <t>Gastos médicos</t>
        </is>
      </c>
      <c r="C7" s="8" t="n"/>
      <c r="D7" s="8" t="n"/>
      <c r="E7" s="8" t="inlineStr">
        <is>
          <t>Consulta y estudios</t>
        </is>
      </c>
      <c r="F7" s="4" t="n">
        <v>85000</v>
      </c>
      <c r="G7" s="8" t="inlineStr">
        <is>
          <t>NO</t>
        </is>
      </c>
    </row>
    <row r="8">
      <c r="A8" s="7" t="n"/>
      <c r="B8" s="8" t="n"/>
      <c r="C8" s="8" t="n"/>
      <c r="D8" s="8" t="n"/>
      <c r="E8" s="8" t="n"/>
      <c r="F8" s="4" t="n"/>
      <c r="G8" s="8" t="n"/>
    </row>
    <row r="9">
      <c r="A9" s="7" t="n"/>
      <c r="B9" s="8" t="n"/>
      <c r="C9" s="8" t="n"/>
      <c r="D9" s="8" t="n"/>
      <c r="E9" s="8" t="n"/>
      <c r="F9" s="4" t="n"/>
      <c r="G9" s="8" t="n"/>
    </row>
    <row r="10">
      <c r="A10" s="7" t="n"/>
      <c r="B10" s="8" t="n"/>
      <c r="C10" s="8" t="n"/>
      <c r="D10" s="8" t="n"/>
      <c r="E10" s="8" t="n"/>
      <c r="F10" s="4" t="n"/>
      <c r="G10" s="8" t="n"/>
    </row>
    <row r="11">
      <c r="A11" s="7" t="n"/>
      <c r="B11" s="8" t="n"/>
      <c r="C11" s="8" t="n"/>
      <c r="D11" s="8" t="n"/>
      <c r="E11" s="8" t="n"/>
      <c r="F11" s="4" t="n"/>
      <c r="G11" s="8" t="n"/>
    </row>
    <row r="12">
      <c r="A12" s="7" t="n"/>
      <c r="B12" s="8" t="n"/>
      <c r="C12" s="8" t="n"/>
      <c r="D12" s="8" t="n"/>
      <c r="E12" s="8" t="n"/>
      <c r="F12" s="4" t="n"/>
      <c r="G12" s="8" t="n"/>
    </row>
    <row r="13">
      <c r="A13" s="7" t="n"/>
      <c r="B13" s="8" t="n"/>
      <c r="C13" s="8" t="n"/>
      <c r="D13" s="8" t="n"/>
      <c r="E13" s="8" t="n"/>
      <c r="F13" s="4" t="n"/>
      <c r="G13" s="8" t="n"/>
    </row>
    <row r="14">
      <c r="A14" s="7" t="n"/>
      <c r="B14" s="8" t="n"/>
      <c r="C14" s="8" t="n"/>
      <c r="D14" s="8" t="n"/>
      <c r="E14" s="8" t="n"/>
      <c r="F14" s="4" t="n"/>
      <c r="G14" s="8" t="n"/>
    </row>
    <row r="15">
      <c r="A15" s="7" t="n"/>
      <c r="B15" s="8" t="n"/>
      <c r="C15" s="8" t="n"/>
      <c r="D15" s="8" t="n"/>
      <c r="E15" s="8" t="n"/>
      <c r="F15" s="4" t="n"/>
      <c r="G15" s="8" t="n"/>
    </row>
    <row r="16">
      <c r="A16" s="7" t="n"/>
      <c r="B16" s="8" t="n"/>
      <c r="C16" s="8" t="n"/>
      <c r="D16" s="8" t="n"/>
      <c r="E16" s="8" t="n"/>
      <c r="F16" s="4" t="n"/>
      <c r="G16" s="8" t="n"/>
    </row>
    <row r="17">
      <c r="A17" s="7" t="n"/>
      <c r="B17" s="8" t="n"/>
      <c r="C17" s="8" t="n"/>
      <c r="D17" s="8" t="n"/>
      <c r="E17" s="8" t="n"/>
      <c r="F17" s="4" t="n"/>
      <c r="G17" s="8" t="n"/>
    </row>
    <row r="18">
      <c r="A18" s="7" t="n"/>
      <c r="B18" s="8" t="n"/>
      <c r="C18" s="8" t="n"/>
      <c r="D18" s="8" t="n"/>
      <c r="E18" s="8" t="n"/>
      <c r="F18" s="4" t="n"/>
      <c r="G18" s="8" t="n"/>
    </row>
    <row r="19">
      <c r="A19" s="7" t="n"/>
      <c r="B19" s="8" t="n"/>
      <c r="C19" s="8" t="n"/>
      <c r="D19" s="8" t="n"/>
      <c r="E19" s="8" t="n"/>
      <c r="F19" s="4" t="n"/>
      <c r="G19" s="8" t="n"/>
    </row>
    <row r="20">
      <c r="A20" s="7" t="n"/>
      <c r="B20" s="8" t="n"/>
      <c r="C20" s="8" t="n"/>
      <c r="D20" s="8" t="n"/>
      <c r="E20" s="8" t="n"/>
      <c r="F20" s="4" t="n"/>
      <c r="G20" s="8" t="n"/>
    </row>
    <row r="21">
      <c r="A21" s="7" t="n"/>
      <c r="B21" s="8" t="n"/>
      <c r="C21" s="8" t="n"/>
      <c r="D21" s="8" t="n"/>
      <c r="E21" s="8" t="n"/>
      <c r="F21" s="4" t="n"/>
      <c r="G21" s="8" t="n"/>
    </row>
    <row r="22">
      <c r="A22" s="7" t="n"/>
      <c r="B22" s="8" t="n"/>
      <c r="C22" s="8" t="n"/>
      <c r="D22" s="8" t="n"/>
      <c r="E22" s="8" t="n"/>
      <c r="F22" s="4" t="n"/>
      <c r="G22" s="8" t="n"/>
    </row>
    <row r="23">
      <c r="A23" s="7" t="n"/>
      <c r="B23" s="8" t="n"/>
      <c r="C23" s="8" t="n"/>
      <c r="D23" s="8" t="n"/>
      <c r="E23" s="8" t="n"/>
      <c r="F23" s="4" t="n"/>
      <c r="G23" s="8" t="n"/>
    </row>
    <row r="24">
      <c r="A24" s="7" t="n"/>
      <c r="B24" s="8" t="n"/>
      <c r="C24" s="8" t="n"/>
      <c r="D24" s="8" t="n"/>
      <c r="E24" s="8" t="n"/>
      <c r="F24" s="4" t="n"/>
      <c r="G24" s="8" t="n"/>
    </row>
    <row r="25">
      <c r="A25" s="7" t="n"/>
      <c r="B25" s="8" t="n"/>
      <c r="C25" s="8" t="n"/>
      <c r="D25" s="8" t="n"/>
      <c r="E25" s="8" t="n"/>
      <c r="F25" s="4" t="n"/>
      <c r="G25" s="8" t="n"/>
    </row>
    <row r="26">
      <c r="A26" s="7" t="n"/>
      <c r="B26" s="8" t="n"/>
      <c r="C26" s="8" t="n"/>
      <c r="D26" s="8" t="n"/>
      <c r="E26" s="8" t="n"/>
      <c r="F26" s="4" t="n"/>
      <c r="G26" s="8" t="n"/>
    </row>
    <row r="27">
      <c r="A27" s="7" t="n"/>
      <c r="B27" s="8" t="n"/>
      <c r="C27" s="8" t="n"/>
      <c r="D27" s="8" t="n"/>
      <c r="E27" s="8" t="n"/>
      <c r="F27" s="4" t="n"/>
      <c r="G27" s="8" t="n"/>
    </row>
    <row r="28">
      <c r="A28" s="7" t="n"/>
      <c r="B28" s="8" t="n"/>
      <c r="C28" s="8" t="n"/>
      <c r="D28" s="8" t="n"/>
      <c r="E28" s="8" t="n"/>
      <c r="F28" s="4" t="n"/>
      <c r="G28" s="8" t="n"/>
    </row>
    <row r="29">
      <c r="A29" s="7" t="n"/>
      <c r="B29" s="8" t="n"/>
      <c r="C29" s="8" t="n"/>
      <c r="D29" s="8" t="n"/>
      <c r="E29" s="8" t="n"/>
      <c r="F29" s="4" t="n"/>
      <c r="G29" s="8" t="n"/>
    </row>
    <row r="30">
      <c r="A30" s="7" t="n"/>
      <c r="B30" s="8" t="n"/>
      <c r="C30" s="8" t="n"/>
      <c r="D30" s="8" t="n"/>
      <c r="E30" s="8" t="n"/>
      <c r="F30" s="4" t="n"/>
      <c r="G30" s="8" t="n"/>
    </row>
    <row r="31">
      <c r="A31" s="7" t="n"/>
      <c r="B31" s="8" t="n"/>
      <c r="C31" s="8" t="n"/>
      <c r="D31" s="8" t="n"/>
      <c r="E31" s="8" t="n"/>
      <c r="F31" s="4" t="n"/>
      <c r="G31" s="8" t="n"/>
    </row>
    <row r="32">
      <c r="A32" s="7" t="n"/>
      <c r="B32" s="8" t="n"/>
      <c r="C32" s="8" t="n"/>
      <c r="D32" s="8" t="n"/>
      <c r="E32" s="8" t="n"/>
      <c r="F32" s="4" t="n"/>
      <c r="G32" s="8" t="n"/>
    </row>
    <row r="33">
      <c r="A33" s="7" t="n"/>
      <c r="B33" s="8" t="n"/>
      <c r="C33" s="8" t="n"/>
      <c r="D33" s="8" t="n"/>
      <c r="E33" s="8" t="n"/>
      <c r="F33" s="4" t="n"/>
      <c r="G33" s="8" t="n"/>
    </row>
    <row r="34">
      <c r="A34" s="7" t="n"/>
      <c r="B34" s="8" t="n"/>
      <c r="C34" s="8" t="n"/>
      <c r="D34" s="8" t="n"/>
      <c r="E34" s="8" t="n"/>
      <c r="F34" s="4" t="n"/>
      <c r="G34" s="8" t="n"/>
    </row>
    <row r="35">
      <c r="A35" s="7" t="n"/>
      <c r="B35" s="8" t="n"/>
      <c r="C35" s="8" t="n"/>
      <c r="D35" s="8" t="n"/>
      <c r="E35" s="8" t="n"/>
      <c r="F35" s="4" t="n"/>
      <c r="G35" s="8" t="n"/>
    </row>
    <row r="36">
      <c r="A36" s="7" t="n"/>
      <c r="B36" s="8" t="n"/>
      <c r="C36" s="8" t="n"/>
      <c r="D36" s="8" t="n"/>
      <c r="E36" s="8" t="n"/>
      <c r="F36" s="4" t="n"/>
      <c r="G36" s="8" t="n"/>
    </row>
    <row r="37">
      <c r="A37" s="7" t="n"/>
      <c r="B37" s="8" t="n"/>
      <c r="C37" s="8" t="n"/>
      <c r="D37" s="8" t="n"/>
      <c r="E37" s="8" t="n"/>
      <c r="F37" s="4" t="n"/>
      <c r="G37" s="8" t="n"/>
    </row>
    <row r="38">
      <c r="A38" s="7" t="n"/>
      <c r="B38" s="8" t="n"/>
      <c r="C38" s="8" t="n"/>
      <c r="D38" s="8" t="n"/>
      <c r="E38" s="8" t="n"/>
      <c r="F38" s="4" t="n"/>
      <c r="G38" s="8" t="n"/>
    </row>
    <row r="39">
      <c r="A39" s="7" t="n"/>
      <c r="B39" s="8" t="n"/>
      <c r="C39" s="8" t="n"/>
      <c r="D39" s="8" t="n"/>
      <c r="E39" s="8" t="n"/>
      <c r="F39" s="4" t="n"/>
      <c r="G39" s="8" t="n"/>
    </row>
    <row r="40">
      <c r="A40" s="7" t="n"/>
      <c r="B40" s="8" t="n"/>
      <c r="C40" s="8" t="n"/>
      <c r="D40" s="8" t="n"/>
      <c r="E40" s="8" t="n"/>
      <c r="F40" s="4" t="n"/>
      <c r="G40" s="8" t="n"/>
    </row>
    <row r="41">
      <c r="A41" s="7" t="n"/>
      <c r="B41" s="8" t="n"/>
      <c r="C41" s="8" t="n"/>
      <c r="D41" s="8" t="n"/>
      <c r="E41" s="8" t="n"/>
      <c r="F41" s="4" t="n"/>
      <c r="G41" s="8" t="n"/>
    </row>
    <row r="42">
      <c r="A42" s="7" t="n"/>
      <c r="B42" s="8" t="n"/>
      <c r="C42" s="8" t="n"/>
      <c r="D42" s="8" t="n"/>
      <c r="E42" s="8" t="n"/>
      <c r="F42" s="4" t="n"/>
      <c r="G42" s="8" t="n"/>
    </row>
    <row r="43">
      <c r="A43" s="7" t="n"/>
      <c r="B43" s="8" t="n"/>
      <c r="C43" s="8" t="n"/>
      <c r="D43" s="8" t="n"/>
      <c r="E43" s="8" t="n"/>
      <c r="F43" s="4" t="n"/>
      <c r="G43" s="8" t="n"/>
    </row>
    <row r="44">
      <c r="A44" s="7" t="n"/>
      <c r="B44" s="8" t="n"/>
      <c r="C44" s="8" t="n"/>
      <c r="D44" s="8" t="n"/>
      <c r="E44" s="8" t="n"/>
      <c r="F44" s="4" t="n"/>
      <c r="G44" s="8" t="n"/>
    </row>
    <row r="45">
      <c r="A45" s="7" t="n"/>
      <c r="B45" s="8" t="n"/>
      <c r="C45" s="8" t="n"/>
      <c r="D45" s="8" t="n"/>
      <c r="E45" s="8" t="n"/>
      <c r="F45" s="4" t="n"/>
      <c r="G45" s="8" t="n"/>
    </row>
    <row r="46">
      <c r="A46" s="7" t="n"/>
      <c r="B46" s="8" t="n"/>
      <c r="C46" s="8" t="n"/>
      <c r="D46" s="8" t="n"/>
      <c r="E46" s="8" t="n"/>
      <c r="F46" s="4" t="n"/>
      <c r="G46" s="8" t="n"/>
    </row>
    <row r="47">
      <c r="A47" s="7" t="n"/>
      <c r="B47" s="8" t="n"/>
      <c r="C47" s="8" t="n"/>
      <c r="D47" s="8" t="n"/>
      <c r="E47" s="8" t="n"/>
      <c r="F47" s="4" t="n"/>
      <c r="G47" s="8" t="n"/>
    </row>
    <row r="48">
      <c r="A48" s="7" t="n"/>
      <c r="B48" s="8" t="n"/>
      <c r="C48" s="8" t="n"/>
      <c r="D48" s="8" t="n"/>
      <c r="E48" s="8" t="n"/>
      <c r="F48" s="4" t="n"/>
      <c r="G48" s="8" t="n"/>
    </row>
    <row r="49">
      <c r="A49" s="7" t="n"/>
      <c r="B49" s="8" t="n"/>
      <c r="C49" s="8" t="n"/>
      <c r="D49" s="8" t="n"/>
      <c r="E49" s="8" t="n"/>
      <c r="F49" s="4" t="n"/>
      <c r="G49" s="8" t="n"/>
    </row>
    <row r="50">
      <c r="A50" s="7" t="n"/>
      <c r="B50" s="8" t="n"/>
      <c r="C50" s="8" t="n"/>
      <c r="D50" s="8" t="n"/>
      <c r="E50" s="8" t="n"/>
      <c r="F50" s="4" t="n"/>
      <c r="G50" s="8" t="n"/>
    </row>
    <row r="51">
      <c r="A51" s="7" t="n"/>
      <c r="B51" s="8" t="n"/>
      <c r="C51" s="8" t="n"/>
      <c r="D51" s="8" t="n"/>
      <c r="E51" s="8" t="n"/>
      <c r="F51" s="4" t="n"/>
      <c r="G51" s="8" t="n"/>
    </row>
    <row r="52">
      <c r="A52" s="7" t="n"/>
      <c r="B52" s="8" t="n"/>
      <c r="C52" s="8" t="n"/>
      <c r="D52" s="8" t="n"/>
      <c r="E52" s="8" t="n"/>
      <c r="F52" s="4" t="n"/>
      <c r="G52" s="8" t="n"/>
    </row>
    <row r="53">
      <c r="A53" s="7" t="n"/>
      <c r="B53" s="8" t="n"/>
      <c r="C53" s="8" t="n"/>
      <c r="D53" s="8" t="n"/>
      <c r="E53" s="8" t="n"/>
      <c r="F53" s="4" t="n"/>
      <c r="G53" s="8" t="n"/>
    </row>
    <row r="54">
      <c r="A54" s="7" t="n"/>
      <c r="B54" s="8" t="n"/>
      <c r="C54" s="8" t="n"/>
      <c r="D54" s="8" t="n"/>
      <c r="E54" s="8" t="n"/>
      <c r="F54" s="4" t="n"/>
      <c r="G54" s="8" t="n"/>
    </row>
    <row r="55">
      <c r="A55" s="7" t="n"/>
      <c r="B55" s="8" t="n"/>
      <c r="C55" s="8" t="n"/>
      <c r="D55" s="8" t="n"/>
      <c r="E55" s="8" t="n"/>
      <c r="F55" s="4" t="n"/>
      <c r="G55" s="8" t="n"/>
    </row>
    <row r="56">
      <c r="A56" s="7" t="n"/>
      <c r="B56" s="8" t="n"/>
      <c r="C56" s="8" t="n"/>
      <c r="D56" s="8" t="n"/>
      <c r="E56" s="8" t="n"/>
      <c r="F56" s="4" t="n"/>
      <c r="G56" s="8" t="n"/>
    </row>
    <row r="57">
      <c r="A57" s="7" t="n"/>
      <c r="B57" s="8" t="n"/>
      <c r="C57" s="8" t="n"/>
      <c r="D57" s="8" t="n"/>
      <c r="E57" s="8" t="n"/>
      <c r="F57" s="4" t="n"/>
      <c r="G57" s="8" t="n"/>
    </row>
    <row r="58">
      <c r="A58" s="7" t="n"/>
      <c r="B58" s="8" t="n"/>
      <c r="C58" s="8" t="n"/>
      <c r="D58" s="8" t="n"/>
      <c r="E58" s="8" t="n"/>
      <c r="F58" s="4" t="n"/>
      <c r="G58" s="8" t="n"/>
    </row>
    <row r="59">
      <c r="A59" s="7" t="n"/>
      <c r="B59" s="8" t="n"/>
      <c r="C59" s="8" t="n"/>
      <c r="D59" s="8" t="n"/>
      <c r="E59" s="8" t="n"/>
      <c r="F59" s="4" t="n"/>
      <c r="G59" s="8" t="n"/>
    </row>
    <row r="60">
      <c r="A60" s="7" t="n"/>
      <c r="B60" s="8" t="n"/>
      <c r="C60" s="8" t="n"/>
      <c r="D60" s="8" t="n"/>
      <c r="E60" s="8" t="n"/>
      <c r="F60" s="4" t="n"/>
      <c r="G60" s="8" t="n"/>
    </row>
    <row r="61">
      <c r="A61" s="7" t="n"/>
      <c r="B61" s="8" t="n"/>
      <c r="C61" s="8" t="n"/>
      <c r="D61" s="8" t="n"/>
      <c r="E61" s="8" t="n"/>
      <c r="F61" s="4" t="n"/>
      <c r="G61" s="8" t="n"/>
    </row>
    <row r="62">
      <c r="A62" s="7" t="n"/>
      <c r="B62" s="8" t="n"/>
      <c r="C62" s="8" t="n"/>
      <c r="D62" s="8" t="n"/>
      <c r="E62" s="8" t="n"/>
      <c r="F62" s="4" t="n"/>
      <c r="G62" s="8" t="n"/>
    </row>
    <row r="63">
      <c r="A63" s="7" t="n"/>
      <c r="B63" s="8" t="n"/>
      <c r="C63" s="8" t="n"/>
      <c r="D63" s="8" t="n"/>
      <c r="E63" s="8" t="n"/>
      <c r="F63" s="4" t="n"/>
      <c r="G63" s="8" t="n"/>
    </row>
    <row r="64">
      <c r="A64" s="7" t="n"/>
      <c r="B64" s="8" t="n"/>
      <c r="C64" s="8" t="n"/>
      <c r="D64" s="8" t="n"/>
      <c r="E64" s="8" t="n"/>
      <c r="F64" s="4" t="n"/>
      <c r="G64" s="8" t="n"/>
    </row>
    <row r="65">
      <c r="A65" s="7" t="n"/>
      <c r="B65" s="8" t="n"/>
      <c r="C65" s="8" t="n"/>
      <c r="D65" s="8" t="n"/>
      <c r="E65" s="8" t="n"/>
      <c r="F65" s="4" t="n"/>
      <c r="G65" s="8" t="n"/>
    </row>
    <row r="66">
      <c r="A66" s="7" t="n"/>
      <c r="B66" s="8" t="n"/>
      <c r="C66" s="8" t="n"/>
      <c r="D66" s="8" t="n"/>
      <c r="E66" s="8" t="n"/>
      <c r="F66" s="4" t="n"/>
      <c r="G66" s="8" t="n"/>
    </row>
    <row r="67">
      <c r="A67" s="7" t="n"/>
      <c r="B67" s="8" t="n"/>
      <c r="C67" s="8" t="n"/>
      <c r="D67" s="8" t="n"/>
      <c r="E67" s="8" t="n"/>
      <c r="F67" s="4" t="n"/>
      <c r="G67" s="8" t="n"/>
    </row>
    <row r="68">
      <c r="A68" s="7" t="n"/>
      <c r="B68" s="8" t="n"/>
      <c r="C68" s="8" t="n"/>
      <c r="D68" s="8" t="n"/>
      <c r="E68" s="8" t="n"/>
      <c r="F68" s="4" t="n"/>
      <c r="G68" s="8" t="n"/>
    </row>
    <row r="69">
      <c r="A69" s="7" t="n"/>
      <c r="B69" s="8" t="n"/>
      <c r="C69" s="8" t="n"/>
      <c r="D69" s="8" t="n"/>
      <c r="E69" s="8" t="n"/>
      <c r="F69" s="4" t="n"/>
      <c r="G69" s="8" t="n"/>
    </row>
    <row r="70">
      <c r="A70" s="7" t="n"/>
      <c r="B70" s="8" t="n"/>
      <c r="C70" s="8" t="n"/>
      <c r="D70" s="8" t="n"/>
      <c r="E70" s="8" t="n"/>
      <c r="F70" s="4" t="n"/>
      <c r="G70" s="8" t="n"/>
    </row>
    <row r="71">
      <c r="A71" s="7" t="n"/>
      <c r="B71" s="8" t="n"/>
      <c r="C71" s="8" t="n"/>
      <c r="D71" s="8" t="n"/>
      <c r="E71" s="8" t="n"/>
      <c r="F71" s="4" t="n"/>
      <c r="G71" s="8" t="n"/>
    </row>
    <row r="72">
      <c r="A72" s="7" t="n"/>
      <c r="B72" s="8" t="n"/>
      <c r="C72" s="8" t="n"/>
      <c r="D72" s="8" t="n"/>
      <c r="E72" s="8" t="n"/>
      <c r="F72" s="4" t="n"/>
      <c r="G72" s="8" t="n"/>
    </row>
    <row r="73">
      <c r="A73" s="7" t="n"/>
      <c r="B73" s="8" t="n"/>
      <c r="C73" s="8" t="n"/>
      <c r="D73" s="8" t="n"/>
      <c r="E73" s="8" t="n"/>
      <c r="F73" s="4" t="n"/>
      <c r="G73" s="8" t="n"/>
    </row>
    <row r="74">
      <c r="A74" s="7" t="n"/>
      <c r="B74" s="8" t="n"/>
      <c r="C74" s="8" t="n"/>
      <c r="D74" s="8" t="n"/>
      <c r="E74" s="8" t="n"/>
      <c r="F74" s="4" t="n"/>
      <c r="G74" s="8" t="n"/>
    </row>
    <row r="75">
      <c r="A75" s="7" t="n"/>
      <c r="B75" s="8" t="n"/>
      <c r="C75" s="8" t="n"/>
      <c r="D75" s="8" t="n"/>
      <c r="E75" s="8" t="n"/>
      <c r="F75" s="4" t="n"/>
      <c r="G75" s="8" t="n"/>
    </row>
    <row r="76">
      <c r="A76" s="7" t="n"/>
      <c r="B76" s="8" t="n"/>
      <c r="C76" s="8" t="n"/>
      <c r="D76" s="8" t="n"/>
      <c r="E76" s="8" t="n"/>
      <c r="F76" s="4" t="n"/>
      <c r="G76" s="8" t="n"/>
    </row>
    <row r="77">
      <c r="A77" s="7" t="n"/>
      <c r="B77" s="8" t="n"/>
      <c r="C77" s="8" t="n"/>
      <c r="D77" s="8" t="n"/>
      <c r="E77" s="8" t="n"/>
      <c r="F77" s="4" t="n"/>
      <c r="G77" s="8" t="n"/>
    </row>
    <row r="78">
      <c r="A78" s="7" t="n"/>
      <c r="B78" s="8" t="n"/>
      <c r="C78" s="8" t="n"/>
      <c r="D78" s="8" t="n"/>
      <c r="E78" s="8" t="n"/>
      <c r="F78" s="4" t="n"/>
      <c r="G78" s="8" t="n"/>
    </row>
    <row r="79">
      <c r="A79" s="7" t="n"/>
      <c r="B79" s="8" t="n"/>
      <c r="C79" s="8" t="n"/>
      <c r="D79" s="8" t="n"/>
      <c r="E79" s="8" t="n"/>
      <c r="F79" s="4" t="n"/>
      <c r="G79" s="8" t="n"/>
    </row>
    <row r="80">
      <c r="A80" s="7" t="n"/>
      <c r="B80" s="8" t="n"/>
      <c r="C80" s="8" t="n"/>
      <c r="D80" s="8" t="n"/>
      <c r="E80" s="8" t="n"/>
      <c r="F80" s="4" t="n"/>
      <c r="G80" s="8" t="n"/>
    </row>
    <row r="81">
      <c r="A81" s="7" t="n"/>
      <c r="B81" s="8" t="n"/>
      <c r="C81" s="8" t="n"/>
      <c r="D81" s="8" t="n"/>
      <c r="E81" s="8" t="n"/>
      <c r="F81" s="4" t="n"/>
      <c r="G81" s="8" t="n"/>
    </row>
    <row r="82">
      <c r="A82" s="7" t="n"/>
      <c r="B82" s="8" t="n"/>
      <c r="C82" s="8" t="n"/>
      <c r="D82" s="8" t="n"/>
      <c r="E82" s="8" t="n"/>
      <c r="F82" s="4" t="n"/>
      <c r="G82" s="8" t="n"/>
    </row>
    <row r="83">
      <c r="A83" s="7" t="n"/>
      <c r="B83" s="8" t="n"/>
      <c r="C83" s="8" t="n"/>
      <c r="D83" s="8" t="n"/>
      <c r="E83" s="8" t="n"/>
      <c r="F83" s="4" t="n"/>
      <c r="G83" s="8" t="n"/>
    </row>
    <row r="84">
      <c r="A84" s="7" t="n"/>
      <c r="B84" s="8" t="n"/>
      <c r="C84" s="8" t="n"/>
      <c r="D84" s="8" t="n"/>
      <c r="E84" s="8" t="n"/>
      <c r="F84" s="4" t="n"/>
      <c r="G84" s="8" t="n"/>
    </row>
    <row r="85">
      <c r="A85" s="7" t="n"/>
      <c r="B85" s="8" t="n"/>
      <c r="C85" s="8" t="n"/>
      <c r="D85" s="8" t="n"/>
      <c r="E85" s="8" t="n"/>
      <c r="F85" s="4" t="n"/>
      <c r="G85" s="8" t="n"/>
    </row>
    <row r="86">
      <c r="A86" s="7" t="n"/>
      <c r="B86" s="8" t="n"/>
      <c r="C86" s="8" t="n"/>
      <c r="D86" s="8" t="n"/>
      <c r="E86" s="8" t="n"/>
      <c r="F86" s="4" t="n"/>
      <c r="G86" s="8" t="n"/>
    </row>
    <row r="87">
      <c r="A87" s="7" t="n"/>
      <c r="B87" s="8" t="n"/>
      <c r="C87" s="8" t="n"/>
      <c r="D87" s="8" t="n"/>
      <c r="E87" s="8" t="n"/>
      <c r="F87" s="4" t="n"/>
      <c r="G87" s="8" t="n"/>
    </row>
    <row r="88">
      <c r="A88" s="7" t="n"/>
      <c r="B88" s="8" t="n"/>
      <c r="C88" s="8" t="n"/>
      <c r="D88" s="8" t="n"/>
      <c r="E88" s="8" t="n"/>
      <c r="F88" s="4" t="n"/>
      <c r="G88" s="8" t="n"/>
    </row>
    <row r="89">
      <c r="A89" s="7" t="n"/>
      <c r="B89" s="8" t="n"/>
      <c r="C89" s="8" t="n"/>
      <c r="D89" s="8" t="n"/>
      <c r="E89" s="8" t="n"/>
      <c r="F89" s="4" t="n"/>
      <c r="G89" s="8" t="n"/>
    </row>
    <row r="90">
      <c r="A90" s="7" t="n"/>
      <c r="B90" s="8" t="n"/>
      <c r="C90" s="8" t="n"/>
      <c r="D90" s="8" t="n"/>
      <c r="E90" s="8" t="n"/>
      <c r="F90" s="4" t="n"/>
      <c r="G90" s="8" t="n"/>
    </row>
    <row r="91">
      <c r="A91" s="7" t="n"/>
      <c r="B91" s="8" t="n"/>
      <c r="C91" s="8" t="n"/>
      <c r="D91" s="8" t="n"/>
      <c r="E91" s="8" t="n"/>
      <c r="F91" s="4" t="n"/>
      <c r="G91" s="8" t="n"/>
    </row>
    <row r="92">
      <c r="A92" s="7" t="n"/>
      <c r="B92" s="8" t="n"/>
      <c r="C92" s="8" t="n"/>
      <c r="D92" s="8" t="n"/>
      <c r="E92" s="8" t="n"/>
      <c r="F92" s="4" t="n"/>
      <c r="G92" s="8" t="n"/>
    </row>
    <row r="93">
      <c r="A93" s="7" t="n"/>
      <c r="B93" s="8" t="n"/>
      <c r="C93" s="8" t="n"/>
      <c r="D93" s="8" t="n"/>
      <c r="E93" s="8" t="n"/>
      <c r="F93" s="4" t="n"/>
      <c r="G93" s="8" t="n"/>
    </row>
    <row r="94">
      <c r="A94" s="7" t="n"/>
      <c r="B94" s="8" t="n"/>
      <c r="C94" s="8" t="n"/>
      <c r="D94" s="8" t="n"/>
      <c r="E94" s="8" t="n"/>
      <c r="F94" s="4" t="n"/>
      <c r="G94" s="8" t="n"/>
    </row>
    <row r="95">
      <c r="A95" s="7" t="n"/>
      <c r="B95" s="8" t="n"/>
      <c r="C95" s="8" t="n"/>
      <c r="D95" s="8" t="n"/>
      <c r="E95" s="8" t="n"/>
      <c r="F95" s="4" t="n"/>
      <c r="G95" s="8" t="n"/>
    </row>
    <row r="96">
      <c r="A96" s="7" t="n"/>
      <c r="B96" s="8" t="n"/>
      <c r="C96" s="8" t="n"/>
      <c r="D96" s="8" t="n"/>
      <c r="E96" s="8" t="n"/>
      <c r="F96" s="4" t="n"/>
      <c r="G96" s="8" t="n"/>
    </row>
    <row r="97">
      <c r="A97" s="7" t="n"/>
      <c r="B97" s="8" t="n"/>
      <c r="C97" s="8" t="n"/>
      <c r="D97" s="8" t="n"/>
      <c r="E97" s="8" t="n"/>
      <c r="F97" s="4" t="n"/>
      <c r="G97" s="8" t="n"/>
    </row>
    <row r="98">
      <c r="A98" s="7" t="n"/>
      <c r="B98" s="8" t="n"/>
      <c r="C98" s="8" t="n"/>
      <c r="D98" s="8" t="n"/>
      <c r="E98" s="8" t="n"/>
      <c r="F98" s="4" t="n"/>
      <c r="G98" s="8" t="n"/>
    </row>
    <row r="99">
      <c r="A99" s="7" t="n"/>
      <c r="B99" s="8" t="n"/>
      <c r="C99" s="8" t="n"/>
      <c r="D99" s="8" t="n"/>
      <c r="E99" s="8" t="n"/>
      <c r="F99" s="4" t="n"/>
      <c r="G99" s="8" t="n"/>
    </row>
    <row r="100">
      <c r="A100" s="7" t="n"/>
      <c r="B100" s="8" t="n"/>
      <c r="C100" s="8" t="n"/>
      <c r="D100" s="8" t="n"/>
      <c r="E100" s="8" t="n"/>
      <c r="F100" s="4" t="n"/>
      <c r="G100" s="8" t="n"/>
    </row>
    <row r="101">
      <c r="A101" s="7" t="n"/>
      <c r="B101" s="8" t="n"/>
      <c r="C101" s="8" t="n"/>
      <c r="D101" s="8" t="n"/>
      <c r="E101" s="8" t="n"/>
      <c r="F101" s="4" t="n"/>
      <c r="G101" s="8" t="n"/>
    </row>
    <row r="102">
      <c r="A102" s="7" t="n"/>
      <c r="B102" s="8" t="n"/>
      <c r="C102" s="8" t="n"/>
      <c r="D102" s="8" t="n"/>
      <c r="E102" s="8" t="n"/>
      <c r="F102" s="4" t="n"/>
      <c r="G102" s="8" t="n"/>
    </row>
    <row r="103">
      <c r="A103" s="7" t="n"/>
      <c r="B103" s="8" t="n"/>
      <c r="C103" s="8" t="n"/>
      <c r="D103" s="8" t="n"/>
      <c r="E103" s="8" t="n"/>
      <c r="F103" s="4" t="n"/>
      <c r="G103" s="8" t="n"/>
    </row>
    <row r="104">
      <c r="A104" s="7" t="n"/>
      <c r="B104" s="8" t="n"/>
      <c r="C104" s="8" t="n"/>
      <c r="D104" s="8" t="n"/>
      <c r="E104" s="8" t="n"/>
      <c r="F104" s="4" t="n"/>
      <c r="G104" s="8" t="n"/>
    </row>
    <row r="105">
      <c r="A105" s="7" t="n"/>
      <c r="B105" s="8" t="n"/>
      <c r="C105" s="8" t="n"/>
      <c r="D105" s="8" t="n"/>
      <c r="E105" s="8" t="n"/>
      <c r="F105" s="4" t="n"/>
      <c r="G105" s="8" t="n"/>
    </row>
    <row r="106">
      <c r="A106" s="7" t="n"/>
      <c r="B106" s="8" t="n"/>
      <c r="C106" s="8" t="n"/>
      <c r="D106" s="8" t="n"/>
      <c r="E106" s="8" t="n"/>
      <c r="F106" s="4" t="n"/>
      <c r="G106" s="8" t="n"/>
    </row>
    <row r="107">
      <c r="A107" s="7" t="n"/>
      <c r="B107" s="8" t="n"/>
      <c r="C107" s="8" t="n"/>
      <c r="D107" s="8" t="n"/>
      <c r="E107" s="8" t="n"/>
      <c r="F107" s="4" t="n"/>
      <c r="G107" s="8" t="n"/>
    </row>
    <row r="108">
      <c r="A108" s="7" t="n"/>
      <c r="B108" s="8" t="n"/>
      <c r="C108" s="8" t="n"/>
      <c r="D108" s="8" t="n"/>
      <c r="E108" s="8" t="n"/>
      <c r="F108" s="4" t="n"/>
      <c r="G108" s="8" t="n"/>
    </row>
    <row r="109">
      <c r="A109" s="7" t="n"/>
      <c r="B109" s="8" t="n"/>
      <c r="C109" s="8" t="n"/>
      <c r="D109" s="8" t="n"/>
      <c r="E109" s="8" t="n"/>
      <c r="F109" s="4" t="n"/>
      <c r="G109" s="8" t="n"/>
    </row>
    <row r="110">
      <c r="A110" s="7" t="n"/>
      <c r="B110" s="8" t="n"/>
      <c r="C110" s="8" t="n"/>
      <c r="D110" s="8" t="n"/>
      <c r="E110" s="8" t="n"/>
      <c r="F110" s="4" t="n"/>
      <c r="G110" s="8" t="n"/>
    </row>
    <row r="111">
      <c r="A111" s="7" t="n"/>
      <c r="B111" s="8" t="n"/>
      <c r="C111" s="8" t="n"/>
      <c r="D111" s="8" t="n"/>
      <c r="E111" s="8" t="n"/>
      <c r="F111" s="4" t="n"/>
      <c r="G111" s="8" t="n"/>
    </row>
    <row r="112">
      <c r="A112" s="7" t="n"/>
      <c r="B112" s="8" t="n"/>
      <c r="C112" s="8" t="n"/>
      <c r="D112" s="8" t="n"/>
      <c r="E112" s="8" t="n"/>
      <c r="F112" s="4" t="n"/>
      <c r="G112" s="8" t="n"/>
    </row>
    <row r="113">
      <c r="A113" s="7" t="n"/>
      <c r="B113" s="8" t="n"/>
      <c r="C113" s="8" t="n"/>
      <c r="D113" s="8" t="n"/>
      <c r="E113" s="8" t="n"/>
      <c r="F113" s="4" t="n"/>
      <c r="G113" s="8" t="n"/>
    </row>
    <row r="114">
      <c r="A114" s="7" t="n"/>
      <c r="B114" s="8" t="n"/>
      <c r="C114" s="8" t="n"/>
      <c r="D114" s="8" t="n"/>
      <c r="E114" s="8" t="n"/>
      <c r="F114" s="4" t="n"/>
      <c r="G114" s="8" t="n"/>
    </row>
    <row r="115">
      <c r="A115" s="7" t="n"/>
      <c r="B115" s="8" t="n"/>
      <c r="C115" s="8" t="n"/>
      <c r="D115" s="8" t="n"/>
      <c r="E115" s="8" t="n"/>
      <c r="F115" s="4" t="n"/>
      <c r="G115" s="8" t="n"/>
    </row>
    <row r="116">
      <c r="A116" s="7" t="n"/>
      <c r="B116" s="8" t="n"/>
      <c r="C116" s="8" t="n"/>
      <c r="D116" s="8" t="n"/>
      <c r="E116" s="8" t="n"/>
      <c r="F116" s="4" t="n"/>
      <c r="G116" s="8" t="n"/>
    </row>
    <row r="117">
      <c r="A117" s="7" t="n"/>
      <c r="B117" s="8" t="n"/>
      <c r="C117" s="8" t="n"/>
      <c r="D117" s="8" t="n"/>
      <c r="E117" s="8" t="n"/>
      <c r="F117" s="4" t="n"/>
      <c r="G117" s="8" t="n"/>
    </row>
    <row r="118">
      <c r="A118" s="7" t="n"/>
      <c r="B118" s="8" t="n"/>
      <c r="C118" s="8" t="n"/>
      <c r="D118" s="8" t="n"/>
      <c r="E118" s="8" t="n"/>
      <c r="F118" s="4" t="n"/>
      <c r="G118" s="8" t="n"/>
    </row>
    <row r="119">
      <c r="A119" s="7" t="n"/>
      <c r="B119" s="8" t="n"/>
      <c r="C119" s="8" t="n"/>
      <c r="D119" s="8" t="n"/>
      <c r="E119" s="8" t="n"/>
      <c r="F119" s="4" t="n"/>
      <c r="G119" s="8" t="n"/>
    </row>
    <row r="120">
      <c r="A120" s="7" t="n"/>
      <c r="B120" s="8" t="n"/>
      <c r="C120" s="8" t="n"/>
      <c r="D120" s="8" t="n"/>
      <c r="E120" s="8" t="n"/>
      <c r="F120" s="4" t="n"/>
      <c r="G120" s="8" t="n"/>
    </row>
    <row r="121">
      <c r="A121" s="7" t="n"/>
      <c r="B121" s="8" t="n"/>
      <c r="C121" s="8" t="n"/>
      <c r="D121" s="8" t="n"/>
      <c r="E121" s="8" t="n"/>
      <c r="F121" s="4" t="n"/>
      <c r="G121" s="8" t="n"/>
    </row>
    <row r="122">
      <c r="A122" s="7" t="n"/>
      <c r="B122" s="8" t="n"/>
      <c r="C122" s="8" t="n"/>
      <c r="D122" s="8" t="n"/>
      <c r="E122" s="8" t="n"/>
      <c r="F122" s="4" t="n"/>
      <c r="G122" s="8" t="n"/>
    </row>
    <row r="123">
      <c r="A123" s="7" t="n"/>
      <c r="B123" s="8" t="n"/>
      <c r="C123" s="8" t="n"/>
      <c r="D123" s="8" t="n"/>
      <c r="E123" s="8" t="n"/>
      <c r="F123" s="4" t="n"/>
      <c r="G123" s="8" t="n"/>
    </row>
    <row r="124">
      <c r="A124" s="7" t="n"/>
      <c r="B124" s="8" t="n"/>
      <c r="C124" s="8" t="n"/>
      <c r="D124" s="8" t="n"/>
      <c r="E124" s="8" t="n"/>
      <c r="F124" s="4" t="n"/>
      <c r="G124" s="8" t="n"/>
    </row>
    <row r="125">
      <c r="A125" s="7" t="n"/>
      <c r="B125" s="8" t="n"/>
      <c r="C125" s="8" t="n"/>
      <c r="D125" s="8" t="n"/>
      <c r="E125" s="8" t="n"/>
      <c r="F125" s="4" t="n"/>
      <c r="G125" s="8" t="n"/>
    </row>
    <row r="126">
      <c r="A126" s="7" t="n"/>
      <c r="B126" s="8" t="n"/>
      <c r="C126" s="8" t="n"/>
      <c r="D126" s="8" t="n"/>
      <c r="E126" s="8" t="n"/>
      <c r="F126" s="4" t="n"/>
      <c r="G126" s="8" t="n"/>
    </row>
    <row r="127">
      <c r="A127" s="7" t="n"/>
      <c r="B127" s="8" t="n"/>
      <c r="C127" s="8" t="n"/>
      <c r="D127" s="8" t="n"/>
      <c r="E127" s="8" t="n"/>
      <c r="F127" s="4" t="n"/>
      <c r="G127" s="8" t="n"/>
    </row>
    <row r="128">
      <c r="A128" s="7" t="n"/>
      <c r="B128" s="8" t="n"/>
      <c r="C128" s="8" t="n"/>
      <c r="D128" s="8" t="n"/>
      <c r="E128" s="8" t="n"/>
      <c r="F128" s="4" t="n"/>
      <c r="G128" s="8" t="n"/>
    </row>
    <row r="129">
      <c r="A129" s="7" t="n"/>
      <c r="B129" s="8" t="n"/>
      <c r="C129" s="8" t="n"/>
      <c r="D129" s="8" t="n"/>
      <c r="E129" s="8" t="n"/>
      <c r="F129" s="4" t="n"/>
      <c r="G129" s="8" t="n"/>
    </row>
    <row r="130">
      <c r="A130" s="7" t="n"/>
      <c r="B130" s="8" t="n"/>
      <c r="C130" s="8" t="n"/>
      <c r="D130" s="8" t="n"/>
      <c r="E130" s="8" t="n"/>
      <c r="F130" s="4" t="n"/>
      <c r="G130" s="8" t="n"/>
    </row>
    <row r="131">
      <c r="A131" s="7" t="n"/>
      <c r="B131" s="8" t="n"/>
      <c r="C131" s="8" t="n"/>
      <c r="D131" s="8" t="n"/>
      <c r="E131" s="8" t="n"/>
      <c r="F131" s="4" t="n"/>
      <c r="G131" s="8" t="n"/>
    </row>
    <row r="132">
      <c r="A132" s="7" t="n"/>
      <c r="B132" s="8" t="n"/>
      <c r="C132" s="8" t="n"/>
      <c r="D132" s="8" t="n"/>
      <c r="E132" s="8" t="n"/>
      <c r="F132" s="4" t="n"/>
      <c r="G132" s="8" t="n"/>
    </row>
    <row r="133">
      <c r="A133" s="7" t="n"/>
      <c r="B133" s="8" t="n"/>
      <c r="C133" s="8" t="n"/>
      <c r="D133" s="8" t="n"/>
      <c r="E133" s="8" t="n"/>
      <c r="F133" s="4" t="n"/>
      <c r="G133" s="8" t="n"/>
    </row>
    <row r="134">
      <c r="A134" s="7" t="n"/>
      <c r="B134" s="8" t="n"/>
      <c r="C134" s="8" t="n"/>
      <c r="D134" s="8" t="n"/>
      <c r="E134" s="8" t="n"/>
      <c r="F134" s="4" t="n"/>
      <c r="G134" s="8" t="n"/>
    </row>
    <row r="135">
      <c r="A135" s="7" t="n"/>
      <c r="B135" s="8" t="n"/>
      <c r="C135" s="8" t="n"/>
      <c r="D135" s="8" t="n"/>
      <c r="E135" s="8" t="n"/>
      <c r="F135" s="4" t="n"/>
      <c r="G135" s="8" t="n"/>
    </row>
    <row r="136">
      <c r="A136" s="7" t="n"/>
      <c r="B136" s="8" t="n"/>
      <c r="C136" s="8" t="n"/>
      <c r="D136" s="8" t="n"/>
      <c r="E136" s="8" t="n"/>
      <c r="F136" s="4" t="n"/>
      <c r="G136" s="8" t="n"/>
    </row>
    <row r="137">
      <c r="A137" s="7" t="n"/>
      <c r="B137" s="8" t="n"/>
      <c r="C137" s="8" t="n"/>
      <c r="D137" s="8" t="n"/>
      <c r="E137" s="8" t="n"/>
      <c r="F137" s="4" t="n"/>
      <c r="G137" s="8" t="n"/>
    </row>
    <row r="138">
      <c r="A138" s="7" t="n"/>
      <c r="B138" s="8" t="n"/>
      <c r="C138" s="8" t="n"/>
      <c r="D138" s="8" t="n"/>
      <c r="E138" s="8" t="n"/>
      <c r="F138" s="4" t="n"/>
      <c r="G138" s="8" t="n"/>
    </row>
    <row r="139">
      <c r="A139" s="7" t="n"/>
      <c r="B139" s="8" t="n"/>
      <c r="C139" s="8" t="n"/>
      <c r="D139" s="8" t="n"/>
      <c r="E139" s="8" t="n"/>
      <c r="F139" s="4" t="n"/>
      <c r="G139" s="8" t="n"/>
    </row>
    <row r="140">
      <c r="A140" s="7" t="n"/>
      <c r="B140" s="8" t="n"/>
      <c r="C140" s="8" t="n"/>
      <c r="D140" s="8" t="n"/>
      <c r="E140" s="8" t="n"/>
      <c r="F140" s="4" t="n"/>
      <c r="G140" s="8" t="n"/>
    </row>
    <row r="141">
      <c r="A141" s="7" t="n"/>
      <c r="B141" s="8" t="n"/>
      <c r="C141" s="8" t="n"/>
      <c r="D141" s="8" t="n"/>
      <c r="E141" s="8" t="n"/>
      <c r="F141" s="4" t="n"/>
      <c r="G141" s="8" t="n"/>
    </row>
    <row r="142">
      <c r="A142" s="7" t="n"/>
      <c r="B142" s="8" t="n"/>
      <c r="C142" s="8" t="n"/>
      <c r="D142" s="8" t="n"/>
      <c r="E142" s="8" t="n"/>
      <c r="F142" s="4" t="n"/>
      <c r="G142" s="8" t="n"/>
    </row>
    <row r="143">
      <c r="A143" s="7" t="n"/>
      <c r="B143" s="8" t="n"/>
      <c r="C143" s="8" t="n"/>
      <c r="D143" s="8" t="n"/>
      <c r="E143" s="8" t="n"/>
      <c r="F143" s="4" t="n"/>
      <c r="G143" s="8" t="n"/>
    </row>
    <row r="144">
      <c r="A144" s="7" t="n"/>
      <c r="B144" s="8" t="n"/>
      <c r="C144" s="8" t="n"/>
      <c r="D144" s="8" t="n"/>
      <c r="E144" s="8" t="n"/>
      <c r="F144" s="4" t="n"/>
      <c r="G144" s="8" t="n"/>
    </row>
    <row r="145">
      <c r="A145" s="7" t="n"/>
      <c r="B145" s="8" t="n"/>
      <c r="C145" s="8" t="n"/>
      <c r="D145" s="8" t="n"/>
      <c r="E145" s="8" t="n"/>
      <c r="F145" s="4" t="n"/>
      <c r="G145" s="8" t="n"/>
    </row>
    <row r="146">
      <c r="A146" s="7" t="n"/>
      <c r="B146" s="8" t="n"/>
      <c r="C146" s="8" t="n"/>
      <c r="D146" s="8" t="n"/>
      <c r="E146" s="8" t="n"/>
      <c r="F146" s="4" t="n"/>
      <c r="G146" s="8" t="n"/>
    </row>
    <row r="147">
      <c r="A147" s="7" t="n"/>
      <c r="B147" s="8" t="n"/>
      <c r="C147" s="8" t="n"/>
      <c r="D147" s="8" t="n"/>
      <c r="E147" s="8" t="n"/>
      <c r="F147" s="4" t="n"/>
      <c r="G147" s="8" t="n"/>
    </row>
    <row r="148">
      <c r="A148" s="7" t="n"/>
      <c r="B148" s="8" t="n"/>
      <c r="C148" s="8" t="n"/>
      <c r="D148" s="8" t="n"/>
      <c r="E148" s="8" t="n"/>
      <c r="F148" s="4" t="n"/>
      <c r="G148" s="8" t="n"/>
    </row>
    <row r="149">
      <c r="A149" s="7" t="n"/>
      <c r="B149" s="8" t="n"/>
      <c r="C149" s="8" t="n"/>
      <c r="D149" s="8" t="n"/>
      <c r="E149" s="8" t="n"/>
      <c r="F149" s="4" t="n"/>
      <c r="G149" s="8" t="n"/>
    </row>
    <row r="150">
      <c r="A150" s="7" t="n"/>
      <c r="B150" s="8" t="n"/>
      <c r="C150" s="8" t="n"/>
      <c r="D150" s="8" t="n"/>
      <c r="E150" s="8" t="n"/>
      <c r="F150" s="4" t="n"/>
      <c r="G150" s="8" t="n"/>
    </row>
    <row r="151">
      <c r="A151" s="7" t="n"/>
      <c r="B151" s="8" t="n"/>
      <c r="C151" s="8" t="n"/>
      <c r="D151" s="8" t="n"/>
      <c r="E151" s="8" t="n"/>
      <c r="F151" s="4" t="n"/>
      <c r="G151" s="8" t="n"/>
    </row>
    <row r="152">
      <c r="A152" s="7" t="n"/>
      <c r="B152" s="8" t="n"/>
      <c r="C152" s="8" t="n"/>
      <c r="D152" s="8" t="n"/>
      <c r="E152" s="8" t="n"/>
      <c r="F152" s="4" t="n"/>
      <c r="G152" s="8" t="n"/>
    </row>
    <row r="153">
      <c r="A153" s="7" t="n"/>
      <c r="B153" s="8" t="n"/>
      <c r="C153" s="8" t="n"/>
      <c r="D153" s="8" t="n"/>
      <c r="E153" s="8" t="n"/>
      <c r="F153" s="4" t="n"/>
      <c r="G153" s="8" t="n"/>
    </row>
    <row r="154">
      <c r="A154" s="7" t="n"/>
      <c r="B154" s="8" t="n"/>
      <c r="C154" s="8" t="n"/>
      <c r="D154" s="8" t="n"/>
      <c r="E154" s="8" t="n"/>
      <c r="F154" s="4" t="n"/>
      <c r="G154" s="8" t="n"/>
    </row>
    <row r="155">
      <c r="A155" s="7" t="n"/>
      <c r="B155" s="8" t="n"/>
      <c r="C155" s="8" t="n"/>
      <c r="D155" s="8" t="n"/>
      <c r="E155" s="8" t="n"/>
      <c r="F155" s="4" t="n"/>
      <c r="G155" s="8" t="n"/>
    </row>
    <row r="156">
      <c r="A156" s="7" t="n"/>
      <c r="B156" s="8" t="n"/>
      <c r="C156" s="8" t="n"/>
      <c r="D156" s="8" t="n"/>
      <c r="E156" s="8" t="n"/>
      <c r="F156" s="4" t="n"/>
      <c r="G156" s="8" t="n"/>
    </row>
    <row r="157">
      <c r="A157" s="7" t="n"/>
      <c r="B157" s="8" t="n"/>
      <c r="C157" s="8" t="n"/>
      <c r="D157" s="8" t="n"/>
      <c r="E157" s="8" t="n"/>
      <c r="F157" s="4" t="n"/>
      <c r="G157" s="8" t="n"/>
    </row>
    <row r="158">
      <c r="A158" s="7" t="n"/>
      <c r="B158" s="8" t="n"/>
      <c r="C158" s="8" t="n"/>
      <c r="D158" s="8" t="n"/>
      <c r="E158" s="8" t="n"/>
      <c r="F158" s="4" t="n"/>
      <c r="G158" s="8" t="n"/>
    </row>
    <row r="159">
      <c r="A159" s="7" t="n"/>
      <c r="B159" s="8" t="n"/>
      <c r="C159" s="8" t="n"/>
      <c r="D159" s="8" t="n"/>
      <c r="E159" s="8" t="n"/>
      <c r="F159" s="4" t="n"/>
      <c r="G159" s="8" t="n"/>
    </row>
    <row r="160">
      <c r="A160" s="7" t="n"/>
      <c r="B160" s="8" t="n"/>
      <c r="C160" s="8" t="n"/>
      <c r="D160" s="8" t="n"/>
      <c r="E160" s="8" t="n"/>
      <c r="F160" s="4" t="n"/>
      <c r="G160" s="8" t="n"/>
    </row>
    <row r="161">
      <c r="A161" s="7" t="n"/>
      <c r="B161" s="8" t="n"/>
      <c r="C161" s="8" t="n"/>
      <c r="D161" s="8" t="n"/>
      <c r="E161" s="8" t="n"/>
      <c r="F161" s="4" t="n"/>
      <c r="G161" s="8" t="n"/>
    </row>
    <row r="162">
      <c r="A162" s="7" t="n"/>
      <c r="B162" s="8" t="n"/>
      <c r="C162" s="8" t="n"/>
      <c r="D162" s="8" t="n"/>
      <c r="E162" s="8" t="n"/>
      <c r="F162" s="4" t="n"/>
      <c r="G162" s="8" t="n"/>
    </row>
    <row r="163">
      <c r="A163" s="7" t="n"/>
      <c r="B163" s="8" t="n"/>
      <c r="C163" s="8" t="n"/>
      <c r="D163" s="8" t="n"/>
      <c r="E163" s="8" t="n"/>
      <c r="F163" s="4" t="n"/>
      <c r="G163" s="8" t="n"/>
    </row>
    <row r="164">
      <c r="A164" s="7" t="n"/>
      <c r="B164" s="8" t="n"/>
      <c r="C164" s="8" t="n"/>
      <c r="D164" s="8" t="n"/>
      <c r="E164" s="8" t="n"/>
      <c r="F164" s="4" t="n"/>
      <c r="G164" s="8" t="n"/>
    </row>
    <row r="165">
      <c r="A165" s="7" t="n"/>
      <c r="B165" s="8" t="n"/>
      <c r="C165" s="8" t="n"/>
      <c r="D165" s="8" t="n"/>
      <c r="E165" s="8" t="n"/>
      <c r="F165" s="4" t="n"/>
      <c r="G165" s="8" t="n"/>
    </row>
    <row r="166">
      <c r="A166" s="7" t="n"/>
      <c r="B166" s="8" t="n"/>
      <c r="C166" s="8" t="n"/>
      <c r="D166" s="8" t="n"/>
      <c r="E166" s="8" t="n"/>
      <c r="F166" s="4" t="n"/>
      <c r="G166" s="8" t="n"/>
    </row>
    <row r="167">
      <c r="A167" s="7" t="n"/>
      <c r="B167" s="8" t="n"/>
      <c r="C167" s="8" t="n"/>
      <c r="D167" s="8" t="n"/>
      <c r="E167" s="8" t="n"/>
      <c r="F167" s="4" t="n"/>
      <c r="G167" s="8" t="n"/>
    </row>
    <row r="168">
      <c r="A168" s="7" t="n"/>
      <c r="B168" s="8" t="n"/>
      <c r="C168" s="8" t="n"/>
      <c r="D168" s="8" t="n"/>
      <c r="E168" s="8" t="n"/>
      <c r="F168" s="4" t="n"/>
      <c r="G168" s="8" t="n"/>
    </row>
    <row r="169">
      <c r="A169" s="7" t="n"/>
      <c r="B169" s="8" t="n"/>
      <c r="C169" s="8" t="n"/>
      <c r="D169" s="8" t="n"/>
      <c r="E169" s="8" t="n"/>
      <c r="F169" s="4" t="n"/>
      <c r="G169" s="8" t="n"/>
    </row>
    <row r="170">
      <c r="A170" s="7" t="n"/>
      <c r="B170" s="8" t="n"/>
      <c r="C170" s="8" t="n"/>
      <c r="D170" s="8" t="n"/>
      <c r="E170" s="8" t="n"/>
      <c r="F170" s="4" t="n"/>
      <c r="G170" s="8" t="n"/>
    </row>
    <row r="171">
      <c r="A171" s="7" t="n"/>
      <c r="B171" s="8" t="n"/>
      <c r="C171" s="8" t="n"/>
      <c r="D171" s="8" t="n"/>
      <c r="E171" s="8" t="n"/>
      <c r="F171" s="4" t="n"/>
      <c r="G171" s="8" t="n"/>
    </row>
    <row r="172">
      <c r="A172" s="7" t="n"/>
      <c r="B172" s="8" t="n"/>
      <c r="C172" s="8" t="n"/>
      <c r="D172" s="8" t="n"/>
      <c r="E172" s="8" t="n"/>
      <c r="F172" s="4" t="n"/>
      <c r="G172" s="8" t="n"/>
    </row>
    <row r="173">
      <c r="A173" s="7" t="n"/>
      <c r="B173" s="8" t="n"/>
      <c r="C173" s="8" t="n"/>
      <c r="D173" s="8" t="n"/>
      <c r="E173" s="8" t="n"/>
      <c r="F173" s="4" t="n"/>
      <c r="G173" s="8" t="n"/>
    </row>
    <row r="174">
      <c r="A174" s="7" t="n"/>
      <c r="B174" s="8" t="n"/>
      <c r="C174" s="8" t="n"/>
      <c r="D174" s="8" t="n"/>
      <c r="E174" s="8" t="n"/>
      <c r="F174" s="4" t="n"/>
      <c r="G174" s="8" t="n"/>
    </row>
    <row r="175">
      <c r="A175" s="7" t="n"/>
      <c r="B175" s="8" t="n"/>
      <c r="C175" s="8" t="n"/>
      <c r="D175" s="8" t="n"/>
      <c r="E175" s="8" t="n"/>
      <c r="F175" s="4" t="n"/>
      <c r="G175" s="8" t="n"/>
    </row>
    <row r="176">
      <c r="A176" s="7" t="n"/>
      <c r="B176" s="8" t="n"/>
      <c r="C176" s="8" t="n"/>
      <c r="D176" s="8" t="n"/>
      <c r="E176" s="8" t="n"/>
      <c r="F176" s="4" t="n"/>
      <c r="G176" s="8" t="n"/>
    </row>
    <row r="177">
      <c r="A177" s="7" t="n"/>
      <c r="B177" s="8" t="n"/>
      <c r="C177" s="8" t="n"/>
      <c r="D177" s="8" t="n"/>
      <c r="E177" s="8" t="n"/>
      <c r="F177" s="4" t="n"/>
      <c r="G177" s="8" t="n"/>
    </row>
    <row r="178">
      <c r="A178" s="7" t="n"/>
      <c r="B178" s="8" t="n"/>
      <c r="C178" s="8" t="n"/>
      <c r="D178" s="8" t="n"/>
      <c r="E178" s="8" t="n"/>
      <c r="F178" s="4" t="n"/>
      <c r="G178" s="8" t="n"/>
    </row>
    <row r="179">
      <c r="A179" s="7" t="n"/>
      <c r="B179" s="8" t="n"/>
      <c r="C179" s="8" t="n"/>
      <c r="D179" s="8" t="n"/>
      <c r="E179" s="8" t="n"/>
      <c r="F179" s="4" t="n"/>
      <c r="G179" s="8" t="n"/>
    </row>
    <row r="180">
      <c r="A180" s="7" t="n"/>
      <c r="B180" s="8" t="n"/>
      <c r="C180" s="8" t="n"/>
      <c r="D180" s="8" t="n"/>
      <c r="E180" s="8" t="n"/>
      <c r="F180" s="4" t="n"/>
      <c r="G180" s="8" t="n"/>
    </row>
    <row r="181">
      <c r="A181" s="7" t="n"/>
      <c r="B181" s="8" t="n"/>
      <c r="C181" s="8" t="n"/>
      <c r="D181" s="8" t="n"/>
      <c r="E181" s="8" t="n"/>
      <c r="F181" s="4" t="n"/>
      <c r="G181" s="8" t="n"/>
    </row>
    <row r="182">
      <c r="A182" s="7" t="n"/>
      <c r="B182" s="8" t="n"/>
      <c r="C182" s="8" t="n"/>
      <c r="D182" s="8" t="n"/>
      <c r="E182" s="8" t="n"/>
      <c r="F182" s="4" t="n"/>
      <c r="G182" s="8" t="n"/>
    </row>
    <row r="183">
      <c r="A183" s="7" t="n"/>
      <c r="B183" s="8" t="n"/>
      <c r="C183" s="8" t="n"/>
      <c r="D183" s="8" t="n"/>
      <c r="E183" s="8" t="n"/>
      <c r="F183" s="4" t="n"/>
      <c r="G183" s="8" t="n"/>
    </row>
    <row r="184">
      <c r="A184" s="7" t="n"/>
      <c r="B184" s="8" t="n"/>
      <c r="C184" s="8" t="n"/>
      <c r="D184" s="8" t="n"/>
      <c r="E184" s="8" t="n"/>
      <c r="F184" s="4" t="n"/>
      <c r="G184" s="8" t="n"/>
    </row>
    <row r="185">
      <c r="A185" s="7" t="n"/>
      <c r="B185" s="8" t="n"/>
      <c r="C185" s="8" t="n"/>
      <c r="D185" s="8" t="n"/>
      <c r="E185" s="8" t="n"/>
      <c r="F185" s="4" t="n"/>
      <c r="G185" s="8" t="n"/>
    </row>
    <row r="186">
      <c r="A186" s="7" t="n"/>
      <c r="B186" s="8" t="n"/>
      <c r="C186" s="8" t="n"/>
      <c r="D186" s="8" t="n"/>
      <c r="E186" s="8" t="n"/>
      <c r="F186" s="4" t="n"/>
      <c r="G186" s="8" t="n"/>
    </row>
    <row r="187">
      <c r="A187" s="7" t="n"/>
      <c r="B187" s="8" t="n"/>
      <c r="C187" s="8" t="n"/>
      <c r="D187" s="8" t="n"/>
      <c r="E187" s="8" t="n"/>
      <c r="F187" s="4" t="n"/>
      <c r="G187" s="8" t="n"/>
    </row>
    <row r="188">
      <c r="A188" s="7" t="n"/>
      <c r="B188" s="8" t="n"/>
      <c r="C188" s="8" t="n"/>
      <c r="D188" s="8" t="n"/>
      <c r="E188" s="8" t="n"/>
      <c r="F188" s="4" t="n"/>
      <c r="G188" s="8" t="n"/>
    </row>
    <row r="189">
      <c r="A189" s="7" t="n"/>
      <c r="B189" s="8" t="n"/>
      <c r="C189" s="8" t="n"/>
      <c r="D189" s="8" t="n"/>
      <c r="E189" s="8" t="n"/>
      <c r="F189" s="4" t="n"/>
      <c r="G189" s="8" t="n"/>
    </row>
    <row r="190">
      <c r="A190" s="7" t="n"/>
      <c r="B190" s="8" t="n"/>
      <c r="C190" s="8" t="n"/>
      <c r="D190" s="8" t="n"/>
      <c r="E190" s="8" t="n"/>
      <c r="F190" s="4" t="n"/>
      <c r="G190" s="8" t="n"/>
    </row>
    <row r="191">
      <c r="A191" s="7" t="n"/>
      <c r="B191" s="8" t="n"/>
      <c r="C191" s="8" t="n"/>
      <c r="D191" s="8" t="n"/>
      <c r="E191" s="8" t="n"/>
      <c r="F191" s="4" t="n"/>
      <c r="G191" s="8" t="n"/>
    </row>
    <row r="192">
      <c r="A192" s="7" t="n"/>
      <c r="B192" s="8" t="n"/>
      <c r="C192" s="8" t="n"/>
      <c r="D192" s="8" t="n"/>
      <c r="E192" s="8" t="n"/>
      <c r="F192" s="4" t="n"/>
      <c r="G192" s="8" t="n"/>
    </row>
    <row r="193">
      <c r="A193" s="7" t="n"/>
      <c r="B193" s="8" t="n"/>
      <c r="C193" s="8" t="n"/>
      <c r="D193" s="8" t="n"/>
      <c r="E193" s="8" t="n"/>
      <c r="F193" s="4" t="n"/>
      <c r="G193" s="8" t="n"/>
    </row>
    <row r="194">
      <c r="A194" s="7" t="n"/>
      <c r="B194" s="8" t="n"/>
      <c r="C194" s="8" t="n"/>
      <c r="D194" s="8" t="n"/>
      <c r="E194" s="8" t="n"/>
      <c r="F194" s="4" t="n"/>
      <c r="G194" s="8" t="n"/>
    </row>
    <row r="195">
      <c r="A195" s="7" t="n"/>
      <c r="B195" s="8" t="n"/>
      <c r="C195" s="8" t="n"/>
      <c r="D195" s="8" t="n"/>
      <c r="E195" s="8" t="n"/>
      <c r="F195" s="4" t="n"/>
      <c r="G195" s="8" t="n"/>
    </row>
    <row r="196">
      <c r="A196" s="7" t="n"/>
      <c r="B196" s="8" t="n"/>
      <c r="C196" s="8" t="n"/>
      <c r="D196" s="8" t="n"/>
      <c r="E196" s="8" t="n"/>
      <c r="F196" s="4" t="n"/>
      <c r="G196" s="8" t="n"/>
    </row>
    <row r="197">
      <c r="A197" s="7" t="n"/>
      <c r="B197" s="8" t="n"/>
      <c r="C197" s="8" t="n"/>
      <c r="D197" s="8" t="n"/>
      <c r="E197" s="8" t="n"/>
      <c r="F197" s="4" t="n"/>
      <c r="G197" s="8" t="n"/>
    </row>
    <row r="198">
      <c r="A198" s="7" t="n"/>
      <c r="B198" s="8" t="n"/>
      <c r="C198" s="8" t="n"/>
      <c r="D198" s="8" t="n"/>
      <c r="E198" s="8" t="n"/>
      <c r="F198" s="4" t="n"/>
      <c r="G198" s="8" t="n"/>
    </row>
    <row r="199">
      <c r="A199" s="7" t="n"/>
      <c r="B199" s="8" t="n"/>
      <c r="C199" s="8" t="n"/>
      <c r="D199" s="8" t="n"/>
      <c r="E199" s="8" t="n"/>
      <c r="F199" s="4" t="n"/>
      <c r="G199" s="8" t="n"/>
    </row>
    <row r="200">
      <c r="A200" s="7" t="n"/>
      <c r="B200" s="8" t="n"/>
      <c r="C200" s="8" t="n"/>
      <c r="D200" s="8" t="n"/>
      <c r="E200" s="8" t="n"/>
      <c r="F200" s="4" t="n"/>
      <c r="G200" s="8" t="n"/>
    </row>
    <row r="201">
      <c r="A201" s="7" t="n"/>
      <c r="B201" s="8" t="n"/>
      <c r="C201" s="8" t="n"/>
      <c r="D201" s="8" t="n"/>
      <c r="E201" s="8" t="n"/>
      <c r="F201" s="4" t="n"/>
      <c r="G201" s="8" t="n"/>
    </row>
    <row r="202">
      <c r="A202" s="7" t="n"/>
      <c r="B202" s="8" t="n"/>
      <c r="C202" s="8" t="n"/>
      <c r="D202" s="8" t="n"/>
      <c r="E202" s="8" t="n"/>
      <c r="F202" s="4" t="n"/>
      <c r="G202" s="8" t="n"/>
    </row>
    <row r="203">
      <c r="A203" s="7" t="n"/>
      <c r="B203" s="8" t="n"/>
      <c r="C203" s="8" t="n"/>
      <c r="D203" s="8" t="n"/>
      <c r="E203" s="8" t="n"/>
      <c r="F203" s="4" t="n"/>
      <c r="G203" s="8" t="n"/>
    </row>
    <row r="204">
      <c r="A204" s="7" t="n"/>
      <c r="B204" s="8" t="n"/>
      <c r="C204" s="8" t="n"/>
      <c r="D204" s="8" t="n"/>
      <c r="E204" s="8" t="n"/>
      <c r="F204" s="4" t="n"/>
      <c r="G204" s="8" t="n"/>
    </row>
  </sheetData>
  <dataValidations count="2">
    <dataValidation sqref="B5 B6 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B105 B106 B107 B108 B109 B110 B111 B112 B113 B114 B115 B116 B117 B118 B119 B120 B121 B122 B123 B124 B125 B126 B127 B128 B129 B130 B131 B132 B133 B134 B135 B136 B137 B138 B139 B140 B141 B142 B143 B144 B145 B146 B147 B148 B149 B150 B151 B152 B153 B154 B155 B156 B157 B158 B159 B160 B161 B162 B163 B164 B165 B166 B167 B168 B169 B170 B171 B172 B173 B174 B175 B176 B177 B178 B179 B180 B181 B182 B183 B184 B185 B186 B187 B188 B189 B190 B191 B192 B193 B194 B195 B196 B197 B198 B199 B200 B201 B202 B203 B204" showDropDown="0" showInputMessage="0" showErrorMessage="0" allowBlank="0" type="list">
      <formula1>"Alquiler,Servicio doméstico,Gastos médicos,Prepaga y seguro médico,Donaciones,Intereses hipotecarios,Seguro de vida"</formula1>
    </dataValidation>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showDropDown="0" showInputMessage="0" showErrorMessage="0" allowBlank="0" type="list">
      <formula1>"SI,NO"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5"/>
  <sheetViews>
    <sheetView workbookViewId="0">
      <selection activeCell="A1" sqref="A1"/>
    </sheetView>
  </sheetViews>
  <sheetFormatPr baseColWidth="8" defaultRowHeight="15"/>
  <cols>
    <col width="38" customWidth="1" min="1" max="1"/>
    <col width="22" customWidth="1" min="2" max="2"/>
    <col width="22" customWidth="1" min="3" max="3"/>
    <col width="22" customWidth="1" min="4" max="4"/>
    <col width="22" customWidth="1" min="5" max="5"/>
  </cols>
  <sheetData>
    <row r="1">
      <c r="A1" s="1" t="inlineStr">
        <is>
          <t>Resumen de deducciones</t>
        </is>
      </c>
    </row>
    <row r="2">
      <c r="A2" s="2" t="inlineStr">
        <is>
          <t>Cuánto podés deducir por rubro y cuánto ahorrás</t>
        </is>
      </c>
    </row>
    <row r="4">
      <c r="A4" t="inlineStr">
        <is>
          <t>Ganancia neta anual estimada</t>
        </is>
      </c>
      <c r="B4" s="4" t="n">
        <v>30000000</v>
      </c>
    </row>
    <row r="5">
      <c r="A5" t="inlineStr">
        <is>
          <t>Hijos a cargo</t>
        </is>
      </c>
      <c r="B5" s="6" t="n">
        <v>1</v>
      </c>
    </row>
    <row r="6">
      <c r="A6" t="inlineStr">
        <is>
          <t>Cónyuge a cargo (1 = sí, 0 = no)</t>
        </is>
      </c>
      <c r="B6" s="6" t="n">
        <v>0</v>
      </c>
    </row>
    <row r="8">
      <c r="A8" s="5" t="inlineStr">
        <is>
          <t>Rubro</t>
        </is>
      </c>
      <c r="B8" s="5" t="inlineStr">
        <is>
          <t>Total cargado</t>
        </is>
      </c>
      <c r="C8" s="5" t="inlineStr">
        <is>
          <t>Tope aplicable</t>
        </is>
      </c>
      <c r="D8" s="5" t="inlineStr">
        <is>
          <t>Deducible</t>
        </is>
      </c>
      <c r="E8" s="5" t="inlineStr">
        <is>
          <t>Aviso</t>
        </is>
      </c>
    </row>
    <row r="9">
      <c r="A9" t="inlineStr">
        <is>
          <t>Alquiler</t>
        </is>
      </c>
      <c r="B9" s="9">
        <f>SUMIFS(Comprobantes!$F$5:$F$204,Comprobantes!$B$5:$B$204,A9)</f>
        <v/>
      </c>
      <c r="C9" s="9">
        <f>Parámetros!$B$4</f>
        <v/>
      </c>
      <c r="D9" s="9">
        <f>IF(ISNUMBER(C9),MIN(B9*0.4,C9),B9*0.4)</f>
        <v/>
      </c>
    </row>
    <row r="10">
      <c r="A10" t="inlineStr">
        <is>
          <t>Servicio doméstico</t>
        </is>
      </c>
      <c r="B10" s="9">
        <f>SUMIFS(Comprobantes!$F$5:$F$204,Comprobantes!$B$5:$B$204,A10)</f>
        <v/>
      </c>
      <c r="C10" s="9">
        <f>Parámetros!$B$4</f>
        <v/>
      </c>
      <c r="D10" s="9">
        <f>IF(ISNUMBER(C10),MIN(B10,C10),B10)</f>
        <v/>
      </c>
    </row>
    <row r="11">
      <c r="A11" t="inlineStr">
        <is>
          <t>Gastos médicos</t>
        </is>
      </c>
      <c r="B11" s="9">
        <f>SUMIFS(Comprobantes!$F$5:$F$204,Comprobantes!$B$5:$B$204,A11)</f>
        <v/>
      </c>
      <c r="C11" s="9">
        <f>0.05*$B$4</f>
        <v/>
      </c>
      <c r="D11" s="9">
        <f>IF(ISNUMBER(C11),MIN(B11*0.4,C11),B11*0.4)</f>
        <v/>
      </c>
    </row>
    <row r="12">
      <c r="A12" t="inlineStr">
        <is>
          <t>Prepaga y seguro médico</t>
        </is>
      </c>
      <c r="B12" s="9">
        <f>SUMIFS(Comprobantes!$F$5:$F$204,Comprobantes!$B$5:$B$204,A12)</f>
        <v/>
      </c>
      <c r="C12" s="9">
        <f>0.05*$B$4</f>
        <v/>
      </c>
      <c r="D12" s="9">
        <f>IF(ISNUMBER(C12),MIN(B12,C12),B12)</f>
        <v/>
      </c>
    </row>
    <row r="13">
      <c r="A13" t="inlineStr">
        <is>
          <t>Donaciones</t>
        </is>
      </c>
      <c r="B13" s="9">
        <f>SUMIFS(Comprobantes!$F$5:$F$204,Comprobantes!$B$5:$B$204,A13)</f>
        <v/>
      </c>
      <c r="C13" s="9">
        <f>0.05*$B$4</f>
        <v/>
      </c>
      <c r="D13" s="9">
        <f>IF(ISNUMBER(C13),MIN(B13,C13),B13)</f>
        <v/>
      </c>
    </row>
    <row r="14">
      <c r="A14" t="inlineStr">
        <is>
          <t>Intereses hipotecarios</t>
        </is>
      </c>
      <c r="B14" s="9">
        <f>SUMIFS(Comprobantes!$F$5:$F$204,Comprobantes!$B$5:$B$204,A14)</f>
        <v/>
      </c>
      <c r="C14" s="9">
        <f>IF(Parámetros!$B$8="","sin tope cargado",Parámetros!$B$8)</f>
        <v/>
      </c>
      <c r="D14" s="9">
        <f>IF(ISNUMBER(C14),MIN(B14,C14),B14)</f>
        <v/>
      </c>
      <c r="E14">
        <f>IF(ISNUMBER(C14),"","Completá el tope en Parámetros")</f>
        <v/>
      </c>
    </row>
    <row r="15">
      <c r="A15" t="inlineStr">
        <is>
          <t>Seguro de vida</t>
        </is>
      </c>
      <c r="B15" s="9">
        <f>SUMIFS(Comprobantes!$F$5:$F$204,Comprobantes!$B$5:$B$204,A15)</f>
        <v/>
      </c>
      <c r="C15" s="9">
        <f>IF(Parámetros!$B$9="","sin tope cargado",Parámetros!$B$9)</f>
        <v/>
      </c>
      <c r="D15" s="9">
        <f>IF(ISNUMBER(C15),MIN(B15,C15),B15)</f>
        <v/>
      </c>
      <c r="E15">
        <f>IF(ISNUMBER(C15),"","Completá el tope en Parámetros")</f>
        <v/>
      </c>
    </row>
    <row r="16">
      <c r="A16" t="inlineStr">
        <is>
          <t>Hijos</t>
        </is>
      </c>
      <c r="D16" s="9">
        <f>B5*Parámetros!$B$6</f>
        <v/>
      </c>
    </row>
    <row r="17">
      <c r="A17" t="inlineStr">
        <is>
          <t>Cónyuge</t>
        </is>
      </c>
      <c r="D17" s="9">
        <f>B6*Parámetros!$B$5</f>
        <v/>
      </c>
    </row>
    <row r="18">
      <c r="A18" s="10" t="inlineStr">
        <is>
          <t>TOTAL DEDUCIBLE</t>
        </is>
      </c>
      <c r="D18" s="9">
        <f>SUM(D9:D17)</f>
        <v/>
      </c>
    </row>
    <row r="20">
      <c r="A20" t="inlineStr">
        <is>
          <t>Neta tras ganancia no imponible</t>
        </is>
      </c>
      <c r="D20" s="9">
        <f>MAX(0,B4-Parámetros!B4)</f>
        <v/>
      </c>
    </row>
    <row r="21">
      <c r="A21" t="inlineStr">
        <is>
          <t>Impuesto sin deducciones</t>
        </is>
      </c>
      <c r="D21" s="9">
        <f>(LOOKUP(D20,Parámetros!$A$12:$A$20,Parámetros!$B$12:$B$20)+(D20-LOOKUP(D20,Parámetros!$A$12:$A$20,Parámetros!$A$12:$A$20))*LOOKUP(D20,Parámetros!$A$12:$A$20,Parámetros!$C$12:$C$20)/100)</f>
        <v/>
      </c>
    </row>
    <row r="22">
      <c r="A22" t="inlineStr">
        <is>
          <t>Impuesto con deducciones</t>
        </is>
      </c>
      <c r="D22" s="9">
        <f>(LOOKUP(MAX(0,D20-D18),Parámetros!$A$12:$A$20,Parámetros!$B$12:$B$20)+(MAX(0,D20-D18)-LOOKUP(MAX(0,D20-D18),Parámetros!$A$12:$A$20,Parámetros!$A$12:$A$20))*LOOKUP(MAX(0,D20-D18),Parámetros!$A$12:$A$20,Parámetros!$C$12:$C$20)/100)</f>
        <v/>
      </c>
    </row>
    <row r="23">
      <c r="A23" s="10" t="inlineStr">
        <is>
          <t>AHORRO ESTIMADO DE GANANCIAS</t>
        </is>
      </c>
      <c r="D23" s="9">
        <f>D21-D22</f>
        <v/>
      </c>
    </row>
    <row r="25">
      <c r="A25" t="inlineStr">
        <is>
          <t>Comprobantes cargados / pendientes de cargar en SIRADIG</t>
        </is>
      </c>
      <c r="D25">
        <f>COUNTIF(Comprobantes!G5:G204,"SI")&amp;" / "&amp;COUNTIF(Comprobantes!G5:G204,"NO")</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20" customWidth="1" min="1" max="1"/>
  </cols>
  <sheetData>
    <row r="1">
      <c r="A1" s="1" t="inlineStr">
        <is>
          <t>Guía de carga en SIRADIG</t>
        </is>
      </c>
    </row>
    <row r="2">
      <c r="A2" s="2" t="inlineStr">
        <is>
          <t>Formulario 572 web de ARCA</t>
        </is>
      </c>
    </row>
    <row r="4">
      <c r="A4" t="inlineStr">
        <is>
          <t>1. Entrá a arca.gob.ar con tu CUIT y Clave Fiscal.</t>
        </is>
      </c>
    </row>
    <row r="5">
      <c r="A5" t="inlineStr">
        <is>
          <t>2. Abrí el servicio SIRADIG - Trabajador.</t>
        </is>
      </c>
    </row>
    <row r="6">
      <c r="A6" t="inlineStr">
        <is>
          <t>3. Creá el formulario 572 web del período (o editá el que ya tenés).</t>
        </is>
      </c>
    </row>
    <row r="7">
      <c r="A7" t="inlineStr">
        <is>
          <t>4. Cargá cada deducción: elegí el tipo (alquiler, gastos médicos, servicio doméstico, etc.), el CUIT del proveedor, el mes, el número de comprobante y el monto.</t>
        </is>
      </c>
    </row>
    <row r="8">
      <c r="A8" t="inlineStr">
        <is>
          <t>5. Controlá contra la pestaña 'Comprobantes' que no falte ninguno y marcá SI en 'Cargado en SIRADIG'.</t>
        </is>
      </c>
    </row>
    <row r="9">
      <c r="A9" t="inlineStr">
        <is>
          <t>6. Enviá el formulario: tu empleador lo toma para ajustar la retención.</t>
        </is>
      </c>
    </row>
    <row r="10">
      <c r="A10" t="inlineStr">
        <is>
          <t>7. Guardá los comprobantes: ARCA puede pedirlos si se controla la declaración.</t>
        </is>
      </c>
    </row>
    <row r="11">
      <c r="A11" t="inlineStr"/>
    </row>
    <row r="12">
      <c r="A12" t="inlineStr">
        <is>
          <t>El plazo de carga vence el 31 de marzo del año siguiente (ARCA). Si ARCA lo prorroga, rige la nueva fecha.</t>
        </is>
      </c>
    </row>
    <row r="13">
      <c r="A13" t="inlineStr">
        <is>
          <t>Los requisitos de cada deducción (por ejemplo, alquiler declarado, médicos con factura a tu nombre) pueden cambiar: verificalos en ARCA.</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2026-10-25T02:06:56Z</dcterms:created>
  <dcterms:modified xmlns:dcterms="http://purl.org/dc/terms/" xmlns:xsi="http://www.w3.org/2001/XMLSchema-instance" xsi:type="dcterms:W3CDTF">2026-10-25T02:06:56Z</dcterms:modified>
</cp:coreProperties>
</file>