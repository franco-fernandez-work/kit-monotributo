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icio" sheetId="1" state="visible" r:id="rId1"/>
    <sheet xmlns:r="http://schemas.openxmlformats.org/officeDocument/2006/relationships" name="Parámetros" sheetId="2" state="visible" r:id="rId2"/>
    <sheet xmlns:r="http://schemas.openxmlformats.org/officeDocument/2006/relationships" name="Productos" sheetId="3" state="visible" r:id="rId3"/>
    <sheet xmlns:r="http://schemas.openxmlformats.org/officeDocument/2006/relationships" name="Ventas" sheetId="4" state="visible" r:id="rId4"/>
    <sheet xmlns:r="http://schemas.openxmlformats.org/officeDocument/2006/relationships" name="Resumen" sheetId="5" state="visible" r:id="rId5"/>
  </sheets>
  <definedNames/>
  <calcPr calcId="124519" fullCalcOnLoad="1"/>
</workbook>
</file>

<file path=xl/styles.xml><?xml version="1.0" encoding="utf-8"?>
<styleSheet xmlns="http://schemas.openxmlformats.org/spreadsheetml/2006/main">
  <numFmts count="3">
    <numFmt numFmtId="164" formatCode="&quot;$&quot; #,##0"/>
    <numFmt numFmtId="165" formatCode="0.0%"/>
    <numFmt numFmtId="166" formatCode="dd/mm/yyyy"/>
  </numFmts>
  <fonts count="8">
    <font>
      <name val="Calibri"/>
      <family val="2"/>
      <color theme="1"/>
      <sz val="11"/>
      <scheme val="minor"/>
    </font>
    <font>
      <b val="1"/>
      <color rgb="001F4E79"/>
      <sz val="16"/>
    </font>
    <font>
      <i val="1"/>
      <color rgb="00595959"/>
    </font>
    <font>
      <b val="1"/>
      <color rgb="001F4E79"/>
      <sz val="12"/>
    </font>
    <font>
      <b val="1"/>
    </font>
    <font>
      <b val="1"/>
      <color rgb="00FFFFFF"/>
    </font>
    <font/>
    <font>
      <b val="1"/>
      <sz val="12"/>
    </font>
  </fonts>
  <fills count="5">
    <fill>
      <patternFill/>
    </fill>
    <fill>
      <patternFill patternType="gray125"/>
    </fill>
    <fill>
      <patternFill patternType="solid">
        <fgColor rgb="00FFF2CC"/>
      </patternFill>
    </fill>
    <fill>
      <patternFill patternType="solid">
        <fgColor rgb="001F4E79"/>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164" fontId="0" fillId="2" borderId="1" pivotButton="0" quotePrefix="0" xfId="0"/>
    <xf numFmtId="0" fontId="5" fillId="3" borderId="1" applyAlignment="1" pivotButton="0" quotePrefix="0" xfId="0">
      <alignment horizontal="center" vertical="center" wrapText="1"/>
    </xf>
    <xf numFmtId="0" fontId="0" fillId="2" borderId="1" pivotButton="0" quotePrefix="0" xfId="0"/>
    <xf numFmtId="165" fontId="0" fillId="2" borderId="1" pivotButton="0" quotePrefix="0" xfId="0"/>
    <xf numFmtId="164" fontId="0" fillId="4" borderId="1" pivotButton="0" quotePrefix="0" xfId="0"/>
    <xf numFmtId="9" fontId="0" fillId="4" borderId="1" pivotButton="0" quotePrefix="0" xfId="0"/>
    <xf numFmtId="1" fontId="0" fillId="4" borderId="1" pivotButton="0" quotePrefix="0" xfId="0"/>
    <xf numFmtId="0" fontId="0" fillId="4" borderId="1" applyAlignment="1" pivotButton="0" quotePrefix="0" xfId="0">
      <alignment horizontal="center"/>
    </xf>
    <xf numFmtId="166" fontId="0" fillId="2" borderId="1" pivotButton="0" quotePrefix="0" xfId="0"/>
    <xf numFmtId="1" fontId="0" fillId="2" borderId="1" pivotButton="0" quotePrefix="0" xfId="0"/>
    <xf numFmtId="0" fontId="6" fillId="0" borderId="0" pivotButton="0" quotePrefix="0" xfId="0"/>
    <xf numFmtId="164" fontId="7" fillId="4" borderId="1" pivotButton="0" quotePrefix="0" xfId="0"/>
    <xf numFmtId="0" fontId="0" fillId="4" borderId="1" pivotButton="0" quotePrefix="0" xfId="0"/>
  </cellXfs>
  <cellStyles count="1">
    <cellStyle name="Normal" xfId="0" builtinId="0" hidden="0"/>
  </cellStyles>
  <dxfs count="2">
    <dxf>
      <font>
        <b val="1"/>
      </font>
      <fill>
        <patternFill patternType="solid">
          <fgColor rgb="00FFD966"/>
        </patternFill>
      </fill>
    </dxf>
    <dxf>
      <font>
        <b val="1"/>
      </font>
      <fill>
        <patternFill patternType="solid">
          <fgColor rgb="00F4B08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20" customWidth="1" min="1" max="1"/>
  </cols>
  <sheetData>
    <row r="1">
      <c r="A1" s="1" t="inlineStr">
        <is>
          <t>Stock, costos y ventas para la temporada</t>
        </is>
      </c>
    </row>
    <row r="2">
      <c r="A2" s="2" t="inlineStr">
        <is>
          <t>Para saber cuánto ganás de verdad, qué reponer y cuánta plata tenés parada en mercadería. Excel y Google Sheets.</t>
        </is>
      </c>
    </row>
    <row r="4">
      <c r="A4" s="3" t="inlineStr">
        <is>
          <t>CÓMO USARLA</t>
        </is>
      </c>
    </row>
    <row r="5">
      <c r="A5" t="inlineStr">
        <is>
          <t>1. Pestaña 'Parámetros': cargá tus costos fijos del período (puesto, internet, cuota de monotributo, packaging) y tu meta de ganancia.</t>
        </is>
      </c>
    </row>
    <row r="6">
      <c r="A6" t="inlineStr">
        <is>
          <t>2. Pestaña 'Productos': una fila por producto con lo que te cuesta, a cuánto lo vendés, el % de comisión y envío, el stock que compraste y tu stock mínimo. El margen se calcula solo.</t>
        </is>
      </c>
    </row>
    <row r="7">
      <c r="A7" t="inlineStr">
        <is>
          <t>3. Pestaña 'Ventas': una fila por venta (fecha, producto, cantidad). Elegí el producto de la lista. Si vendiste a otro precio, escribilo en 'Precio real'.</t>
        </is>
      </c>
    </row>
    <row r="8">
      <c r="A8" t="inlineStr">
        <is>
          <t>4. De vuelta en 'Productos' ves cuántas unidades vendiste, cuánto stock te queda y el aviso REPONER cuando llegás al mínimo.</t>
        </is>
      </c>
    </row>
    <row r="9">
      <c r="A9" t="inlineStr">
        <is>
          <t>5. Pestaña 'Resumen': ingresos, costo de la mercadería vendida, comisiones, ganancia neta, plata parada en stock y producto más rentable.</t>
        </is>
      </c>
    </row>
    <row r="10">
      <c r="A10" t="inlineStr"/>
    </row>
    <row r="11">
      <c r="A11" t="inlineStr">
        <is>
          <t>Celdas amarillas = las cargás vos. Celdas celestes = se calculan solas. Los productos de ejemplo son referencia: pisalos con los tuyos (hasta 40 productos y 500 ventas).</t>
        </is>
      </c>
    </row>
    <row r="12">
      <c r="A12" t="inlineStr">
        <is>
          <t>El % de comisión y envío lo calculás vos como porcentaje del precio (por ejemplo: la comisión de la plataforma de cobro o de la tienda online, más lo que absorbés de envío).</t>
        </is>
      </c>
    </row>
    <row r="13">
      <c r="A13" t="inlineStr"/>
    </row>
    <row r="14">
      <c r="A14" s="3" t="inlineStr">
        <is>
          <t>AVISO</t>
        </is>
      </c>
    </row>
    <row r="15">
      <c r="A15" t="inlineStr">
        <is>
          <t>Herramienta de cálculo orientativa. No es asesoramiento contable ni impositivo. No incluye impuestos: consultá con tu contador. Para uso propio, prohibida su reventa.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46" customWidth="1" min="1" max="1"/>
    <col width="18" customWidth="1" min="2" max="2"/>
  </cols>
  <sheetData>
    <row r="1">
      <c r="A1" s="1" t="inlineStr">
        <is>
          <t>Parámetros</t>
        </is>
      </c>
    </row>
    <row r="2">
      <c r="A2" s="2" t="inlineStr">
        <is>
          <t>Costos fijos del período y meta</t>
        </is>
      </c>
    </row>
    <row r="4">
      <c r="A4" s="4" t="inlineStr">
        <is>
          <t>Costos fijos del período (puesto, internet, monotributo, packaging)</t>
        </is>
      </c>
      <c r="B4" s="5" t="n">
        <v>150000</v>
      </c>
    </row>
    <row r="5">
      <c r="A5" s="4" t="inlineStr">
        <is>
          <t>Meta de ganancia neta del período</t>
        </is>
      </c>
      <c r="B5" s="5" t="n">
        <v>400000</v>
      </c>
    </row>
    <row r="7">
      <c r="A7" s="2" t="inlineStr">
        <is>
          <t>Los costos fijos se pagan venda lo que venda. El Resumen los descuenta de la ganancia bruta.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4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0" customWidth="1" min="1" max="1"/>
    <col width="14" customWidth="1" min="2" max="2"/>
    <col width="14" customWidth="1" min="3" max="3"/>
    <col width="16" customWidth="1" min="4" max="4"/>
    <col width="12" customWidth="1" min="5" max="5"/>
    <col width="12" customWidth="1" min="6" max="6"/>
    <col width="14" customWidth="1" min="7" max="7"/>
    <col width="10" customWidth="1" min="8" max="8"/>
    <col width="12" customWidth="1" min="9" max="9"/>
    <col width="11" customWidth="1" min="10" max="10"/>
    <col width="12" customWidth="1" min="11" max="11"/>
    <col width="16" customWidth="1" min="12" max="12"/>
  </cols>
  <sheetData>
    <row r="1">
      <c r="A1" s="1" t="inlineStr">
        <is>
          <t>Productos y stock</t>
        </is>
      </c>
    </row>
    <row r="2">
      <c r="A2" s="2" t="inlineStr">
        <is>
          <t>Costo, precio, stock inicial y mínimo; el resto se calcula</t>
        </is>
      </c>
    </row>
    <row r="4" ht="32" customHeight="1">
      <c r="A4" s="6" t="inlineStr">
        <is>
          <t>Producto</t>
        </is>
      </c>
      <c r="B4" s="6" t="inlineStr">
        <is>
          <t>Costo unitario</t>
        </is>
      </c>
      <c r="C4" s="6" t="inlineStr">
        <is>
          <t>Precio de venta</t>
        </is>
      </c>
      <c r="D4" s="6" t="inlineStr">
        <is>
          <t>Comisión y envío (% del precio)</t>
        </is>
      </c>
      <c r="E4" s="6" t="inlineStr">
        <is>
          <t>Stock comprado</t>
        </is>
      </c>
      <c r="F4" s="6" t="inlineStr">
        <is>
          <t>Stock mínimo (aviso)</t>
        </is>
      </c>
      <c r="G4" s="6" t="inlineStr">
        <is>
          <t>Margen $ por unidad</t>
        </is>
      </c>
      <c r="H4" s="6" t="inlineStr">
        <is>
          <t>Margen %</t>
        </is>
      </c>
      <c r="I4" s="6" t="inlineStr">
        <is>
          <t>Unidades vendidas</t>
        </is>
      </c>
      <c r="J4" s="6" t="inlineStr">
        <is>
          <t>Stock actual</t>
        </is>
      </c>
      <c r="K4" s="6" t="inlineStr">
        <is>
          <t>Estado</t>
        </is>
      </c>
      <c r="L4" s="6" t="inlineStr">
        <is>
          <t>Ganancia del producto</t>
        </is>
      </c>
    </row>
    <row r="5">
      <c r="A5" s="7" t="inlineStr">
        <is>
          <t>Vela aromática</t>
        </is>
      </c>
      <c r="B5" s="5" t="n">
        <v>3500</v>
      </c>
      <c r="C5" s="5" t="n">
        <v>8500</v>
      </c>
      <c r="D5" s="8" t="n">
        <v>0.05</v>
      </c>
      <c r="E5" s="7" t="n">
        <v>60</v>
      </c>
      <c r="F5" s="7" t="n">
        <v>10</v>
      </c>
      <c r="G5" s="9">
        <f>IF(A5="","",C5-B5-C5*D5)</f>
        <v/>
      </c>
      <c r="H5" s="10">
        <f>IF(OR(A5="",C5=0),"",G5/C5)</f>
        <v/>
      </c>
      <c r="I5" s="11">
        <f>IF(A5="","",SUMIF(Ventas!$B$5:$B$504,A5,Ventas!$C$5:$C$504))</f>
        <v/>
      </c>
      <c r="J5" s="11">
        <f>IF(A5="","",E5-I5)</f>
        <v/>
      </c>
      <c r="K5" s="12">
        <f>IF(A5="","",IF(J5&lt;=0,"SIN STOCK",IF(J5&lt;=F5,"REPONER","OK")))</f>
        <v/>
      </c>
      <c r="L5" s="9">
        <f>IF(A5="","",G5*I5)</f>
        <v/>
      </c>
    </row>
    <row r="6">
      <c r="A6" s="7" t="inlineStr">
        <is>
          <t>Caja de alfajores x6</t>
        </is>
      </c>
      <c r="B6" s="5" t="n">
        <v>4200</v>
      </c>
      <c r="C6" s="5" t="n">
        <v>9000</v>
      </c>
      <c r="D6" s="8" t="n">
        <v>0.05</v>
      </c>
      <c r="E6" s="7" t="n">
        <v>80</v>
      </c>
      <c r="F6" s="7" t="n">
        <v>15</v>
      </c>
      <c r="G6" s="9">
        <f>IF(A6="","",C6-B6-C6*D6)</f>
        <v/>
      </c>
      <c r="H6" s="10">
        <f>IF(OR(A6="",C6=0),"",G6/C6)</f>
        <v/>
      </c>
      <c r="I6" s="11">
        <f>IF(A6="","",SUMIF(Ventas!$B$5:$B$504,A6,Ventas!$C$5:$C$504))</f>
        <v/>
      </c>
      <c r="J6" s="11">
        <f>IF(A6="","",E6-I6)</f>
        <v/>
      </c>
      <c r="K6" s="12">
        <f>IF(A6="","",IF(J6&lt;=0,"SIN STOCK",IF(J6&lt;=F6,"REPONER","OK")))</f>
        <v/>
      </c>
      <c r="L6" s="9">
        <f>IF(A6="","",G6*I6)</f>
        <v/>
      </c>
    </row>
    <row r="7">
      <c r="A7" s="7" t="inlineStr">
        <is>
          <t>Cuadro decorativo</t>
        </is>
      </c>
      <c r="B7" s="5" t="n">
        <v>6000</v>
      </c>
      <c r="C7" s="5" t="n">
        <v>15000</v>
      </c>
      <c r="D7" s="8" t="n">
        <v>0.08</v>
      </c>
      <c r="E7" s="7" t="n">
        <v>30</v>
      </c>
      <c r="F7" s="7" t="n">
        <v>5</v>
      </c>
      <c r="G7" s="9">
        <f>IF(A7="","",C7-B7-C7*D7)</f>
        <v/>
      </c>
      <c r="H7" s="10">
        <f>IF(OR(A7="",C7=0),"",G7/C7)</f>
        <v/>
      </c>
      <c r="I7" s="11">
        <f>IF(A7="","",SUMIF(Ventas!$B$5:$B$504,A7,Ventas!$C$5:$C$504))</f>
        <v/>
      </c>
      <c r="J7" s="11">
        <f>IF(A7="","",E7-I7)</f>
        <v/>
      </c>
      <c r="K7" s="12">
        <f>IF(A7="","",IF(J7&lt;=0,"SIN STOCK",IF(J7&lt;=F7,"REPONER","OK")))</f>
        <v/>
      </c>
      <c r="L7" s="9">
        <f>IF(A7="","",G7*I7)</f>
        <v/>
      </c>
    </row>
    <row r="8">
      <c r="A8" s="7" t="inlineStr">
        <is>
          <t>Pulsera artesanal</t>
        </is>
      </c>
      <c r="B8" s="5" t="n">
        <v>1500</v>
      </c>
      <c r="C8" s="5" t="n">
        <v>4500</v>
      </c>
      <c r="D8" s="8" t="n">
        <v>0.05</v>
      </c>
      <c r="E8" s="7" t="n">
        <v>100</v>
      </c>
      <c r="F8" s="7" t="n">
        <v>20</v>
      </c>
      <c r="G8" s="9">
        <f>IF(A8="","",C8-B8-C8*D8)</f>
        <v/>
      </c>
      <c r="H8" s="10">
        <f>IF(OR(A8="",C8=0),"",G8/C8)</f>
        <v/>
      </c>
      <c r="I8" s="11">
        <f>IF(A8="","",SUMIF(Ventas!$B$5:$B$504,A8,Ventas!$C$5:$C$504))</f>
        <v/>
      </c>
      <c r="J8" s="11">
        <f>IF(A8="","",E8-I8)</f>
        <v/>
      </c>
      <c r="K8" s="12">
        <f>IF(A8="","",IF(J8&lt;=0,"SIN STOCK",IF(J8&lt;=F8,"REPONER","OK")))</f>
        <v/>
      </c>
      <c r="L8" s="9">
        <f>IF(A8="","",G8*I8)</f>
        <v/>
      </c>
    </row>
    <row r="9">
      <c r="A9" s="7" t="inlineStr">
        <is>
          <t>Set de cuadernos</t>
        </is>
      </c>
      <c r="B9" s="5" t="n">
        <v>5200</v>
      </c>
      <c r="C9" s="5" t="n">
        <v>12000</v>
      </c>
      <c r="D9" s="8" t="n">
        <v>0.05</v>
      </c>
      <c r="E9" s="7" t="n">
        <v>40</v>
      </c>
      <c r="F9" s="7" t="n">
        <v>8</v>
      </c>
      <c r="G9" s="9">
        <f>IF(A9="","",C9-B9-C9*D9)</f>
        <v/>
      </c>
      <c r="H9" s="10">
        <f>IF(OR(A9="",C9=0),"",G9/C9)</f>
        <v/>
      </c>
      <c r="I9" s="11">
        <f>IF(A9="","",SUMIF(Ventas!$B$5:$B$504,A9,Ventas!$C$5:$C$504))</f>
        <v/>
      </c>
      <c r="J9" s="11">
        <f>IF(A9="","",E9-I9)</f>
        <v/>
      </c>
      <c r="K9" s="12">
        <f>IF(A9="","",IF(J9&lt;=0,"SIN STOCK",IF(J9&lt;=F9,"REPONER","OK")))</f>
        <v/>
      </c>
      <c r="L9" s="9">
        <f>IF(A9="","",G9*I9)</f>
        <v/>
      </c>
    </row>
    <row r="10">
      <c r="A10" s="7" t="n"/>
      <c r="B10" s="5" t="n"/>
      <c r="C10" s="5" t="n"/>
      <c r="D10" s="8" t="n"/>
      <c r="E10" s="7" t="n"/>
      <c r="F10" s="7" t="n"/>
      <c r="G10" s="9">
        <f>IF(A10="","",C10-B10-C10*D10)</f>
        <v/>
      </c>
      <c r="H10" s="10">
        <f>IF(OR(A10="",C10=0),"",G10/C10)</f>
        <v/>
      </c>
      <c r="I10" s="11">
        <f>IF(A10="","",SUMIF(Ventas!$B$5:$B$504,A10,Ventas!$C$5:$C$504))</f>
        <v/>
      </c>
      <c r="J10" s="11">
        <f>IF(A10="","",E10-I10)</f>
        <v/>
      </c>
      <c r="K10" s="12">
        <f>IF(A10="","",IF(J10&lt;=0,"SIN STOCK",IF(J10&lt;=F10,"REPONER","OK")))</f>
        <v/>
      </c>
      <c r="L10" s="9">
        <f>IF(A10="","",G10*I10)</f>
        <v/>
      </c>
    </row>
    <row r="11">
      <c r="A11" s="7" t="n"/>
      <c r="B11" s="5" t="n"/>
      <c r="C11" s="5" t="n"/>
      <c r="D11" s="8" t="n"/>
      <c r="E11" s="7" t="n"/>
      <c r="F11" s="7" t="n"/>
      <c r="G11" s="9">
        <f>IF(A11="","",C11-B11-C11*D11)</f>
        <v/>
      </c>
      <c r="H11" s="10">
        <f>IF(OR(A11="",C11=0),"",G11/C11)</f>
        <v/>
      </c>
      <c r="I11" s="11">
        <f>IF(A11="","",SUMIF(Ventas!$B$5:$B$504,A11,Ventas!$C$5:$C$504))</f>
        <v/>
      </c>
      <c r="J11" s="11">
        <f>IF(A11="","",E11-I11)</f>
        <v/>
      </c>
      <c r="K11" s="12">
        <f>IF(A11="","",IF(J11&lt;=0,"SIN STOCK",IF(J11&lt;=F11,"REPONER","OK")))</f>
        <v/>
      </c>
      <c r="L11" s="9">
        <f>IF(A11="","",G11*I11)</f>
        <v/>
      </c>
    </row>
    <row r="12">
      <c r="A12" s="7" t="n"/>
      <c r="B12" s="5" t="n"/>
      <c r="C12" s="5" t="n"/>
      <c r="D12" s="8" t="n"/>
      <c r="E12" s="7" t="n"/>
      <c r="F12" s="7" t="n"/>
      <c r="G12" s="9">
        <f>IF(A12="","",C12-B12-C12*D12)</f>
        <v/>
      </c>
      <c r="H12" s="10">
        <f>IF(OR(A12="",C12=0),"",G12/C12)</f>
        <v/>
      </c>
      <c r="I12" s="11">
        <f>IF(A12="","",SUMIF(Ventas!$B$5:$B$504,A12,Ventas!$C$5:$C$504))</f>
        <v/>
      </c>
      <c r="J12" s="11">
        <f>IF(A12="","",E12-I12)</f>
        <v/>
      </c>
      <c r="K12" s="12">
        <f>IF(A12="","",IF(J12&lt;=0,"SIN STOCK",IF(J12&lt;=F12,"REPONER","OK")))</f>
        <v/>
      </c>
      <c r="L12" s="9">
        <f>IF(A12="","",G12*I12)</f>
        <v/>
      </c>
    </row>
    <row r="13">
      <c r="A13" s="7" t="n"/>
      <c r="B13" s="5" t="n"/>
      <c r="C13" s="5" t="n"/>
      <c r="D13" s="8" t="n"/>
      <c r="E13" s="7" t="n"/>
      <c r="F13" s="7" t="n"/>
      <c r="G13" s="9">
        <f>IF(A13="","",C13-B13-C13*D13)</f>
        <v/>
      </c>
      <c r="H13" s="10">
        <f>IF(OR(A13="",C13=0),"",G13/C13)</f>
        <v/>
      </c>
      <c r="I13" s="11">
        <f>IF(A13="","",SUMIF(Ventas!$B$5:$B$504,A13,Ventas!$C$5:$C$504))</f>
        <v/>
      </c>
      <c r="J13" s="11">
        <f>IF(A13="","",E13-I13)</f>
        <v/>
      </c>
      <c r="K13" s="12">
        <f>IF(A13="","",IF(J13&lt;=0,"SIN STOCK",IF(J13&lt;=F13,"REPONER","OK")))</f>
        <v/>
      </c>
      <c r="L13" s="9">
        <f>IF(A13="","",G13*I13)</f>
        <v/>
      </c>
    </row>
    <row r="14">
      <c r="A14" s="7" t="n"/>
      <c r="B14" s="5" t="n"/>
      <c r="C14" s="5" t="n"/>
      <c r="D14" s="8" t="n"/>
      <c r="E14" s="7" t="n"/>
      <c r="F14" s="7" t="n"/>
      <c r="G14" s="9">
        <f>IF(A14="","",C14-B14-C14*D14)</f>
        <v/>
      </c>
      <c r="H14" s="10">
        <f>IF(OR(A14="",C14=0),"",G14/C14)</f>
        <v/>
      </c>
      <c r="I14" s="11">
        <f>IF(A14="","",SUMIF(Ventas!$B$5:$B$504,A14,Ventas!$C$5:$C$504))</f>
        <v/>
      </c>
      <c r="J14" s="11">
        <f>IF(A14="","",E14-I14)</f>
        <v/>
      </c>
      <c r="K14" s="12">
        <f>IF(A14="","",IF(J14&lt;=0,"SIN STOCK",IF(J14&lt;=F14,"REPONER","OK")))</f>
        <v/>
      </c>
      <c r="L14" s="9">
        <f>IF(A14="","",G14*I14)</f>
        <v/>
      </c>
    </row>
    <row r="15">
      <c r="A15" s="7" t="n"/>
      <c r="B15" s="5" t="n"/>
      <c r="C15" s="5" t="n"/>
      <c r="D15" s="8" t="n"/>
      <c r="E15" s="7" t="n"/>
      <c r="F15" s="7" t="n"/>
      <c r="G15" s="9">
        <f>IF(A15="","",C15-B15-C15*D15)</f>
        <v/>
      </c>
      <c r="H15" s="10">
        <f>IF(OR(A15="",C15=0),"",G15/C15)</f>
        <v/>
      </c>
      <c r="I15" s="11">
        <f>IF(A15="","",SUMIF(Ventas!$B$5:$B$504,A15,Ventas!$C$5:$C$504))</f>
        <v/>
      </c>
      <c r="J15" s="11">
        <f>IF(A15="","",E15-I15)</f>
        <v/>
      </c>
      <c r="K15" s="12">
        <f>IF(A15="","",IF(J15&lt;=0,"SIN STOCK",IF(J15&lt;=F15,"REPONER","OK")))</f>
        <v/>
      </c>
      <c r="L15" s="9">
        <f>IF(A15="","",G15*I15)</f>
        <v/>
      </c>
    </row>
    <row r="16">
      <c r="A16" s="7" t="n"/>
      <c r="B16" s="5" t="n"/>
      <c r="C16" s="5" t="n"/>
      <c r="D16" s="8" t="n"/>
      <c r="E16" s="7" t="n"/>
      <c r="F16" s="7" t="n"/>
      <c r="G16" s="9">
        <f>IF(A16="","",C16-B16-C16*D16)</f>
        <v/>
      </c>
      <c r="H16" s="10">
        <f>IF(OR(A16="",C16=0),"",G16/C16)</f>
        <v/>
      </c>
      <c r="I16" s="11">
        <f>IF(A16="","",SUMIF(Ventas!$B$5:$B$504,A16,Ventas!$C$5:$C$504))</f>
        <v/>
      </c>
      <c r="J16" s="11">
        <f>IF(A16="","",E16-I16)</f>
        <v/>
      </c>
      <c r="K16" s="12">
        <f>IF(A16="","",IF(J16&lt;=0,"SIN STOCK",IF(J16&lt;=F16,"REPONER","OK")))</f>
        <v/>
      </c>
      <c r="L16" s="9">
        <f>IF(A16="","",G16*I16)</f>
        <v/>
      </c>
    </row>
    <row r="17">
      <c r="A17" s="7" t="n"/>
      <c r="B17" s="5" t="n"/>
      <c r="C17" s="5" t="n"/>
      <c r="D17" s="8" t="n"/>
      <c r="E17" s="7" t="n"/>
      <c r="F17" s="7" t="n"/>
      <c r="G17" s="9">
        <f>IF(A17="","",C17-B17-C17*D17)</f>
        <v/>
      </c>
      <c r="H17" s="10">
        <f>IF(OR(A17="",C17=0),"",G17/C17)</f>
        <v/>
      </c>
      <c r="I17" s="11">
        <f>IF(A17="","",SUMIF(Ventas!$B$5:$B$504,A17,Ventas!$C$5:$C$504))</f>
        <v/>
      </c>
      <c r="J17" s="11">
        <f>IF(A17="","",E17-I17)</f>
        <v/>
      </c>
      <c r="K17" s="12">
        <f>IF(A17="","",IF(J17&lt;=0,"SIN STOCK",IF(J17&lt;=F17,"REPONER","OK")))</f>
        <v/>
      </c>
      <c r="L17" s="9">
        <f>IF(A17="","",G17*I17)</f>
        <v/>
      </c>
    </row>
    <row r="18">
      <c r="A18" s="7" t="n"/>
      <c r="B18" s="5" t="n"/>
      <c r="C18" s="5" t="n"/>
      <c r="D18" s="8" t="n"/>
      <c r="E18" s="7" t="n"/>
      <c r="F18" s="7" t="n"/>
      <c r="G18" s="9">
        <f>IF(A18="","",C18-B18-C18*D18)</f>
        <v/>
      </c>
      <c r="H18" s="10">
        <f>IF(OR(A18="",C18=0),"",G18/C18)</f>
        <v/>
      </c>
      <c r="I18" s="11">
        <f>IF(A18="","",SUMIF(Ventas!$B$5:$B$504,A18,Ventas!$C$5:$C$504))</f>
        <v/>
      </c>
      <c r="J18" s="11">
        <f>IF(A18="","",E18-I18)</f>
        <v/>
      </c>
      <c r="K18" s="12">
        <f>IF(A18="","",IF(J18&lt;=0,"SIN STOCK",IF(J18&lt;=F18,"REPONER","OK")))</f>
        <v/>
      </c>
      <c r="L18" s="9">
        <f>IF(A18="","",G18*I18)</f>
        <v/>
      </c>
    </row>
    <row r="19">
      <c r="A19" s="7" t="n"/>
      <c r="B19" s="5" t="n"/>
      <c r="C19" s="5" t="n"/>
      <c r="D19" s="8" t="n"/>
      <c r="E19" s="7" t="n"/>
      <c r="F19" s="7" t="n"/>
      <c r="G19" s="9">
        <f>IF(A19="","",C19-B19-C19*D19)</f>
        <v/>
      </c>
      <c r="H19" s="10">
        <f>IF(OR(A19="",C19=0),"",G19/C19)</f>
        <v/>
      </c>
      <c r="I19" s="11">
        <f>IF(A19="","",SUMIF(Ventas!$B$5:$B$504,A19,Ventas!$C$5:$C$504))</f>
        <v/>
      </c>
      <c r="J19" s="11">
        <f>IF(A19="","",E19-I19)</f>
        <v/>
      </c>
      <c r="K19" s="12">
        <f>IF(A19="","",IF(J19&lt;=0,"SIN STOCK",IF(J19&lt;=F19,"REPONER","OK")))</f>
        <v/>
      </c>
      <c r="L19" s="9">
        <f>IF(A19="","",G19*I19)</f>
        <v/>
      </c>
    </row>
    <row r="20">
      <c r="A20" s="7" t="n"/>
      <c r="B20" s="5" t="n"/>
      <c r="C20" s="5" t="n"/>
      <c r="D20" s="8" t="n"/>
      <c r="E20" s="7" t="n"/>
      <c r="F20" s="7" t="n"/>
      <c r="G20" s="9">
        <f>IF(A20="","",C20-B20-C20*D20)</f>
        <v/>
      </c>
      <c r="H20" s="10">
        <f>IF(OR(A20="",C20=0),"",G20/C20)</f>
        <v/>
      </c>
      <c r="I20" s="11">
        <f>IF(A20="","",SUMIF(Ventas!$B$5:$B$504,A20,Ventas!$C$5:$C$504))</f>
        <v/>
      </c>
      <c r="J20" s="11">
        <f>IF(A20="","",E20-I20)</f>
        <v/>
      </c>
      <c r="K20" s="12">
        <f>IF(A20="","",IF(J20&lt;=0,"SIN STOCK",IF(J20&lt;=F20,"REPONER","OK")))</f>
        <v/>
      </c>
      <c r="L20" s="9">
        <f>IF(A20="","",G20*I20)</f>
        <v/>
      </c>
    </row>
    <row r="21">
      <c r="A21" s="7" t="n"/>
      <c r="B21" s="5" t="n"/>
      <c r="C21" s="5" t="n"/>
      <c r="D21" s="8" t="n"/>
      <c r="E21" s="7" t="n"/>
      <c r="F21" s="7" t="n"/>
      <c r="G21" s="9">
        <f>IF(A21="","",C21-B21-C21*D21)</f>
        <v/>
      </c>
      <c r="H21" s="10">
        <f>IF(OR(A21="",C21=0),"",G21/C21)</f>
        <v/>
      </c>
      <c r="I21" s="11">
        <f>IF(A21="","",SUMIF(Ventas!$B$5:$B$504,A21,Ventas!$C$5:$C$504))</f>
        <v/>
      </c>
      <c r="J21" s="11">
        <f>IF(A21="","",E21-I21)</f>
        <v/>
      </c>
      <c r="K21" s="12">
        <f>IF(A21="","",IF(J21&lt;=0,"SIN STOCK",IF(J21&lt;=F21,"REPONER","OK")))</f>
        <v/>
      </c>
      <c r="L21" s="9">
        <f>IF(A21="","",G21*I21)</f>
        <v/>
      </c>
    </row>
    <row r="22">
      <c r="A22" s="7" t="n"/>
      <c r="B22" s="5" t="n"/>
      <c r="C22" s="5" t="n"/>
      <c r="D22" s="8" t="n"/>
      <c r="E22" s="7" t="n"/>
      <c r="F22" s="7" t="n"/>
      <c r="G22" s="9">
        <f>IF(A22="","",C22-B22-C22*D22)</f>
        <v/>
      </c>
      <c r="H22" s="10">
        <f>IF(OR(A22="",C22=0),"",G22/C22)</f>
        <v/>
      </c>
      <c r="I22" s="11">
        <f>IF(A22="","",SUMIF(Ventas!$B$5:$B$504,A22,Ventas!$C$5:$C$504))</f>
        <v/>
      </c>
      <c r="J22" s="11">
        <f>IF(A22="","",E22-I22)</f>
        <v/>
      </c>
      <c r="K22" s="12">
        <f>IF(A22="","",IF(J22&lt;=0,"SIN STOCK",IF(J22&lt;=F22,"REPONER","OK")))</f>
        <v/>
      </c>
      <c r="L22" s="9">
        <f>IF(A22="","",G22*I22)</f>
        <v/>
      </c>
    </row>
    <row r="23">
      <c r="A23" s="7" t="n"/>
      <c r="B23" s="5" t="n"/>
      <c r="C23" s="5" t="n"/>
      <c r="D23" s="8" t="n"/>
      <c r="E23" s="7" t="n"/>
      <c r="F23" s="7" t="n"/>
      <c r="G23" s="9">
        <f>IF(A23="","",C23-B23-C23*D23)</f>
        <v/>
      </c>
      <c r="H23" s="10">
        <f>IF(OR(A23="",C23=0),"",G23/C23)</f>
        <v/>
      </c>
      <c r="I23" s="11">
        <f>IF(A23="","",SUMIF(Ventas!$B$5:$B$504,A23,Ventas!$C$5:$C$504))</f>
        <v/>
      </c>
      <c r="J23" s="11">
        <f>IF(A23="","",E23-I23)</f>
        <v/>
      </c>
      <c r="K23" s="12">
        <f>IF(A23="","",IF(J23&lt;=0,"SIN STOCK",IF(J23&lt;=F23,"REPONER","OK")))</f>
        <v/>
      </c>
      <c r="L23" s="9">
        <f>IF(A23="","",G23*I23)</f>
        <v/>
      </c>
    </row>
    <row r="24">
      <c r="A24" s="7" t="n"/>
      <c r="B24" s="5" t="n"/>
      <c r="C24" s="5" t="n"/>
      <c r="D24" s="8" t="n"/>
      <c r="E24" s="7" t="n"/>
      <c r="F24" s="7" t="n"/>
      <c r="G24" s="9">
        <f>IF(A24="","",C24-B24-C24*D24)</f>
        <v/>
      </c>
      <c r="H24" s="10">
        <f>IF(OR(A24="",C24=0),"",G24/C24)</f>
        <v/>
      </c>
      <c r="I24" s="11">
        <f>IF(A24="","",SUMIF(Ventas!$B$5:$B$504,A24,Ventas!$C$5:$C$504))</f>
        <v/>
      </c>
      <c r="J24" s="11">
        <f>IF(A24="","",E24-I24)</f>
        <v/>
      </c>
      <c r="K24" s="12">
        <f>IF(A24="","",IF(J24&lt;=0,"SIN STOCK",IF(J24&lt;=F24,"REPONER","OK")))</f>
        <v/>
      </c>
      <c r="L24" s="9">
        <f>IF(A24="","",G24*I24)</f>
        <v/>
      </c>
    </row>
    <row r="25">
      <c r="A25" s="7" t="n"/>
      <c r="B25" s="5" t="n"/>
      <c r="C25" s="5" t="n"/>
      <c r="D25" s="8" t="n"/>
      <c r="E25" s="7" t="n"/>
      <c r="F25" s="7" t="n"/>
      <c r="G25" s="9">
        <f>IF(A25="","",C25-B25-C25*D25)</f>
        <v/>
      </c>
      <c r="H25" s="10">
        <f>IF(OR(A25="",C25=0),"",G25/C25)</f>
        <v/>
      </c>
      <c r="I25" s="11">
        <f>IF(A25="","",SUMIF(Ventas!$B$5:$B$504,A25,Ventas!$C$5:$C$504))</f>
        <v/>
      </c>
      <c r="J25" s="11">
        <f>IF(A25="","",E25-I25)</f>
        <v/>
      </c>
      <c r="K25" s="12">
        <f>IF(A25="","",IF(J25&lt;=0,"SIN STOCK",IF(J25&lt;=F25,"REPONER","OK")))</f>
        <v/>
      </c>
      <c r="L25" s="9">
        <f>IF(A25="","",G25*I25)</f>
        <v/>
      </c>
    </row>
    <row r="26">
      <c r="A26" s="7" t="n"/>
      <c r="B26" s="5" t="n"/>
      <c r="C26" s="5" t="n"/>
      <c r="D26" s="8" t="n"/>
      <c r="E26" s="7" t="n"/>
      <c r="F26" s="7" t="n"/>
      <c r="G26" s="9">
        <f>IF(A26="","",C26-B26-C26*D26)</f>
        <v/>
      </c>
      <c r="H26" s="10">
        <f>IF(OR(A26="",C26=0),"",G26/C26)</f>
        <v/>
      </c>
      <c r="I26" s="11">
        <f>IF(A26="","",SUMIF(Ventas!$B$5:$B$504,A26,Ventas!$C$5:$C$504))</f>
        <v/>
      </c>
      <c r="J26" s="11">
        <f>IF(A26="","",E26-I26)</f>
        <v/>
      </c>
      <c r="K26" s="12">
        <f>IF(A26="","",IF(J26&lt;=0,"SIN STOCK",IF(J26&lt;=F26,"REPONER","OK")))</f>
        <v/>
      </c>
      <c r="L26" s="9">
        <f>IF(A26="","",G26*I26)</f>
        <v/>
      </c>
    </row>
    <row r="27">
      <c r="A27" s="7" t="n"/>
      <c r="B27" s="5" t="n"/>
      <c r="C27" s="5" t="n"/>
      <c r="D27" s="8" t="n"/>
      <c r="E27" s="7" t="n"/>
      <c r="F27" s="7" t="n"/>
      <c r="G27" s="9">
        <f>IF(A27="","",C27-B27-C27*D27)</f>
        <v/>
      </c>
      <c r="H27" s="10">
        <f>IF(OR(A27="",C27=0),"",G27/C27)</f>
        <v/>
      </c>
      <c r="I27" s="11">
        <f>IF(A27="","",SUMIF(Ventas!$B$5:$B$504,A27,Ventas!$C$5:$C$504))</f>
        <v/>
      </c>
      <c r="J27" s="11">
        <f>IF(A27="","",E27-I27)</f>
        <v/>
      </c>
      <c r="K27" s="12">
        <f>IF(A27="","",IF(J27&lt;=0,"SIN STOCK",IF(J27&lt;=F27,"REPONER","OK")))</f>
        <v/>
      </c>
      <c r="L27" s="9">
        <f>IF(A27="","",G27*I27)</f>
        <v/>
      </c>
    </row>
    <row r="28">
      <c r="A28" s="7" t="n"/>
      <c r="B28" s="5" t="n"/>
      <c r="C28" s="5" t="n"/>
      <c r="D28" s="8" t="n"/>
      <c r="E28" s="7" t="n"/>
      <c r="F28" s="7" t="n"/>
      <c r="G28" s="9">
        <f>IF(A28="","",C28-B28-C28*D28)</f>
        <v/>
      </c>
      <c r="H28" s="10">
        <f>IF(OR(A28="",C28=0),"",G28/C28)</f>
        <v/>
      </c>
      <c r="I28" s="11">
        <f>IF(A28="","",SUMIF(Ventas!$B$5:$B$504,A28,Ventas!$C$5:$C$504))</f>
        <v/>
      </c>
      <c r="J28" s="11">
        <f>IF(A28="","",E28-I28)</f>
        <v/>
      </c>
      <c r="K28" s="12">
        <f>IF(A28="","",IF(J28&lt;=0,"SIN STOCK",IF(J28&lt;=F28,"REPONER","OK")))</f>
        <v/>
      </c>
      <c r="L28" s="9">
        <f>IF(A28="","",G28*I28)</f>
        <v/>
      </c>
    </row>
    <row r="29">
      <c r="A29" s="7" t="n"/>
      <c r="B29" s="5" t="n"/>
      <c r="C29" s="5" t="n"/>
      <c r="D29" s="8" t="n"/>
      <c r="E29" s="7" t="n"/>
      <c r="F29" s="7" t="n"/>
      <c r="G29" s="9">
        <f>IF(A29="","",C29-B29-C29*D29)</f>
        <v/>
      </c>
      <c r="H29" s="10">
        <f>IF(OR(A29="",C29=0),"",G29/C29)</f>
        <v/>
      </c>
      <c r="I29" s="11">
        <f>IF(A29="","",SUMIF(Ventas!$B$5:$B$504,A29,Ventas!$C$5:$C$504))</f>
        <v/>
      </c>
      <c r="J29" s="11">
        <f>IF(A29="","",E29-I29)</f>
        <v/>
      </c>
      <c r="K29" s="12">
        <f>IF(A29="","",IF(J29&lt;=0,"SIN STOCK",IF(J29&lt;=F29,"REPONER","OK")))</f>
        <v/>
      </c>
      <c r="L29" s="9">
        <f>IF(A29="","",G29*I29)</f>
        <v/>
      </c>
    </row>
    <row r="30">
      <c r="A30" s="7" t="n"/>
      <c r="B30" s="5" t="n"/>
      <c r="C30" s="5" t="n"/>
      <c r="D30" s="8" t="n"/>
      <c r="E30" s="7" t="n"/>
      <c r="F30" s="7" t="n"/>
      <c r="G30" s="9">
        <f>IF(A30="","",C30-B30-C30*D30)</f>
        <v/>
      </c>
      <c r="H30" s="10">
        <f>IF(OR(A30="",C30=0),"",G30/C30)</f>
        <v/>
      </c>
      <c r="I30" s="11">
        <f>IF(A30="","",SUMIF(Ventas!$B$5:$B$504,A30,Ventas!$C$5:$C$504))</f>
        <v/>
      </c>
      <c r="J30" s="11">
        <f>IF(A30="","",E30-I30)</f>
        <v/>
      </c>
      <c r="K30" s="12">
        <f>IF(A30="","",IF(J30&lt;=0,"SIN STOCK",IF(J30&lt;=F30,"REPONER","OK")))</f>
        <v/>
      </c>
      <c r="L30" s="9">
        <f>IF(A30="","",G30*I30)</f>
        <v/>
      </c>
    </row>
    <row r="31">
      <c r="A31" s="7" t="n"/>
      <c r="B31" s="5" t="n"/>
      <c r="C31" s="5" t="n"/>
      <c r="D31" s="8" t="n"/>
      <c r="E31" s="7" t="n"/>
      <c r="F31" s="7" t="n"/>
      <c r="G31" s="9">
        <f>IF(A31="","",C31-B31-C31*D31)</f>
        <v/>
      </c>
      <c r="H31" s="10">
        <f>IF(OR(A31="",C31=0),"",G31/C31)</f>
        <v/>
      </c>
      <c r="I31" s="11">
        <f>IF(A31="","",SUMIF(Ventas!$B$5:$B$504,A31,Ventas!$C$5:$C$504))</f>
        <v/>
      </c>
      <c r="J31" s="11">
        <f>IF(A31="","",E31-I31)</f>
        <v/>
      </c>
      <c r="K31" s="12">
        <f>IF(A31="","",IF(J31&lt;=0,"SIN STOCK",IF(J31&lt;=F31,"REPONER","OK")))</f>
        <v/>
      </c>
      <c r="L31" s="9">
        <f>IF(A31="","",G31*I31)</f>
        <v/>
      </c>
    </row>
    <row r="32">
      <c r="A32" s="7" t="n"/>
      <c r="B32" s="5" t="n"/>
      <c r="C32" s="5" t="n"/>
      <c r="D32" s="8" t="n"/>
      <c r="E32" s="7" t="n"/>
      <c r="F32" s="7" t="n"/>
      <c r="G32" s="9">
        <f>IF(A32="","",C32-B32-C32*D32)</f>
        <v/>
      </c>
      <c r="H32" s="10">
        <f>IF(OR(A32="",C32=0),"",G32/C32)</f>
        <v/>
      </c>
      <c r="I32" s="11">
        <f>IF(A32="","",SUMIF(Ventas!$B$5:$B$504,A32,Ventas!$C$5:$C$504))</f>
        <v/>
      </c>
      <c r="J32" s="11">
        <f>IF(A32="","",E32-I32)</f>
        <v/>
      </c>
      <c r="K32" s="12">
        <f>IF(A32="","",IF(J32&lt;=0,"SIN STOCK",IF(J32&lt;=F32,"REPONER","OK")))</f>
        <v/>
      </c>
      <c r="L32" s="9">
        <f>IF(A32="","",G32*I32)</f>
        <v/>
      </c>
    </row>
    <row r="33">
      <c r="A33" s="7" t="n"/>
      <c r="B33" s="5" t="n"/>
      <c r="C33" s="5" t="n"/>
      <c r="D33" s="8" t="n"/>
      <c r="E33" s="7" t="n"/>
      <c r="F33" s="7" t="n"/>
      <c r="G33" s="9">
        <f>IF(A33="","",C33-B33-C33*D33)</f>
        <v/>
      </c>
      <c r="H33" s="10">
        <f>IF(OR(A33="",C33=0),"",G33/C33)</f>
        <v/>
      </c>
      <c r="I33" s="11">
        <f>IF(A33="","",SUMIF(Ventas!$B$5:$B$504,A33,Ventas!$C$5:$C$504))</f>
        <v/>
      </c>
      <c r="J33" s="11">
        <f>IF(A33="","",E33-I33)</f>
        <v/>
      </c>
      <c r="K33" s="12">
        <f>IF(A33="","",IF(J33&lt;=0,"SIN STOCK",IF(J33&lt;=F33,"REPONER","OK")))</f>
        <v/>
      </c>
      <c r="L33" s="9">
        <f>IF(A33="","",G33*I33)</f>
        <v/>
      </c>
    </row>
    <row r="34">
      <c r="A34" s="7" t="n"/>
      <c r="B34" s="5" t="n"/>
      <c r="C34" s="5" t="n"/>
      <c r="D34" s="8" t="n"/>
      <c r="E34" s="7" t="n"/>
      <c r="F34" s="7" t="n"/>
      <c r="G34" s="9">
        <f>IF(A34="","",C34-B34-C34*D34)</f>
        <v/>
      </c>
      <c r="H34" s="10">
        <f>IF(OR(A34="",C34=0),"",G34/C34)</f>
        <v/>
      </c>
      <c r="I34" s="11">
        <f>IF(A34="","",SUMIF(Ventas!$B$5:$B$504,A34,Ventas!$C$5:$C$504))</f>
        <v/>
      </c>
      <c r="J34" s="11">
        <f>IF(A34="","",E34-I34)</f>
        <v/>
      </c>
      <c r="K34" s="12">
        <f>IF(A34="","",IF(J34&lt;=0,"SIN STOCK",IF(J34&lt;=F34,"REPONER","OK")))</f>
        <v/>
      </c>
      <c r="L34" s="9">
        <f>IF(A34="","",G34*I34)</f>
        <v/>
      </c>
    </row>
    <row r="35">
      <c r="A35" s="7" t="n"/>
      <c r="B35" s="5" t="n"/>
      <c r="C35" s="5" t="n"/>
      <c r="D35" s="8" t="n"/>
      <c r="E35" s="7" t="n"/>
      <c r="F35" s="7" t="n"/>
      <c r="G35" s="9">
        <f>IF(A35="","",C35-B35-C35*D35)</f>
        <v/>
      </c>
      <c r="H35" s="10">
        <f>IF(OR(A35="",C35=0),"",G35/C35)</f>
        <v/>
      </c>
      <c r="I35" s="11">
        <f>IF(A35="","",SUMIF(Ventas!$B$5:$B$504,A35,Ventas!$C$5:$C$504))</f>
        <v/>
      </c>
      <c r="J35" s="11">
        <f>IF(A35="","",E35-I35)</f>
        <v/>
      </c>
      <c r="K35" s="12">
        <f>IF(A35="","",IF(J35&lt;=0,"SIN STOCK",IF(J35&lt;=F35,"REPONER","OK")))</f>
        <v/>
      </c>
      <c r="L35" s="9">
        <f>IF(A35="","",G35*I35)</f>
        <v/>
      </c>
    </row>
    <row r="36">
      <c r="A36" s="7" t="n"/>
      <c r="B36" s="5" t="n"/>
      <c r="C36" s="5" t="n"/>
      <c r="D36" s="8" t="n"/>
      <c r="E36" s="7" t="n"/>
      <c r="F36" s="7" t="n"/>
      <c r="G36" s="9">
        <f>IF(A36="","",C36-B36-C36*D36)</f>
        <v/>
      </c>
      <c r="H36" s="10">
        <f>IF(OR(A36="",C36=0),"",G36/C36)</f>
        <v/>
      </c>
      <c r="I36" s="11">
        <f>IF(A36="","",SUMIF(Ventas!$B$5:$B$504,A36,Ventas!$C$5:$C$504))</f>
        <v/>
      </c>
      <c r="J36" s="11">
        <f>IF(A36="","",E36-I36)</f>
        <v/>
      </c>
      <c r="K36" s="12">
        <f>IF(A36="","",IF(J36&lt;=0,"SIN STOCK",IF(J36&lt;=F36,"REPONER","OK")))</f>
        <v/>
      </c>
      <c r="L36" s="9">
        <f>IF(A36="","",G36*I36)</f>
        <v/>
      </c>
    </row>
    <row r="37">
      <c r="A37" s="7" t="n"/>
      <c r="B37" s="5" t="n"/>
      <c r="C37" s="5" t="n"/>
      <c r="D37" s="8" t="n"/>
      <c r="E37" s="7" t="n"/>
      <c r="F37" s="7" t="n"/>
      <c r="G37" s="9">
        <f>IF(A37="","",C37-B37-C37*D37)</f>
        <v/>
      </c>
      <c r="H37" s="10">
        <f>IF(OR(A37="",C37=0),"",G37/C37)</f>
        <v/>
      </c>
      <c r="I37" s="11">
        <f>IF(A37="","",SUMIF(Ventas!$B$5:$B$504,A37,Ventas!$C$5:$C$504))</f>
        <v/>
      </c>
      <c r="J37" s="11">
        <f>IF(A37="","",E37-I37)</f>
        <v/>
      </c>
      <c r="K37" s="12">
        <f>IF(A37="","",IF(J37&lt;=0,"SIN STOCK",IF(J37&lt;=F37,"REPONER","OK")))</f>
        <v/>
      </c>
      <c r="L37" s="9">
        <f>IF(A37="","",G37*I37)</f>
        <v/>
      </c>
    </row>
    <row r="38">
      <c r="A38" s="7" t="n"/>
      <c r="B38" s="5" t="n"/>
      <c r="C38" s="5" t="n"/>
      <c r="D38" s="8" t="n"/>
      <c r="E38" s="7" t="n"/>
      <c r="F38" s="7" t="n"/>
      <c r="G38" s="9">
        <f>IF(A38="","",C38-B38-C38*D38)</f>
        <v/>
      </c>
      <c r="H38" s="10">
        <f>IF(OR(A38="",C38=0),"",G38/C38)</f>
        <v/>
      </c>
      <c r="I38" s="11">
        <f>IF(A38="","",SUMIF(Ventas!$B$5:$B$504,A38,Ventas!$C$5:$C$504))</f>
        <v/>
      </c>
      <c r="J38" s="11">
        <f>IF(A38="","",E38-I38)</f>
        <v/>
      </c>
      <c r="K38" s="12">
        <f>IF(A38="","",IF(J38&lt;=0,"SIN STOCK",IF(J38&lt;=F38,"REPONER","OK")))</f>
        <v/>
      </c>
      <c r="L38" s="9">
        <f>IF(A38="","",G38*I38)</f>
        <v/>
      </c>
    </row>
    <row r="39">
      <c r="A39" s="7" t="n"/>
      <c r="B39" s="5" t="n"/>
      <c r="C39" s="5" t="n"/>
      <c r="D39" s="8" t="n"/>
      <c r="E39" s="7" t="n"/>
      <c r="F39" s="7" t="n"/>
      <c r="G39" s="9">
        <f>IF(A39="","",C39-B39-C39*D39)</f>
        <v/>
      </c>
      <c r="H39" s="10">
        <f>IF(OR(A39="",C39=0),"",G39/C39)</f>
        <v/>
      </c>
      <c r="I39" s="11">
        <f>IF(A39="","",SUMIF(Ventas!$B$5:$B$504,A39,Ventas!$C$5:$C$504))</f>
        <v/>
      </c>
      <c r="J39" s="11">
        <f>IF(A39="","",E39-I39)</f>
        <v/>
      </c>
      <c r="K39" s="12">
        <f>IF(A39="","",IF(J39&lt;=0,"SIN STOCK",IF(J39&lt;=F39,"REPONER","OK")))</f>
        <v/>
      </c>
      <c r="L39" s="9">
        <f>IF(A39="","",G39*I39)</f>
        <v/>
      </c>
    </row>
    <row r="40">
      <c r="A40" s="7" t="n"/>
      <c r="B40" s="5" t="n"/>
      <c r="C40" s="5" t="n"/>
      <c r="D40" s="8" t="n"/>
      <c r="E40" s="7" t="n"/>
      <c r="F40" s="7" t="n"/>
      <c r="G40" s="9">
        <f>IF(A40="","",C40-B40-C40*D40)</f>
        <v/>
      </c>
      <c r="H40" s="10">
        <f>IF(OR(A40="",C40=0),"",G40/C40)</f>
        <v/>
      </c>
      <c r="I40" s="11">
        <f>IF(A40="","",SUMIF(Ventas!$B$5:$B$504,A40,Ventas!$C$5:$C$504))</f>
        <v/>
      </c>
      <c r="J40" s="11">
        <f>IF(A40="","",E40-I40)</f>
        <v/>
      </c>
      <c r="K40" s="12">
        <f>IF(A40="","",IF(J40&lt;=0,"SIN STOCK",IF(J40&lt;=F40,"REPONER","OK")))</f>
        <v/>
      </c>
      <c r="L40" s="9">
        <f>IF(A40="","",G40*I40)</f>
        <v/>
      </c>
    </row>
    <row r="41">
      <c r="A41" s="7" t="n"/>
      <c r="B41" s="5" t="n"/>
      <c r="C41" s="5" t="n"/>
      <c r="D41" s="8" t="n"/>
      <c r="E41" s="7" t="n"/>
      <c r="F41" s="7" t="n"/>
      <c r="G41" s="9">
        <f>IF(A41="","",C41-B41-C41*D41)</f>
        <v/>
      </c>
      <c r="H41" s="10">
        <f>IF(OR(A41="",C41=0),"",G41/C41)</f>
        <v/>
      </c>
      <c r="I41" s="11">
        <f>IF(A41="","",SUMIF(Ventas!$B$5:$B$504,A41,Ventas!$C$5:$C$504))</f>
        <v/>
      </c>
      <c r="J41" s="11">
        <f>IF(A41="","",E41-I41)</f>
        <v/>
      </c>
      <c r="K41" s="12">
        <f>IF(A41="","",IF(J41&lt;=0,"SIN STOCK",IF(J41&lt;=F41,"REPONER","OK")))</f>
        <v/>
      </c>
      <c r="L41" s="9">
        <f>IF(A41="","",G41*I41)</f>
        <v/>
      </c>
    </row>
    <row r="42">
      <c r="A42" s="7" t="n"/>
      <c r="B42" s="5" t="n"/>
      <c r="C42" s="5" t="n"/>
      <c r="D42" s="8" t="n"/>
      <c r="E42" s="7" t="n"/>
      <c r="F42" s="7" t="n"/>
      <c r="G42" s="9">
        <f>IF(A42="","",C42-B42-C42*D42)</f>
        <v/>
      </c>
      <c r="H42" s="10">
        <f>IF(OR(A42="",C42=0),"",G42/C42)</f>
        <v/>
      </c>
      <c r="I42" s="11">
        <f>IF(A42="","",SUMIF(Ventas!$B$5:$B$504,A42,Ventas!$C$5:$C$504))</f>
        <v/>
      </c>
      <c r="J42" s="11">
        <f>IF(A42="","",E42-I42)</f>
        <v/>
      </c>
      <c r="K42" s="12">
        <f>IF(A42="","",IF(J42&lt;=0,"SIN STOCK",IF(J42&lt;=F42,"REPONER","OK")))</f>
        <v/>
      </c>
      <c r="L42" s="9">
        <f>IF(A42="","",G42*I42)</f>
        <v/>
      </c>
    </row>
    <row r="43">
      <c r="A43" s="7" t="n"/>
      <c r="B43" s="5" t="n"/>
      <c r="C43" s="5" t="n"/>
      <c r="D43" s="8" t="n"/>
      <c r="E43" s="7" t="n"/>
      <c r="F43" s="7" t="n"/>
      <c r="G43" s="9">
        <f>IF(A43="","",C43-B43-C43*D43)</f>
        <v/>
      </c>
      <c r="H43" s="10">
        <f>IF(OR(A43="",C43=0),"",G43/C43)</f>
        <v/>
      </c>
      <c r="I43" s="11">
        <f>IF(A43="","",SUMIF(Ventas!$B$5:$B$504,A43,Ventas!$C$5:$C$504))</f>
        <v/>
      </c>
      <c r="J43" s="11">
        <f>IF(A43="","",E43-I43)</f>
        <v/>
      </c>
      <c r="K43" s="12">
        <f>IF(A43="","",IF(J43&lt;=0,"SIN STOCK",IF(J43&lt;=F43,"REPONER","OK")))</f>
        <v/>
      </c>
      <c r="L43" s="9">
        <f>IF(A43="","",G43*I43)</f>
        <v/>
      </c>
    </row>
    <row r="44">
      <c r="A44" s="7" t="n"/>
      <c r="B44" s="5" t="n"/>
      <c r="C44" s="5" t="n"/>
      <c r="D44" s="8" t="n"/>
      <c r="E44" s="7" t="n"/>
      <c r="F44" s="7" t="n"/>
      <c r="G44" s="9">
        <f>IF(A44="","",C44-B44-C44*D44)</f>
        <v/>
      </c>
      <c r="H44" s="10">
        <f>IF(OR(A44="",C44=0),"",G44/C44)</f>
        <v/>
      </c>
      <c r="I44" s="11">
        <f>IF(A44="","",SUMIF(Ventas!$B$5:$B$504,A44,Ventas!$C$5:$C$504))</f>
        <v/>
      </c>
      <c r="J44" s="11">
        <f>IF(A44="","",E44-I44)</f>
        <v/>
      </c>
      <c r="K44" s="12">
        <f>IF(A44="","",IF(J44&lt;=0,"SIN STOCK",IF(J44&lt;=F44,"REPONER","OK")))</f>
        <v/>
      </c>
      <c r="L44" s="9">
        <f>IF(A44="","",G44*I44)</f>
        <v/>
      </c>
    </row>
  </sheetData>
  <conditionalFormatting sqref="K5:K44">
    <cfRule type="cellIs" priority="1" operator="equal" dxfId="0">
      <formula>"REPONER"</formula>
    </cfRule>
    <cfRule type="cellIs" priority="2" operator="equal" dxfId="1">
      <formula>"SIN STOCK"</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04"/>
  <sheetViews>
    <sheetView workbookViewId="0">
      <pane ySplit="4" topLeftCell="A5" activePane="bottomLeft" state="frozen"/>
      <selection pane="bottomLeft" activeCell="A1" sqref="A1"/>
    </sheetView>
  </sheetViews>
  <sheetFormatPr baseColWidth="8" defaultRowHeight="15"/>
  <cols>
    <col width="14" customWidth="1" min="1" max="1"/>
    <col width="30" customWidth="1" min="2" max="2"/>
    <col width="11" customWidth="1" min="3" max="3"/>
    <col width="18" customWidth="1" min="4" max="4"/>
    <col width="16" customWidth="1" min="5" max="5"/>
  </cols>
  <sheetData>
    <row r="1">
      <c r="A1" s="1" t="inlineStr">
        <is>
          <t>Ventas</t>
        </is>
      </c>
    </row>
    <row r="2">
      <c r="A2" s="2" t="inlineStr">
        <is>
          <t>Una fila por venta. Elegí el producto de la lista</t>
        </is>
      </c>
    </row>
    <row r="4" ht="32" customHeight="1">
      <c r="A4" s="6" t="inlineStr">
        <is>
          <t>Fecha</t>
        </is>
      </c>
      <c r="B4" s="6" t="inlineStr">
        <is>
          <t>Producto</t>
        </is>
      </c>
      <c r="C4" s="6" t="inlineStr">
        <is>
          <t>Cantidad</t>
        </is>
      </c>
      <c r="D4" s="6" t="inlineStr">
        <is>
          <t>Precio real (opcional)</t>
        </is>
      </c>
      <c r="E4" s="6" t="inlineStr">
        <is>
          <t>Importe</t>
        </is>
      </c>
    </row>
    <row r="5">
      <c r="A5" s="13" t="n">
        <v>46357</v>
      </c>
      <c r="B5" s="7" t="inlineStr">
        <is>
          <t>Vela aromática</t>
        </is>
      </c>
      <c r="C5" s="14" t="n">
        <v>3</v>
      </c>
      <c r="D5" s="5" t="n"/>
      <c r="E5" s="9">
        <f>IF(B5="","",C5*IF(D5&gt;0,D5,IFERROR(VLOOKUP(B5,Productos!$A$5:$C$44,3,FALSE),0)))</f>
        <v/>
      </c>
    </row>
    <row r="6">
      <c r="A6" s="13" t="n">
        <v>46358</v>
      </c>
      <c r="B6" s="7" t="inlineStr">
        <is>
          <t>Caja de alfajores x6</t>
        </is>
      </c>
      <c r="C6" s="14" t="n">
        <v>5</v>
      </c>
      <c r="D6" s="5" t="n"/>
      <c r="E6" s="9">
        <f>IF(B6="","",C6*IF(D6&gt;0,D6,IFERROR(VLOOKUP(B6,Productos!$A$5:$C$44,3,FALSE),0)))</f>
        <v/>
      </c>
    </row>
    <row r="7">
      <c r="A7" s="13" t="n">
        <v>46359</v>
      </c>
      <c r="B7" s="7" t="inlineStr">
        <is>
          <t>Pulsera artesanal</t>
        </is>
      </c>
      <c r="C7" s="14" t="n">
        <v>8</v>
      </c>
      <c r="D7" s="5" t="n"/>
      <c r="E7" s="9">
        <f>IF(B7="","",C7*IF(D7&gt;0,D7,IFERROR(VLOOKUP(B7,Productos!$A$5:$C$44,3,FALSE),0)))</f>
        <v/>
      </c>
    </row>
    <row r="8">
      <c r="A8" s="13" t="n">
        <v>46361</v>
      </c>
      <c r="B8" s="7" t="inlineStr">
        <is>
          <t>Cuadro decorativo</t>
        </is>
      </c>
      <c r="C8" s="14" t="n">
        <v>1</v>
      </c>
      <c r="D8" s="5" t="n"/>
      <c r="E8" s="9">
        <f>IF(B8="","",C8*IF(D8&gt;0,D8,IFERROR(VLOOKUP(B8,Productos!$A$5:$C$44,3,FALSE),0)))</f>
        <v/>
      </c>
    </row>
    <row r="9">
      <c r="A9" s="13" t="n"/>
      <c r="B9" s="7" t="n"/>
      <c r="C9" s="14" t="n"/>
      <c r="D9" s="5" t="n"/>
      <c r="E9" s="9">
        <f>IF(B9="","",C9*IF(D9&gt;0,D9,IFERROR(VLOOKUP(B9,Productos!$A$5:$C$44,3,FALSE),0)))</f>
        <v/>
      </c>
    </row>
    <row r="10">
      <c r="A10" s="13" t="n"/>
      <c r="B10" s="7" t="n"/>
      <c r="C10" s="14" t="n"/>
      <c r="D10" s="5" t="n"/>
      <c r="E10" s="9">
        <f>IF(B10="","",C10*IF(D10&gt;0,D10,IFERROR(VLOOKUP(B10,Productos!$A$5:$C$44,3,FALSE),0)))</f>
        <v/>
      </c>
    </row>
    <row r="11">
      <c r="A11" s="13" t="n"/>
      <c r="B11" s="7" t="n"/>
      <c r="C11" s="14" t="n"/>
      <c r="D11" s="5" t="n"/>
      <c r="E11" s="9">
        <f>IF(B11="","",C11*IF(D11&gt;0,D11,IFERROR(VLOOKUP(B11,Productos!$A$5:$C$44,3,FALSE),0)))</f>
        <v/>
      </c>
    </row>
    <row r="12">
      <c r="A12" s="13" t="n"/>
      <c r="B12" s="7" t="n"/>
      <c r="C12" s="14" t="n"/>
      <c r="D12" s="5" t="n"/>
      <c r="E12" s="9">
        <f>IF(B12="","",C12*IF(D12&gt;0,D12,IFERROR(VLOOKUP(B12,Productos!$A$5:$C$44,3,FALSE),0)))</f>
        <v/>
      </c>
    </row>
    <row r="13">
      <c r="A13" s="13" t="n"/>
      <c r="B13" s="7" t="n"/>
      <c r="C13" s="14" t="n"/>
      <c r="D13" s="5" t="n"/>
      <c r="E13" s="9">
        <f>IF(B13="","",C13*IF(D13&gt;0,D13,IFERROR(VLOOKUP(B13,Productos!$A$5:$C$44,3,FALSE),0)))</f>
        <v/>
      </c>
    </row>
    <row r="14">
      <c r="A14" s="13" t="n"/>
      <c r="B14" s="7" t="n"/>
      <c r="C14" s="14" t="n"/>
      <c r="D14" s="5" t="n"/>
      <c r="E14" s="9">
        <f>IF(B14="","",C14*IF(D14&gt;0,D14,IFERROR(VLOOKUP(B14,Productos!$A$5:$C$44,3,FALSE),0)))</f>
        <v/>
      </c>
    </row>
    <row r="15">
      <c r="A15" s="13" t="n"/>
      <c r="B15" s="7" t="n"/>
      <c r="C15" s="14" t="n"/>
      <c r="D15" s="5" t="n"/>
      <c r="E15" s="9">
        <f>IF(B15="","",C15*IF(D15&gt;0,D15,IFERROR(VLOOKUP(B15,Productos!$A$5:$C$44,3,FALSE),0)))</f>
        <v/>
      </c>
    </row>
    <row r="16">
      <c r="A16" s="13" t="n"/>
      <c r="B16" s="7" t="n"/>
      <c r="C16" s="14" t="n"/>
      <c r="D16" s="5" t="n"/>
      <c r="E16" s="9">
        <f>IF(B16="","",C16*IF(D16&gt;0,D16,IFERROR(VLOOKUP(B16,Productos!$A$5:$C$44,3,FALSE),0)))</f>
        <v/>
      </c>
    </row>
    <row r="17">
      <c r="A17" s="13" t="n"/>
      <c r="B17" s="7" t="n"/>
      <c r="C17" s="14" t="n"/>
      <c r="D17" s="5" t="n"/>
      <c r="E17" s="9">
        <f>IF(B17="","",C17*IF(D17&gt;0,D17,IFERROR(VLOOKUP(B17,Productos!$A$5:$C$44,3,FALSE),0)))</f>
        <v/>
      </c>
    </row>
    <row r="18">
      <c r="A18" s="13" t="n"/>
      <c r="B18" s="7" t="n"/>
      <c r="C18" s="14" t="n"/>
      <c r="D18" s="5" t="n"/>
      <c r="E18" s="9">
        <f>IF(B18="","",C18*IF(D18&gt;0,D18,IFERROR(VLOOKUP(B18,Productos!$A$5:$C$44,3,FALSE),0)))</f>
        <v/>
      </c>
    </row>
    <row r="19">
      <c r="A19" s="13" t="n"/>
      <c r="B19" s="7" t="n"/>
      <c r="C19" s="14" t="n"/>
      <c r="D19" s="5" t="n"/>
      <c r="E19" s="9">
        <f>IF(B19="","",C19*IF(D19&gt;0,D19,IFERROR(VLOOKUP(B19,Productos!$A$5:$C$44,3,FALSE),0)))</f>
        <v/>
      </c>
    </row>
    <row r="20">
      <c r="A20" s="13" t="n"/>
      <c r="B20" s="7" t="n"/>
      <c r="C20" s="14" t="n"/>
      <c r="D20" s="5" t="n"/>
      <c r="E20" s="9">
        <f>IF(B20="","",C20*IF(D20&gt;0,D20,IFERROR(VLOOKUP(B20,Productos!$A$5:$C$44,3,FALSE),0)))</f>
        <v/>
      </c>
    </row>
    <row r="21">
      <c r="A21" s="13" t="n"/>
      <c r="B21" s="7" t="n"/>
      <c r="C21" s="14" t="n"/>
      <c r="D21" s="5" t="n"/>
      <c r="E21" s="9">
        <f>IF(B21="","",C21*IF(D21&gt;0,D21,IFERROR(VLOOKUP(B21,Productos!$A$5:$C$44,3,FALSE),0)))</f>
        <v/>
      </c>
    </row>
    <row r="22">
      <c r="A22" s="13" t="n"/>
      <c r="B22" s="7" t="n"/>
      <c r="C22" s="14" t="n"/>
      <c r="D22" s="5" t="n"/>
      <c r="E22" s="9">
        <f>IF(B22="","",C22*IF(D22&gt;0,D22,IFERROR(VLOOKUP(B22,Productos!$A$5:$C$44,3,FALSE),0)))</f>
        <v/>
      </c>
    </row>
    <row r="23">
      <c r="A23" s="13" t="n"/>
      <c r="B23" s="7" t="n"/>
      <c r="C23" s="14" t="n"/>
      <c r="D23" s="5" t="n"/>
      <c r="E23" s="9">
        <f>IF(B23="","",C23*IF(D23&gt;0,D23,IFERROR(VLOOKUP(B23,Productos!$A$5:$C$44,3,FALSE),0)))</f>
        <v/>
      </c>
    </row>
    <row r="24">
      <c r="A24" s="13" t="n"/>
      <c r="B24" s="7" t="n"/>
      <c r="C24" s="14" t="n"/>
      <c r="D24" s="5" t="n"/>
      <c r="E24" s="9">
        <f>IF(B24="","",C24*IF(D24&gt;0,D24,IFERROR(VLOOKUP(B24,Productos!$A$5:$C$44,3,FALSE),0)))</f>
        <v/>
      </c>
    </row>
    <row r="25">
      <c r="A25" s="13" t="n"/>
      <c r="B25" s="7" t="n"/>
      <c r="C25" s="14" t="n"/>
      <c r="D25" s="5" t="n"/>
      <c r="E25" s="9">
        <f>IF(B25="","",C25*IF(D25&gt;0,D25,IFERROR(VLOOKUP(B25,Productos!$A$5:$C$44,3,FALSE),0)))</f>
        <v/>
      </c>
    </row>
    <row r="26">
      <c r="A26" s="13" t="n"/>
      <c r="B26" s="7" t="n"/>
      <c r="C26" s="14" t="n"/>
      <c r="D26" s="5" t="n"/>
      <c r="E26" s="9">
        <f>IF(B26="","",C26*IF(D26&gt;0,D26,IFERROR(VLOOKUP(B26,Productos!$A$5:$C$44,3,FALSE),0)))</f>
        <v/>
      </c>
    </row>
    <row r="27">
      <c r="A27" s="13" t="n"/>
      <c r="B27" s="7" t="n"/>
      <c r="C27" s="14" t="n"/>
      <c r="D27" s="5" t="n"/>
      <c r="E27" s="9">
        <f>IF(B27="","",C27*IF(D27&gt;0,D27,IFERROR(VLOOKUP(B27,Productos!$A$5:$C$44,3,FALSE),0)))</f>
        <v/>
      </c>
    </row>
    <row r="28">
      <c r="A28" s="13" t="n"/>
      <c r="B28" s="7" t="n"/>
      <c r="C28" s="14" t="n"/>
      <c r="D28" s="5" t="n"/>
      <c r="E28" s="9">
        <f>IF(B28="","",C28*IF(D28&gt;0,D28,IFERROR(VLOOKUP(B28,Productos!$A$5:$C$44,3,FALSE),0)))</f>
        <v/>
      </c>
    </row>
    <row r="29">
      <c r="A29" s="13" t="n"/>
      <c r="B29" s="7" t="n"/>
      <c r="C29" s="14" t="n"/>
      <c r="D29" s="5" t="n"/>
      <c r="E29" s="9">
        <f>IF(B29="","",C29*IF(D29&gt;0,D29,IFERROR(VLOOKUP(B29,Productos!$A$5:$C$44,3,FALSE),0)))</f>
        <v/>
      </c>
    </row>
    <row r="30">
      <c r="A30" s="13" t="n"/>
      <c r="B30" s="7" t="n"/>
      <c r="C30" s="14" t="n"/>
      <c r="D30" s="5" t="n"/>
      <c r="E30" s="9">
        <f>IF(B30="","",C30*IF(D30&gt;0,D30,IFERROR(VLOOKUP(B30,Productos!$A$5:$C$44,3,FALSE),0)))</f>
        <v/>
      </c>
    </row>
    <row r="31">
      <c r="A31" s="13" t="n"/>
      <c r="B31" s="7" t="n"/>
      <c r="C31" s="14" t="n"/>
      <c r="D31" s="5" t="n"/>
      <c r="E31" s="9">
        <f>IF(B31="","",C31*IF(D31&gt;0,D31,IFERROR(VLOOKUP(B31,Productos!$A$5:$C$44,3,FALSE),0)))</f>
        <v/>
      </c>
    </row>
    <row r="32">
      <c r="A32" s="13" t="n"/>
      <c r="B32" s="7" t="n"/>
      <c r="C32" s="14" t="n"/>
      <c r="D32" s="5" t="n"/>
      <c r="E32" s="9">
        <f>IF(B32="","",C32*IF(D32&gt;0,D32,IFERROR(VLOOKUP(B32,Productos!$A$5:$C$44,3,FALSE),0)))</f>
        <v/>
      </c>
    </row>
    <row r="33">
      <c r="A33" s="13" t="n"/>
      <c r="B33" s="7" t="n"/>
      <c r="C33" s="14" t="n"/>
      <c r="D33" s="5" t="n"/>
      <c r="E33" s="9">
        <f>IF(B33="","",C33*IF(D33&gt;0,D33,IFERROR(VLOOKUP(B33,Productos!$A$5:$C$44,3,FALSE),0)))</f>
        <v/>
      </c>
    </row>
    <row r="34">
      <c r="A34" s="13" t="n"/>
      <c r="B34" s="7" t="n"/>
      <c r="C34" s="14" t="n"/>
      <c r="D34" s="5" t="n"/>
      <c r="E34" s="9">
        <f>IF(B34="","",C34*IF(D34&gt;0,D34,IFERROR(VLOOKUP(B34,Productos!$A$5:$C$44,3,FALSE),0)))</f>
        <v/>
      </c>
    </row>
    <row r="35">
      <c r="A35" s="13" t="n"/>
      <c r="B35" s="7" t="n"/>
      <c r="C35" s="14" t="n"/>
      <c r="D35" s="5" t="n"/>
      <c r="E35" s="9">
        <f>IF(B35="","",C35*IF(D35&gt;0,D35,IFERROR(VLOOKUP(B35,Productos!$A$5:$C$44,3,FALSE),0)))</f>
        <v/>
      </c>
    </row>
    <row r="36">
      <c r="A36" s="13" t="n"/>
      <c r="B36" s="7" t="n"/>
      <c r="C36" s="14" t="n"/>
      <c r="D36" s="5" t="n"/>
      <c r="E36" s="9">
        <f>IF(B36="","",C36*IF(D36&gt;0,D36,IFERROR(VLOOKUP(B36,Productos!$A$5:$C$44,3,FALSE),0)))</f>
        <v/>
      </c>
    </row>
    <row r="37">
      <c r="A37" s="13" t="n"/>
      <c r="B37" s="7" t="n"/>
      <c r="C37" s="14" t="n"/>
      <c r="D37" s="5" t="n"/>
      <c r="E37" s="9">
        <f>IF(B37="","",C37*IF(D37&gt;0,D37,IFERROR(VLOOKUP(B37,Productos!$A$5:$C$44,3,FALSE),0)))</f>
        <v/>
      </c>
    </row>
    <row r="38">
      <c r="A38" s="13" t="n"/>
      <c r="B38" s="7" t="n"/>
      <c r="C38" s="14" t="n"/>
      <c r="D38" s="5" t="n"/>
      <c r="E38" s="9">
        <f>IF(B38="","",C38*IF(D38&gt;0,D38,IFERROR(VLOOKUP(B38,Productos!$A$5:$C$44,3,FALSE),0)))</f>
        <v/>
      </c>
    </row>
    <row r="39">
      <c r="A39" s="13" t="n"/>
      <c r="B39" s="7" t="n"/>
      <c r="C39" s="14" t="n"/>
      <c r="D39" s="5" t="n"/>
      <c r="E39" s="9">
        <f>IF(B39="","",C39*IF(D39&gt;0,D39,IFERROR(VLOOKUP(B39,Productos!$A$5:$C$44,3,FALSE),0)))</f>
        <v/>
      </c>
    </row>
    <row r="40">
      <c r="A40" s="13" t="n"/>
      <c r="B40" s="7" t="n"/>
      <c r="C40" s="14" t="n"/>
      <c r="D40" s="5" t="n"/>
      <c r="E40" s="9">
        <f>IF(B40="","",C40*IF(D40&gt;0,D40,IFERROR(VLOOKUP(B40,Productos!$A$5:$C$44,3,FALSE),0)))</f>
        <v/>
      </c>
    </row>
    <row r="41">
      <c r="A41" s="13" t="n"/>
      <c r="B41" s="7" t="n"/>
      <c r="C41" s="14" t="n"/>
      <c r="D41" s="5" t="n"/>
      <c r="E41" s="9">
        <f>IF(B41="","",C41*IF(D41&gt;0,D41,IFERROR(VLOOKUP(B41,Productos!$A$5:$C$44,3,FALSE),0)))</f>
        <v/>
      </c>
    </row>
    <row r="42">
      <c r="A42" s="13" t="n"/>
      <c r="B42" s="7" t="n"/>
      <c r="C42" s="14" t="n"/>
      <c r="D42" s="5" t="n"/>
      <c r="E42" s="9">
        <f>IF(B42="","",C42*IF(D42&gt;0,D42,IFERROR(VLOOKUP(B42,Productos!$A$5:$C$44,3,FALSE),0)))</f>
        <v/>
      </c>
    </row>
    <row r="43">
      <c r="A43" s="13" t="n"/>
      <c r="B43" s="7" t="n"/>
      <c r="C43" s="14" t="n"/>
      <c r="D43" s="5" t="n"/>
      <c r="E43" s="9">
        <f>IF(B43="","",C43*IF(D43&gt;0,D43,IFERROR(VLOOKUP(B43,Productos!$A$5:$C$44,3,FALSE),0)))</f>
        <v/>
      </c>
    </row>
    <row r="44">
      <c r="A44" s="13" t="n"/>
      <c r="B44" s="7" t="n"/>
      <c r="C44" s="14" t="n"/>
      <c r="D44" s="5" t="n"/>
      <c r="E44" s="9">
        <f>IF(B44="","",C44*IF(D44&gt;0,D44,IFERROR(VLOOKUP(B44,Productos!$A$5:$C$44,3,FALSE),0)))</f>
        <v/>
      </c>
    </row>
    <row r="45">
      <c r="A45" s="13" t="n"/>
      <c r="B45" s="7" t="n"/>
      <c r="C45" s="14" t="n"/>
      <c r="D45" s="5" t="n"/>
      <c r="E45" s="9">
        <f>IF(B45="","",C45*IF(D45&gt;0,D45,IFERROR(VLOOKUP(B45,Productos!$A$5:$C$44,3,FALSE),0)))</f>
        <v/>
      </c>
    </row>
    <row r="46">
      <c r="A46" s="13" t="n"/>
      <c r="B46" s="7" t="n"/>
      <c r="C46" s="14" t="n"/>
      <c r="D46" s="5" t="n"/>
      <c r="E46" s="9">
        <f>IF(B46="","",C46*IF(D46&gt;0,D46,IFERROR(VLOOKUP(B46,Productos!$A$5:$C$44,3,FALSE),0)))</f>
        <v/>
      </c>
    </row>
    <row r="47">
      <c r="A47" s="13" t="n"/>
      <c r="B47" s="7" t="n"/>
      <c r="C47" s="14" t="n"/>
      <c r="D47" s="5" t="n"/>
      <c r="E47" s="9">
        <f>IF(B47="","",C47*IF(D47&gt;0,D47,IFERROR(VLOOKUP(B47,Productos!$A$5:$C$44,3,FALSE),0)))</f>
        <v/>
      </c>
    </row>
    <row r="48">
      <c r="A48" s="13" t="n"/>
      <c r="B48" s="7" t="n"/>
      <c r="C48" s="14" t="n"/>
      <c r="D48" s="5" t="n"/>
      <c r="E48" s="9">
        <f>IF(B48="","",C48*IF(D48&gt;0,D48,IFERROR(VLOOKUP(B48,Productos!$A$5:$C$44,3,FALSE),0)))</f>
        <v/>
      </c>
    </row>
    <row r="49">
      <c r="A49" s="13" t="n"/>
      <c r="B49" s="7" t="n"/>
      <c r="C49" s="14" t="n"/>
      <c r="D49" s="5" t="n"/>
      <c r="E49" s="9">
        <f>IF(B49="","",C49*IF(D49&gt;0,D49,IFERROR(VLOOKUP(B49,Productos!$A$5:$C$44,3,FALSE),0)))</f>
        <v/>
      </c>
    </row>
    <row r="50">
      <c r="A50" s="13" t="n"/>
      <c r="B50" s="7" t="n"/>
      <c r="C50" s="14" t="n"/>
      <c r="D50" s="5" t="n"/>
      <c r="E50" s="9">
        <f>IF(B50="","",C50*IF(D50&gt;0,D50,IFERROR(VLOOKUP(B50,Productos!$A$5:$C$44,3,FALSE),0)))</f>
        <v/>
      </c>
    </row>
    <row r="51">
      <c r="A51" s="13" t="n"/>
      <c r="B51" s="7" t="n"/>
      <c r="C51" s="14" t="n"/>
      <c r="D51" s="5" t="n"/>
      <c r="E51" s="9">
        <f>IF(B51="","",C51*IF(D51&gt;0,D51,IFERROR(VLOOKUP(B51,Productos!$A$5:$C$44,3,FALSE),0)))</f>
        <v/>
      </c>
    </row>
    <row r="52">
      <c r="A52" s="13" t="n"/>
      <c r="B52" s="7" t="n"/>
      <c r="C52" s="14" t="n"/>
      <c r="D52" s="5" t="n"/>
      <c r="E52" s="9">
        <f>IF(B52="","",C52*IF(D52&gt;0,D52,IFERROR(VLOOKUP(B52,Productos!$A$5:$C$44,3,FALSE),0)))</f>
        <v/>
      </c>
    </row>
    <row r="53">
      <c r="A53" s="13" t="n"/>
      <c r="B53" s="7" t="n"/>
      <c r="C53" s="14" t="n"/>
      <c r="D53" s="5" t="n"/>
      <c r="E53" s="9">
        <f>IF(B53="","",C53*IF(D53&gt;0,D53,IFERROR(VLOOKUP(B53,Productos!$A$5:$C$44,3,FALSE),0)))</f>
        <v/>
      </c>
    </row>
    <row r="54">
      <c r="A54" s="13" t="n"/>
      <c r="B54" s="7" t="n"/>
      <c r="C54" s="14" t="n"/>
      <c r="D54" s="5" t="n"/>
      <c r="E54" s="9">
        <f>IF(B54="","",C54*IF(D54&gt;0,D54,IFERROR(VLOOKUP(B54,Productos!$A$5:$C$44,3,FALSE),0)))</f>
        <v/>
      </c>
    </row>
    <row r="55">
      <c r="A55" s="13" t="n"/>
      <c r="B55" s="7" t="n"/>
      <c r="C55" s="14" t="n"/>
      <c r="D55" s="5" t="n"/>
      <c r="E55" s="9">
        <f>IF(B55="","",C55*IF(D55&gt;0,D55,IFERROR(VLOOKUP(B55,Productos!$A$5:$C$44,3,FALSE),0)))</f>
        <v/>
      </c>
    </row>
    <row r="56">
      <c r="A56" s="13" t="n"/>
      <c r="B56" s="7" t="n"/>
      <c r="C56" s="14" t="n"/>
      <c r="D56" s="5" t="n"/>
      <c r="E56" s="9">
        <f>IF(B56="","",C56*IF(D56&gt;0,D56,IFERROR(VLOOKUP(B56,Productos!$A$5:$C$44,3,FALSE),0)))</f>
        <v/>
      </c>
    </row>
    <row r="57">
      <c r="A57" s="13" t="n"/>
      <c r="B57" s="7" t="n"/>
      <c r="C57" s="14" t="n"/>
      <c r="D57" s="5" t="n"/>
      <c r="E57" s="9">
        <f>IF(B57="","",C57*IF(D57&gt;0,D57,IFERROR(VLOOKUP(B57,Productos!$A$5:$C$44,3,FALSE),0)))</f>
        <v/>
      </c>
    </row>
    <row r="58">
      <c r="A58" s="13" t="n"/>
      <c r="B58" s="7" t="n"/>
      <c r="C58" s="14" t="n"/>
      <c r="D58" s="5" t="n"/>
      <c r="E58" s="9">
        <f>IF(B58="","",C58*IF(D58&gt;0,D58,IFERROR(VLOOKUP(B58,Productos!$A$5:$C$44,3,FALSE),0)))</f>
        <v/>
      </c>
    </row>
    <row r="59">
      <c r="A59" s="13" t="n"/>
      <c r="B59" s="7" t="n"/>
      <c r="C59" s="14" t="n"/>
      <c r="D59" s="5" t="n"/>
      <c r="E59" s="9">
        <f>IF(B59="","",C59*IF(D59&gt;0,D59,IFERROR(VLOOKUP(B59,Productos!$A$5:$C$44,3,FALSE),0)))</f>
        <v/>
      </c>
    </row>
    <row r="60">
      <c r="A60" s="13" t="n"/>
      <c r="B60" s="7" t="n"/>
      <c r="C60" s="14" t="n"/>
      <c r="D60" s="5" t="n"/>
      <c r="E60" s="9">
        <f>IF(B60="","",C60*IF(D60&gt;0,D60,IFERROR(VLOOKUP(B60,Productos!$A$5:$C$44,3,FALSE),0)))</f>
        <v/>
      </c>
    </row>
    <row r="61">
      <c r="A61" s="13" t="n"/>
      <c r="B61" s="7" t="n"/>
      <c r="C61" s="14" t="n"/>
      <c r="D61" s="5" t="n"/>
      <c r="E61" s="9">
        <f>IF(B61="","",C61*IF(D61&gt;0,D61,IFERROR(VLOOKUP(B61,Productos!$A$5:$C$44,3,FALSE),0)))</f>
        <v/>
      </c>
    </row>
    <row r="62">
      <c r="A62" s="13" t="n"/>
      <c r="B62" s="7" t="n"/>
      <c r="C62" s="14" t="n"/>
      <c r="D62" s="5" t="n"/>
      <c r="E62" s="9">
        <f>IF(B62="","",C62*IF(D62&gt;0,D62,IFERROR(VLOOKUP(B62,Productos!$A$5:$C$44,3,FALSE),0)))</f>
        <v/>
      </c>
    </row>
    <row r="63">
      <c r="A63" s="13" t="n"/>
      <c r="B63" s="7" t="n"/>
      <c r="C63" s="14" t="n"/>
      <c r="D63" s="5" t="n"/>
      <c r="E63" s="9">
        <f>IF(B63="","",C63*IF(D63&gt;0,D63,IFERROR(VLOOKUP(B63,Productos!$A$5:$C$44,3,FALSE),0)))</f>
        <v/>
      </c>
    </row>
    <row r="64">
      <c r="A64" s="13" t="n"/>
      <c r="B64" s="7" t="n"/>
      <c r="C64" s="14" t="n"/>
      <c r="D64" s="5" t="n"/>
      <c r="E64" s="9">
        <f>IF(B64="","",C64*IF(D64&gt;0,D64,IFERROR(VLOOKUP(B64,Productos!$A$5:$C$44,3,FALSE),0)))</f>
        <v/>
      </c>
    </row>
    <row r="65">
      <c r="A65" s="13" t="n"/>
      <c r="B65" s="7" t="n"/>
      <c r="C65" s="14" t="n"/>
      <c r="D65" s="5" t="n"/>
      <c r="E65" s="9">
        <f>IF(B65="","",C65*IF(D65&gt;0,D65,IFERROR(VLOOKUP(B65,Productos!$A$5:$C$44,3,FALSE),0)))</f>
        <v/>
      </c>
    </row>
    <row r="66">
      <c r="A66" s="13" t="n"/>
      <c r="B66" s="7" t="n"/>
      <c r="C66" s="14" t="n"/>
      <c r="D66" s="5" t="n"/>
      <c r="E66" s="9">
        <f>IF(B66="","",C66*IF(D66&gt;0,D66,IFERROR(VLOOKUP(B66,Productos!$A$5:$C$44,3,FALSE),0)))</f>
        <v/>
      </c>
    </row>
    <row r="67">
      <c r="A67" s="13" t="n"/>
      <c r="B67" s="7" t="n"/>
      <c r="C67" s="14" t="n"/>
      <c r="D67" s="5" t="n"/>
      <c r="E67" s="9">
        <f>IF(B67="","",C67*IF(D67&gt;0,D67,IFERROR(VLOOKUP(B67,Productos!$A$5:$C$44,3,FALSE),0)))</f>
        <v/>
      </c>
    </row>
    <row r="68">
      <c r="A68" s="13" t="n"/>
      <c r="B68" s="7" t="n"/>
      <c r="C68" s="14" t="n"/>
      <c r="D68" s="5" t="n"/>
      <c r="E68" s="9">
        <f>IF(B68="","",C68*IF(D68&gt;0,D68,IFERROR(VLOOKUP(B68,Productos!$A$5:$C$44,3,FALSE),0)))</f>
        <v/>
      </c>
    </row>
    <row r="69">
      <c r="A69" s="13" t="n"/>
      <c r="B69" s="7" t="n"/>
      <c r="C69" s="14" t="n"/>
      <c r="D69" s="5" t="n"/>
      <c r="E69" s="9">
        <f>IF(B69="","",C69*IF(D69&gt;0,D69,IFERROR(VLOOKUP(B69,Productos!$A$5:$C$44,3,FALSE),0)))</f>
        <v/>
      </c>
    </row>
    <row r="70">
      <c r="A70" s="13" t="n"/>
      <c r="B70" s="7" t="n"/>
      <c r="C70" s="14" t="n"/>
      <c r="D70" s="5" t="n"/>
      <c r="E70" s="9">
        <f>IF(B70="","",C70*IF(D70&gt;0,D70,IFERROR(VLOOKUP(B70,Productos!$A$5:$C$44,3,FALSE),0)))</f>
        <v/>
      </c>
    </row>
    <row r="71">
      <c r="A71" s="13" t="n"/>
      <c r="B71" s="7" t="n"/>
      <c r="C71" s="14" t="n"/>
      <c r="D71" s="5" t="n"/>
      <c r="E71" s="9">
        <f>IF(B71="","",C71*IF(D71&gt;0,D71,IFERROR(VLOOKUP(B71,Productos!$A$5:$C$44,3,FALSE),0)))</f>
        <v/>
      </c>
    </row>
    <row r="72">
      <c r="A72" s="13" t="n"/>
      <c r="B72" s="7" t="n"/>
      <c r="C72" s="14" t="n"/>
      <c r="D72" s="5" t="n"/>
      <c r="E72" s="9">
        <f>IF(B72="","",C72*IF(D72&gt;0,D72,IFERROR(VLOOKUP(B72,Productos!$A$5:$C$44,3,FALSE),0)))</f>
        <v/>
      </c>
    </row>
    <row r="73">
      <c r="A73" s="13" t="n"/>
      <c r="B73" s="7" t="n"/>
      <c r="C73" s="14" t="n"/>
      <c r="D73" s="5" t="n"/>
      <c r="E73" s="9">
        <f>IF(B73="","",C73*IF(D73&gt;0,D73,IFERROR(VLOOKUP(B73,Productos!$A$5:$C$44,3,FALSE),0)))</f>
        <v/>
      </c>
    </row>
    <row r="74">
      <c r="A74" s="13" t="n"/>
      <c r="B74" s="7" t="n"/>
      <c r="C74" s="14" t="n"/>
      <c r="D74" s="5" t="n"/>
      <c r="E74" s="9">
        <f>IF(B74="","",C74*IF(D74&gt;0,D74,IFERROR(VLOOKUP(B74,Productos!$A$5:$C$44,3,FALSE),0)))</f>
        <v/>
      </c>
    </row>
    <row r="75">
      <c r="A75" s="13" t="n"/>
      <c r="B75" s="7" t="n"/>
      <c r="C75" s="14" t="n"/>
      <c r="D75" s="5" t="n"/>
      <c r="E75" s="9">
        <f>IF(B75="","",C75*IF(D75&gt;0,D75,IFERROR(VLOOKUP(B75,Productos!$A$5:$C$44,3,FALSE),0)))</f>
        <v/>
      </c>
    </row>
    <row r="76">
      <c r="A76" s="13" t="n"/>
      <c r="B76" s="7" t="n"/>
      <c r="C76" s="14" t="n"/>
      <c r="D76" s="5" t="n"/>
      <c r="E76" s="9">
        <f>IF(B76="","",C76*IF(D76&gt;0,D76,IFERROR(VLOOKUP(B76,Productos!$A$5:$C$44,3,FALSE),0)))</f>
        <v/>
      </c>
    </row>
    <row r="77">
      <c r="A77" s="13" t="n"/>
      <c r="B77" s="7" t="n"/>
      <c r="C77" s="14" t="n"/>
      <c r="D77" s="5" t="n"/>
      <c r="E77" s="9">
        <f>IF(B77="","",C77*IF(D77&gt;0,D77,IFERROR(VLOOKUP(B77,Productos!$A$5:$C$44,3,FALSE),0)))</f>
        <v/>
      </c>
    </row>
    <row r="78">
      <c r="A78" s="13" t="n"/>
      <c r="B78" s="7" t="n"/>
      <c r="C78" s="14" t="n"/>
      <c r="D78" s="5" t="n"/>
      <c r="E78" s="9">
        <f>IF(B78="","",C78*IF(D78&gt;0,D78,IFERROR(VLOOKUP(B78,Productos!$A$5:$C$44,3,FALSE),0)))</f>
        <v/>
      </c>
    </row>
    <row r="79">
      <c r="A79" s="13" t="n"/>
      <c r="B79" s="7" t="n"/>
      <c r="C79" s="14" t="n"/>
      <c r="D79" s="5" t="n"/>
      <c r="E79" s="9">
        <f>IF(B79="","",C79*IF(D79&gt;0,D79,IFERROR(VLOOKUP(B79,Productos!$A$5:$C$44,3,FALSE),0)))</f>
        <v/>
      </c>
    </row>
    <row r="80">
      <c r="A80" s="13" t="n"/>
      <c r="B80" s="7" t="n"/>
      <c r="C80" s="14" t="n"/>
      <c r="D80" s="5" t="n"/>
      <c r="E80" s="9">
        <f>IF(B80="","",C80*IF(D80&gt;0,D80,IFERROR(VLOOKUP(B80,Productos!$A$5:$C$44,3,FALSE),0)))</f>
        <v/>
      </c>
    </row>
    <row r="81">
      <c r="A81" s="13" t="n"/>
      <c r="B81" s="7" t="n"/>
      <c r="C81" s="14" t="n"/>
      <c r="D81" s="5" t="n"/>
      <c r="E81" s="9">
        <f>IF(B81="","",C81*IF(D81&gt;0,D81,IFERROR(VLOOKUP(B81,Productos!$A$5:$C$44,3,FALSE),0)))</f>
        <v/>
      </c>
    </row>
    <row r="82">
      <c r="A82" s="13" t="n"/>
      <c r="B82" s="7" t="n"/>
      <c r="C82" s="14" t="n"/>
      <c r="D82" s="5" t="n"/>
      <c r="E82" s="9">
        <f>IF(B82="","",C82*IF(D82&gt;0,D82,IFERROR(VLOOKUP(B82,Productos!$A$5:$C$44,3,FALSE),0)))</f>
        <v/>
      </c>
    </row>
    <row r="83">
      <c r="A83" s="13" t="n"/>
      <c r="B83" s="7" t="n"/>
      <c r="C83" s="14" t="n"/>
      <c r="D83" s="5" t="n"/>
      <c r="E83" s="9">
        <f>IF(B83="","",C83*IF(D83&gt;0,D83,IFERROR(VLOOKUP(B83,Productos!$A$5:$C$44,3,FALSE),0)))</f>
        <v/>
      </c>
    </row>
    <row r="84">
      <c r="A84" s="13" t="n"/>
      <c r="B84" s="7" t="n"/>
      <c r="C84" s="14" t="n"/>
      <c r="D84" s="5" t="n"/>
      <c r="E84" s="9">
        <f>IF(B84="","",C84*IF(D84&gt;0,D84,IFERROR(VLOOKUP(B84,Productos!$A$5:$C$44,3,FALSE),0)))</f>
        <v/>
      </c>
    </row>
    <row r="85">
      <c r="A85" s="13" t="n"/>
      <c r="B85" s="7" t="n"/>
      <c r="C85" s="14" t="n"/>
      <c r="D85" s="5" t="n"/>
      <c r="E85" s="9">
        <f>IF(B85="","",C85*IF(D85&gt;0,D85,IFERROR(VLOOKUP(B85,Productos!$A$5:$C$44,3,FALSE),0)))</f>
        <v/>
      </c>
    </row>
    <row r="86">
      <c r="A86" s="13" t="n"/>
      <c r="B86" s="7" t="n"/>
      <c r="C86" s="14" t="n"/>
      <c r="D86" s="5" t="n"/>
      <c r="E86" s="9">
        <f>IF(B86="","",C86*IF(D86&gt;0,D86,IFERROR(VLOOKUP(B86,Productos!$A$5:$C$44,3,FALSE),0)))</f>
        <v/>
      </c>
    </row>
    <row r="87">
      <c r="A87" s="13" t="n"/>
      <c r="B87" s="7" t="n"/>
      <c r="C87" s="14" t="n"/>
      <c r="D87" s="5" t="n"/>
      <c r="E87" s="9">
        <f>IF(B87="","",C87*IF(D87&gt;0,D87,IFERROR(VLOOKUP(B87,Productos!$A$5:$C$44,3,FALSE),0)))</f>
        <v/>
      </c>
    </row>
    <row r="88">
      <c r="A88" s="13" t="n"/>
      <c r="B88" s="7" t="n"/>
      <c r="C88" s="14" t="n"/>
      <c r="D88" s="5" t="n"/>
      <c r="E88" s="9">
        <f>IF(B88="","",C88*IF(D88&gt;0,D88,IFERROR(VLOOKUP(B88,Productos!$A$5:$C$44,3,FALSE),0)))</f>
        <v/>
      </c>
    </row>
    <row r="89">
      <c r="A89" s="13" t="n"/>
      <c r="B89" s="7" t="n"/>
      <c r="C89" s="14" t="n"/>
      <c r="D89" s="5" t="n"/>
      <c r="E89" s="9">
        <f>IF(B89="","",C89*IF(D89&gt;0,D89,IFERROR(VLOOKUP(B89,Productos!$A$5:$C$44,3,FALSE),0)))</f>
        <v/>
      </c>
    </row>
    <row r="90">
      <c r="A90" s="13" t="n"/>
      <c r="B90" s="7" t="n"/>
      <c r="C90" s="14" t="n"/>
      <c r="D90" s="5" t="n"/>
      <c r="E90" s="9">
        <f>IF(B90="","",C90*IF(D90&gt;0,D90,IFERROR(VLOOKUP(B90,Productos!$A$5:$C$44,3,FALSE),0)))</f>
        <v/>
      </c>
    </row>
    <row r="91">
      <c r="A91" s="13" t="n"/>
      <c r="B91" s="7" t="n"/>
      <c r="C91" s="14" t="n"/>
      <c r="D91" s="5" t="n"/>
      <c r="E91" s="9">
        <f>IF(B91="","",C91*IF(D91&gt;0,D91,IFERROR(VLOOKUP(B91,Productos!$A$5:$C$44,3,FALSE),0)))</f>
        <v/>
      </c>
    </row>
    <row r="92">
      <c r="A92" s="13" t="n"/>
      <c r="B92" s="7" t="n"/>
      <c r="C92" s="14" t="n"/>
      <c r="D92" s="5" t="n"/>
      <c r="E92" s="9">
        <f>IF(B92="","",C92*IF(D92&gt;0,D92,IFERROR(VLOOKUP(B92,Productos!$A$5:$C$44,3,FALSE),0)))</f>
        <v/>
      </c>
    </row>
    <row r="93">
      <c r="A93" s="13" t="n"/>
      <c r="B93" s="7" t="n"/>
      <c r="C93" s="14" t="n"/>
      <c r="D93" s="5" t="n"/>
      <c r="E93" s="9">
        <f>IF(B93="","",C93*IF(D93&gt;0,D93,IFERROR(VLOOKUP(B93,Productos!$A$5:$C$44,3,FALSE),0)))</f>
        <v/>
      </c>
    </row>
    <row r="94">
      <c r="A94" s="13" t="n"/>
      <c r="B94" s="7" t="n"/>
      <c r="C94" s="14" t="n"/>
      <c r="D94" s="5" t="n"/>
      <c r="E94" s="9">
        <f>IF(B94="","",C94*IF(D94&gt;0,D94,IFERROR(VLOOKUP(B94,Productos!$A$5:$C$44,3,FALSE),0)))</f>
        <v/>
      </c>
    </row>
    <row r="95">
      <c r="A95" s="13" t="n"/>
      <c r="B95" s="7" t="n"/>
      <c r="C95" s="14" t="n"/>
      <c r="D95" s="5" t="n"/>
      <c r="E95" s="9">
        <f>IF(B95="","",C95*IF(D95&gt;0,D95,IFERROR(VLOOKUP(B95,Productos!$A$5:$C$44,3,FALSE),0)))</f>
        <v/>
      </c>
    </row>
    <row r="96">
      <c r="A96" s="13" t="n"/>
      <c r="B96" s="7" t="n"/>
      <c r="C96" s="14" t="n"/>
      <c r="D96" s="5" t="n"/>
      <c r="E96" s="9">
        <f>IF(B96="","",C96*IF(D96&gt;0,D96,IFERROR(VLOOKUP(B96,Productos!$A$5:$C$44,3,FALSE),0)))</f>
        <v/>
      </c>
    </row>
    <row r="97">
      <c r="A97" s="13" t="n"/>
      <c r="B97" s="7" t="n"/>
      <c r="C97" s="14" t="n"/>
      <c r="D97" s="5" t="n"/>
      <c r="E97" s="9">
        <f>IF(B97="","",C97*IF(D97&gt;0,D97,IFERROR(VLOOKUP(B97,Productos!$A$5:$C$44,3,FALSE),0)))</f>
        <v/>
      </c>
    </row>
    <row r="98">
      <c r="A98" s="13" t="n"/>
      <c r="B98" s="7" t="n"/>
      <c r="C98" s="14" t="n"/>
      <c r="D98" s="5" t="n"/>
      <c r="E98" s="9">
        <f>IF(B98="","",C98*IF(D98&gt;0,D98,IFERROR(VLOOKUP(B98,Productos!$A$5:$C$44,3,FALSE),0)))</f>
        <v/>
      </c>
    </row>
    <row r="99">
      <c r="A99" s="13" t="n"/>
      <c r="B99" s="7" t="n"/>
      <c r="C99" s="14" t="n"/>
      <c r="D99" s="5" t="n"/>
      <c r="E99" s="9">
        <f>IF(B99="","",C99*IF(D99&gt;0,D99,IFERROR(VLOOKUP(B99,Productos!$A$5:$C$44,3,FALSE),0)))</f>
        <v/>
      </c>
    </row>
    <row r="100">
      <c r="A100" s="13" t="n"/>
      <c r="B100" s="7" t="n"/>
      <c r="C100" s="14" t="n"/>
      <c r="D100" s="5" t="n"/>
      <c r="E100" s="9">
        <f>IF(B100="","",C100*IF(D100&gt;0,D100,IFERROR(VLOOKUP(B100,Productos!$A$5:$C$44,3,FALSE),0)))</f>
        <v/>
      </c>
    </row>
    <row r="101">
      <c r="A101" s="13" t="n"/>
      <c r="B101" s="7" t="n"/>
      <c r="C101" s="14" t="n"/>
      <c r="D101" s="5" t="n"/>
      <c r="E101" s="9">
        <f>IF(B101="","",C101*IF(D101&gt;0,D101,IFERROR(VLOOKUP(B101,Productos!$A$5:$C$44,3,FALSE),0)))</f>
        <v/>
      </c>
    </row>
    <row r="102">
      <c r="A102" s="13" t="n"/>
      <c r="B102" s="7" t="n"/>
      <c r="C102" s="14" t="n"/>
      <c r="D102" s="5" t="n"/>
      <c r="E102" s="9">
        <f>IF(B102="","",C102*IF(D102&gt;0,D102,IFERROR(VLOOKUP(B102,Productos!$A$5:$C$44,3,FALSE),0)))</f>
        <v/>
      </c>
    </row>
    <row r="103">
      <c r="A103" s="13" t="n"/>
      <c r="B103" s="7" t="n"/>
      <c r="C103" s="14" t="n"/>
      <c r="D103" s="5" t="n"/>
      <c r="E103" s="9">
        <f>IF(B103="","",C103*IF(D103&gt;0,D103,IFERROR(VLOOKUP(B103,Productos!$A$5:$C$44,3,FALSE),0)))</f>
        <v/>
      </c>
    </row>
    <row r="104">
      <c r="A104" s="13" t="n"/>
      <c r="B104" s="7" t="n"/>
      <c r="C104" s="14" t="n"/>
      <c r="D104" s="5" t="n"/>
      <c r="E104" s="9">
        <f>IF(B104="","",C104*IF(D104&gt;0,D104,IFERROR(VLOOKUP(B104,Productos!$A$5:$C$44,3,FALSE),0)))</f>
        <v/>
      </c>
    </row>
    <row r="105">
      <c r="A105" s="13" t="n"/>
      <c r="B105" s="7" t="n"/>
      <c r="C105" s="14" t="n"/>
      <c r="D105" s="5" t="n"/>
      <c r="E105" s="9">
        <f>IF(B105="","",C105*IF(D105&gt;0,D105,IFERROR(VLOOKUP(B105,Productos!$A$5:$C$44,3,FALSE),0)))</f>
        <v/>
      </c>
    </row>
    <row r="106">
      <c r="A106" s="13" t="n"/>
      <c r="B106" s="7" t="n"/>
      <c r="C106" s="14" t="n"/>
      <c r="D106" s="5" t="n"/>
      <c r="E106" s="9">
        <f>IF(B106="","",C106*IF(D106&gt;0,D106,IFERROR(VLOOKUP(B106,Productos!$A$5:$C$44,3,FALSE),0)))</f>
        <v/>
      </c>
    </row>
    <row r="107">
      <c r="A107" s="13" t="n"/>
      <c r="B107" s="7" t="n"/>
      <c r="C107" s="14" t="n"/>
      <c r="D107" s="5" t="n"/>
      <c r="E107" s="9">
        <f>IF(B107="","",C107*IF(D107&gt;0,D107,IFERROR(VLOOKUP(B107,Productos!$A$5:$C$44,3,FALSE),0)))</f>
        <v/>
      </c>
    </row>
    <row r="108">
      <c r="A108" s="13" t="n"/>
      <c r="B108" s="7" t="n"/>
      <c r="C108" s="14" t="n"/>
      <c r="D108" s="5" t="n"/>
      <c r="E108" s="9">
        <f>IF(B108="","",C108*IF(D108&gt;0,D108,IFERROR(VLOOKUP(B108,Productos!$A$5:$C$44,3,FALSE),0)))</f>
        <v/>
      </c>
    </row>
    <row r="109">
      <c r="A109" s="13" t="n"/>
      <c r="B109" s="7" t="n"/>
      <c r="C109" s="14" t="n"/>
      <c r="D109" s="5" t="n"/>
      <c r="E109" s="9">
        <f>IF(B109="","",C109*IF(D109&gt;0,D109,IFERROR(VLOOKUP(B109,Productos!$A$5:$C$44,3,FALSE),0)))</f>
        <v/>
      </c>
    </row>
    <row r="110">
      <c r="A110" s="13" t="n"/>
      <c r="B110" s="7" t="n"/>
      <c r="C110" s="14" t="n"/>
      <c r="D110" s="5" t="n"/>
      <c r="E110" s="9">
        <f>IF(B110="","",C110*IF(D110&gt;0,D110,IFERROR(VLOOKUP(B110,Productos!$A$5:$C$44,3,FALSE),0)))</f>
        <v/>
      </c>
    </row>
    <row r="111">
      <c r="A111" s="13" t="n"/>
      <c r="B111" s="7" t="n"/>
      <c r="C111" s="14" t="n"/>
      <c r="D111" s="5" t="n"/>
      <c r="E111" s="9">
        <f>IF(B111="","",C111*IF(D111&gt;0,D111,IFERROR(VLOOKUP(B111,Productos!$A$5:$C$44,3,FALSE),0)))</f>
        <v/>
      </c>
    </row>
    <row r="112">
      <c r="A112" s="13" t="n"/>
      <c r="B112" s="7" t="n"/>
      <c r="C112" s="14" t="n"/>
      <c r="D112" s="5" t="n"/>
      <c r="E112" s="9">
        <f>IF(B112="","",C112*IF(D112&gt;0,D112,IFERROR(VLOOKUP(B112,Productos!$A$5:$C$44,3,FALSE),0)))</f>
        <v/>
      </c>
    </row>
    <row r="113">
      <c r="A113" s="13" t="n"/>
      <c r="B113" s="7" t="n"/>
      <c r="C113" s="14" t="n"/>
      <c r="D113" s="5" t="n"/>
      <c r="E113" s="9">
        <f>IF(B113="","",C113*IF(D113&gt;0,D113,IFERROR(VLOOKUP(B113,Productos!$A$5:$C$44,3,FALSE),0)))</f>
        <v/>
      </c>
    </row>
    <row r="114">
      <c r="A114" s="13" t="n"/>
      <c r="B114" s="7" t="n"/>
      <c r="C114" s="14" t="n"/>
      <c r="D114" s="5" t="n"/>
      <c r="E114" s="9">
        <f>IF(B114="","",C114*IF(D114&gt;0,D114,IFERROR(VLOOKUP(B114,Productos!$A$5:$C$44,3,FALSE),0)))</f>
        <v/>
      </c>
    </row>
    <row r="115">
      <c r="A115" s="13" t="n"/>
      <c r="B115" s="7" t="n"/>
      <c r="C115" s="14" t="n"/>
      <c r="D115" s="5" t="n"/>
      <c r="E115" s="9">
        <f>IF(B115="","",C115*IF(D115&gt;0,D115,IFERROR(VLOOKUP(B115,Productos!$A$5:$C$44,3,FALSE),0)))</f>
        <v/>
      </c>
    </row>
    <row r="116">
      <c r="A116" s="13" t="n"/>
      <c r="B116" s="7" t="n"/>
      <c r="C116" s="14" t="n"/>
      <c r="D116" s="5" t="n"/>
      <c r="E116" s="9">
        <f>IF(B116="","",C116*IF(D116&gt;0,D116,IFERROR(VLOOKUP(B116,Productos!$A$5:$C$44,3,FALSE),0)))</f>
        <v/>
      </c>
    </row>
    <row r="117">
      <c r="A117" s="13" t="n"/>
      <c r="B117" s="7" t="n"/>
      <c r="C117" s="14" t="n"/>
      <c r="D117" s="5" t="n"/>
      <c r="E117" s="9">
        <f>IF(B117="","",C117*IF(D117&gt;0,D117,IFERROR(VLOOKUP(B117,Productos!$A$5:$C$44,3,FALSE),0)))</f>
        <v/>
      </c>
    </row>
    <row r="118">
      <c r="A118" s="13" t="n"/>
      <c r="B118" s="7" t="n"/>
      <c r="C118" s="14" t="n"/>
      <c r="D118" s="5" t="n"/>
      <c r="E118" s="9">
        <f>IF(B118="","",C118*IF(D118&gt;0,D118,IFERROR(VLOOKUP(B118,Productos!$A$5:$C$44,3,FALSE),0)))</f>
        <v/>
      </c>
    </row>
    <row r="119">
      <c r="A119" s="13" t="n"/>
      <c r="B119" s="7" t="n"/>
      <c r="C119" s="14" t="n"/>
      <c r="D119" s="5" t="n"/>
      <c r="E119" s="9">
        <f>IF(B119="","",C119*IF(D119&gt;0,D119,IFERROR(VLOOKUP(B119,Productos!$A$5:$C$44,3,FALSE),0)))</f>
        <v/>
      </c>
    </row>
    <row r="120">
      <c r="A120" s="13" t="n"/>
      <c r="B120" s="7" t="n"/>
      <c r="C120" s="14" t="n"/>
      <c r="D120" s="5" t="n"/>
      <c r="E120" s="9">
        <f>IF(B120="","",C120*IF(D120&gt;0,D120,IFERROR(VLOOKUP(B120,Productos!$A$5:$C$44,3,FALSE),0)))</f>
        <v/>
      </c>
    </row>
    <row r="121">
      <c r="A121" s="13" t="n"/>
      <c r="B121" s="7" t="n"/>
      <c r="C121" s="14" t="n"/>
      <c r="D121" s="5" t="n"/>
      <c r="E121" s="9">
        <f>IF(B121="","",C121*IF(D121&gt;0,D121,IFERROR(VLOOKUP(B121,Productos!$A$5:$C$44,3,FALSE),0)))</f>
        <v/>
      </c>
    </row>
    <row r="122">
      <c r="A122" s="13" t="n"/>
      <c r="B122" s="7" t="n"/>
      <c r="C122" s="14" t="n"/>
      <c r="D122" s="5" t="n"/>
      <c r="E122" s="9">
        <f>IF(B122="","",C122*IF(D122&gt;0,D122,IFERROR(VLOOKUP(B122,Productos!$A$5:$C$44,3,FALSE),0)))</f>
        <v/>
      </c>
    </row>
    <row r="123">
      <c r="A123" s="13" t="n"/>
      <c r="B123" s="7" t="n"/>
      <c r="C123" s="14" t="n"/>
      <c r="D123" s="5" t="n"/>
      <c r="E123" s="9">
        <f>IF(B123="","",C123*IF(D123&gt;0,D123,IFERROR(VLOOKUP(B123,Productos!$A$5:$C$44,3,FALSE),0)))</f>
        <v/>
      </c>
    </row>
    <row r="124">
      <c r="A124" s="13" t="n"/>
      <c r="B124" s="7" t="n"/>
      <c r="C124" s="14" t="n"/>
      <c r="D124" s="5" t="n"/>
      <c r="E124" s="9">
        <f>IF(B124="","",C124*IF(D124&gt;0,D124,IFERROR(VLOOKUP(B124,Productos!$A$5:$C$44,3,FALSE),0)))</f>
        <v/>
      </c>
    </row>
    <row r="125">
      <c r="A125" s="13" t="n"/>
      <c r="B125" s="7" t="n"/>
      <c r="C125" s="14" t="n"/>
      <c r="D125" s="5" t="n"/>
      <c r="E125" s="9">
        <f>IF(B125="","",C125*IF(D125&gt;0,D125,IFERROR(VLOOKUP(B125,Productos!$A$5:$C$44,3,FALSE),0)))</f>
        <v/>
      </c>
    </row>
    <row r="126">
      <c r="A126" s="13" t="n"/>
      <c r="B126" s="7" t="n"/>
      <c r="C126" s="14" t="n"/>
      <c r="D126" s="5" t="n"/>
      <c r="E126" s="9">
        <f>IF(B126="","",C126*IF(D126&gt;0,D126,IFERROR(VLOOKUP(B126,Productos!$A$5:$C$44,3,FALSE),0)))</f>
        <v/>
      </c>
    </row>
    <row r="127">
      <c r="A127" s="13" t="n"/>
      <c r="B127" s="7" t="n"/>
      <c r="C127" s="14" t="n"/>
      <c r="D127" s="5" t="n"/>
      <c r="E127" s="9">
        <f>IF(B127="","",C127*IF(D127&gt;0,D127,IFERROR(VLOOKUP(B127,Productos!$A$5:$C$44,3,FALSE),0)))</f>
        <v/>
      </c>
    </row>
    <row r="128">
      <c r="A128" s="13" t="n"/>
      <c r="B128" s="7" t="n"/>
      <c r="C128" s="14" t="n"/>
      <c r="D128" s="5" t="n"/>
      <c r="E128" s="9">
        <f>IF(B128="","",C128*IF(D128&gt;0,D128,IFERROR(VLOOKUP(B128,Productos!$A$5:$C$44,3,FALSE),0)))</f>
        <v/>
      </c>
    </row>
    <row r="129">
      <c r="A129" s="13" t="n"/>
      <c r="B129" s="7" t="n"/>
      <c r="C129" s="14" t="n"/>
      <c r="D129" s="5" t="n"/>
      <c r="E129" s="9">
        <f>IF(B129="","",C129*IF(D129&gt;0,D129,IFERROR(VLOOKUP(B129,Productos!$A$5:$C$44,3,FALSE),0)))</f>
        <v/>
      </c>
    </row>
    <row r="130">
      <c r="A130" s="13" t="n"/>
      <c r="B130" s="7" t="n"/>
      <c r="C130" s="14" t="n"/>
      <c r="D130" s="5" t="n"/>
      <c r="E130" s="9">
        <f>IF(B130="","",C130*IF(D130&gt;0,D130,IFERROR(VLOOKUP(B130,Productos!$A$5:$C$44,3,FALSE),0)))</f>
        <v/>
      </c>
    </row>
    <row r="131">
      <c r="A131" s="13" t="n"/>
      <c r="B131" s="7" t="n"/>
      <c r="C131" s="14" t="n"/>
      <c r="D131" s="5" t="n"/>
      <c r="E131" s="9">
        <f>IF(B131="","",C131*IF(D131&gt;0,D131,IFERROR(VLOOKUP(B131,Productos!$A$5:$C$44,3,FALSE),0)))</f>
        <v/>
      </c>
    </row>
    <row r="132">
      <c r="A132" s="13" t="n"/>
      <c r="B132" s="7" t="n"/>
      <c r="C132" s="14" t="n"/>
      <c r="D132" s="5" t="n"/>
      <c r="E132" s="9">
        <f>IF(B132="","",C132*IF(D132&gt;0,D132,IFERROR(VLOOKUP(B132,Productos!$A$5:$C$44,3,FALSE),0)))</f>
        <v/>
      </c>
    </row>
    <row r="133">
      <c r="A133" s="13" t="n"/>
      <c r="B133" s="7" t="n"/>
      <c r="C133" s="14" t="n"/>
      <c r="D133" s="5" t="n"/>
      <c r="E133" s="9">
        <f>IF(B133="","",C133*IF(D133&gt;0,D133,IFERROR(VLOOKUP(B133,Productos!$A$5:$C$44,3,FALSE),0)))</f>
        <v/>
      </c>
    </row>
    <row r="134">
      <c r="A134" s="13" t="n"/>
      <c r="B134" s="7" t="n"/>
      <c r="C134" s="14" t="n"/>
      <c r="D134" s="5" t="n"/>
      <c r="E134" s="9">
        <f>IF(B134="","",C134*IF(D134&gt;0,D134,IFERROR(VLOOKUP(B134,Productos!$A$5:$C$44,3,FALSE),0)))</f>
        <v/>
      </c>
    </row>
    <row r="135">
      <c r="A135" s="13" t="n"/>
      <c r="B135" s="7" t="n"/>
      <c r="C135" s="14" t="n"/>
      <c r="D135" s="5" t="n"/>
      <c r="E135" s="9">
        <f>IF(B135="","",C135*IF(D135&gt;0,D135,IFERROR(VLOOKUP(B135,Productos!$A$5:$C$44,3,FALSE),0)))</f>
        <v/>
      </c>
    </row>
    <row r="136">
      <c r="A136" s="13" t="n"/>
      <c r="B136" s="7" t="n"/>
      <c r="C136" s="14" t="n"/>
      <c r="D136" s="5" t="n"/>
      <c r="E136" s="9">
        <f>IF(B136="","",C136*IF(D136&gt;0,D136,IFERROR(VLOOKUP(B136,Productos!$A$5:$C$44,3,FALSE),0)))</f>
        <v/>
      </c>
    </row>
    <row r="137">
      <c r="A137" s="13" t="n"/>
      <c r="B137" s="7" t="n"/>
      <c r="C137" s="14" t="n"/>
      <c r="D137" s="5" t="n"/>
      <c r="E137" s="9">
        <f>IF(B137="","",C137*IF(D137&gt;0,D137,IFERROR(VLOOKUP(B137,Productos!$A$5:$C$44,3,FALSE),0)))</f>
        <v/>
      </c>
    </row>
    <row r="138">
      <c r="A138" s="13" t="n"/>
      <c r="B138" s="7" t="n"/>
      <c r="C138" s="14" t="n"/>
      <c r="D138" s="5" t="n"/>
      <c r="E138" s="9">
        <f>IF(B138="","",C138*IF(D138&gt;0,D138,IFERROR(VLOOKUP(B138,Productos!$A$5:$C$44,3,FALSE),0)))</f>
        <v/>
      </c>
    </row>
    <row r="139">
      <c r="A139" s="13" t="n"/>
      <c r="B139" s="7" t="n"/>
      <c r="C139" s="14" t="n"/>
      <c r="D139" s="5" t="n"/>
      <c r="E139" s="9">
        <f>IF(B139="","",C139*IF(D139&gt;0,D139,IFERROR(VLOOKUP(B139,Productos!$A$5:$C$44,3,FALSE),0)))</f>
        <v/>
      </c>
    </row>
    <row r="140">
      <c r="A140" s="13" t="n"/>
      <c r="B140" s="7" t="n"/>
      <c r="C140" s="14" t="n"/>
      <c r="D140" s="5" t="n"/>
      <c r="E140" s="9">
        <f>IF(B140="","",C140*IF(D140&gt;0,D140,IFERROR(VLOOKUP(B140,Productos!$A$5:$C$44,3,FALSE),0)))</f>
        <v/>
      </c>
    </row>
    <row r="141">
      <c r="A141" s="13" t="n"/>
      <c r="B141" s="7" t="n"/>
      <c r="C141" s="14" t="n"/>
      <c r="D141" s="5" t="n"/>
      <c r="E141" s="9">
        <f>IF(B141="","",C141*IF(D141&gt;0,D141,IFERROR(VLOOKUP(B141,Productos!$A$5:$C$44,3,FALSE),0)))</f>
        <v/>
      </c>
    </row>
    <row r="142">
      <c r="A142" s="13" t="n"/>
      <c r="B142" s="7" t="n"/>
      <c r="C142" s="14" t="n"/>
      <c r="D142" s="5" t="n"/>
      <c r="E142" s="9">
        <f>IF(B142="","",C142*IF(D142&gt;0,D142,IFERROR(VLOOKUP(B142,Productos!$A$5:$C$44,3,FALSE),0)))</f>
        <v/>
      </c>
    </row>
    <row r="143">
      <c r="A143" s="13" t="n"/>
      <c r="B143" s="7" t="n"/>
      <c r="C143" s="14" t="n"/>
      <c r="D143" s="5" t="n"/>
      <c r="E143" s="9">
        <f>IF(B143="","",C143*IF(D143&gt;0,D143,IFERROR(VLOOKUP(B143,Productos!$A$5:$C$44,3,FALSE),0)))</f>
        <v/>
      </c>
    </row>
    <row r="144">
      <c r="A144" s="13" t="n"/>
      <c r="B144" s="7" t="n"/>
      <c r="C144" s="14" t="n"/>
      <c r="D144" s="5" t="n"/>
      <c r="E144" s="9">
        <f>IF(B144="","",C144*IF(D144&gt;0,D144,IFERROR(VLOOKUP(B144,Productos!$A$5:$C$44,3,FALSE),0)))</f>
        <v/>
      </c>
    </row>
    <row r="145">
      <c r="A145" s="13" t="n"/>
      <c r="B145" s="7" t="n"/>
      <c r="C145" s="14" t="n"/>
      <c r="D145" s="5" t="n"/>
      <c r="E145" s="9">
        <f>IF(B145="","",C145*IF(D145&gt;0,D145,IFERROR(VLOOKUP(B145,Productos!$A$5:$C$44,3,FALSE),0)))</f>
        <v/>
      </c>
    </row>
    <row r="146">
      <c r="A146" s="13" t="n"/>
      <c r="B146" s="7" t="n"/>
      <c r="C146" s="14" t="n"/>
      <c r="D146" s="5" t="n"/>
      <c r="E146" s="9">
        <f>IF(B146="","",C146*IF(D146&gt;0,D146,IFERROR(VLOOKUP(B146,Productos!$A$5:$C$44,3,FALSE),0)))</f>
        <v/>
      </c>
    </row>
    <row r="147">
      <c r="A147" s="13" t="n"/>
      <c r="B147" s="7" t="n"/>
      <c r="C147" s="14" t="n"/>
      <c r="D147" s="5" t="n"/>
      <c r="E147" s="9">
        <f>IF(B147="","",C147*IF(D147&gt;0,D147,IFERROR(VLOOKUP(B147,Productos!$A$5:$C$44,3,FALSE),0)))</f>
        <v/>
      </c>
    </row>
    <row r="148">
      <c r="A148" s="13" t="n"/>
      <c r="B148" s="7" t="n"/>
      <c r="C148" s="14" t="n"/>
      <c r="D148" s="5" t="n"/>
      <c r="E148" s="9">
        <f>IF(B148="","",C148*IF(D148&gt;0,D148,IFERROR(VLOOKUP(B148,Productos!$A$5:$C$44,3,FALSE),0)))</f>
        <v/>
      </c>
    </row>
    <row r="149">
      <c r="A149" s="13" t="n"/>
      <c r="B149" s="7" t="n"/>
      <c r="C149" s="14" t="n"/>
      <c r="D149" s="5" t="n"/>
      <c r="E149" s="9">
        <f>IF(B149="","",C149*IF(D149&gt;0,D149,IFERROR(VLOOKUP(B149,Productos!$A$5:$C$44,3,FALSE),0)))</f>
        <v/>
      </c>
    </row>
    <row r="150">
      <c r="A150" s="13" t="n"/>
      <c r="B150" s="7" t="n"/>
      <c r="C150" s="14" t="n"/>
      <c r="D150" s="5" t="n"/>
      <c r="E150" s="9">
        <f>IF(B150="","",C150*IF(D150&gt;0,D150,IFERROR(VLOOKUP(B150,Productos!$A$5:$C$44,3,FALSE),0)))</f>
        <v/>
      </c>
    </row>
    <row r="151">
      <c r="A151" s="13" t="n"/>
      <c r="B151" s="7" t="n"/>
      <c r="C151" s="14" t="n"/>
      <c r="D151" s="5" t="n"/>
      <c r="E151" s="9">
        <f>IF(B151="","",C151*IF(D151&gt;0,D151,IFERROR(VLOOKUP(B151,Productos!$A$5:$C$44,3,FALSE),0)))</f>
        <v/>
      </c>
    </row>
    <row r="152">
      <c r="A152" s="13" t="n"/>
      <c r="B152" s="7" t="n"/>
      <c r="C152" s="14" t="n"/>
      <c r="D152" s="5" t="n"/>
      <c r="E152" s="9">
        <f>IF(B152="","",C152*IF(D152&gt;0,D152,IFERROR(VLOOKUP(B152,Productos!$A$5:$C$44,3,FALSE),0)))</f>
        <v/>
      </c>
    </row>
    <row r="153">
      <c r="A153" s="13" t="n"/>
      <c r="B153" s="7" t="n"/>
      <c r="C153" s="14" t="n"/>
      <c r="D153" s="5" t="n"/>
      <c r="E153" s="9">
        <f>IF(B153="","",C153*IF(D153&gt;0,D153,IFERROR(VLOOKUP(B153,Productos!$A$5:$C$44,3,FALSE),0)))</f>
        <v/>
      </c>
    </row>
    <row r="154">
      <c r="A154" s="13" t="n"/>
      <c r="B154" s="7" t="n"/>
      <c r="C154" s="14" t="n"/>
      <c r="D154" s="5" t="n"/>
      <c r="E154" s="9">
        <f>IF(B154="","",C154*IF(D154&gt;0,D154,IFERROR(VLOOKUP(B154,Productos!$A$5:$C$44,3,FALSE),0)))</f>
        <v/>
      </c>
    </row>
    <row r="155">
      <c r="A155" s="13" t="n"/>
      <c r="B155" s="7" t="n"/>
      <c r="C155" s="14" t="n"/>
      <c r="D155" s="5" t="n"/>
      <c r="E155" s="9">
        <f>IF(B155="","",C155*IF(D155&gt;0,D155,IFERROR(VLOOKUP(B155,Productos!$A$5:$C$44,3,FALSE),0)))</f>
        <v/>
      </c>
    </row>
    <row r="156">
      <c r="A156" s="13" t="n"/>
      <c r="B156" s="7" t="n"/>
      <c r="C156" s="14" t="n"/>
      <c r="D156" s="5" t="n"/>
      <c r="E156" s="9">
        <f>IF(B156="","",C156*IF(D156&gt;0,D156,IFERROR(VLOOKUP(B156,Productos!$A$5:$C$44,3,FALSE),0)))</f>
        <v/>
      </c>
    </row>
    <row r="157">
      <c r="A157" s="13" t="n"/>
      <c r="B157" s="7" t="n"/>
      <c r="C157" s="14" t="n"/>
      <c r="D157" s="5" t="n"/>
      <c r="E157" s="9">
        <f>IF(B157="","",C157*IF(D157&gt;0,D157,IFERROR(VLOOKUP(B157,Productos!$A$5:$C$44,3,FALSE),0)))</f>
        <v/>
      </c>
    </row>
    <row r="158">
      <c r="A158" s="13" t="n"/>
      <c r="B158" s="7" t="n"/>
      <c r="C158" s="14" t="n"/>
      <c r="D158" s="5" t="n"/>
      <c r="E158" s="9">
        <f>IF(B158="","",C158*IF(D158&gt;0,D158,IFERROR(VLOOKUP(B158,Productos!$A$5:$C$44,3,FALSE),0)))</f>
        <v/>
      </c>
    </row>
    <row r="159">
      <c r="A159" s="13" t="n"/>
      <c r="B159" s="7" t="n"/>
      <c r="C159" s="14" t="n"/>
      <c r="D159" s="5" t="n"/>
      <c r="E159" s="9">
        <f>IF(B159="","",C159*IF(D159&gt;0,D159,IFERROR(VLOOKUP(B159,Productos!$A$5:$C$44,3,FALSE),0)))</f>
        <v/>
      </c>
    </row>
    <row r="160">
      <c r="A160" s="13" t="n"/>
      <c r="B160" s="7" t="n"/>
      <c r="C160" s="14" t="n"/>
      <c r="D160" s="5" t="n"/>
      <c r="E160" s="9">
        <f>IF(B160="","",C160*IF(D160&gt;0,D160,IFERROR(VLOOKUP(B160,Productos!$A$5:$C$44,3,FALSE),0)))</f>
        <v/>
      </c>
    </row>
    <row r="161">
      <c r="A161" s="13" t="n"/>
      <c r="B161" s="7" t="n"/>
      <c r="C161" s="14" t="n"/>
      <c r="D161" s="5" t="n"/>
      <c r="E161" s="9">
        <f>IF(B161="","",C161*IF(D161&gt;0,D161,IFERROR(VLOOKUP(B161,Productos!$A$5:$C$44,3,FALSE),0)))</f>
        <v/>
      </c>
    </row>
    <row r="162">
      <c r="A162" s="13" t="n"/>
      <c r="B162" s="7" t="n"/>
      <c r="C162" s="14" t="n"/>
      <c r="D162" s="5" t="n"/>
      <c r="E162" s="9">
        <f>IF(B162="","",C162*IF(D162&gt;0,D162,IFERROR(VLOOKUP(B162,Productos!$A$5:$C$44,3,FALSE),0)))</f>
        <v/>
      </c>
    </row>
    <row r="163">
      <c r="A163" s="13" t="n"/>
      <c r="B163" s="7" t="n"/>
      <c r="C163" s="14" t="n"/>
      <c r="D163" s="5" t="n"/>
      <c r="E163" s="9">
        <f>IF(B163="","",C163*IF(D163&gt;0,D163,IFERROR(VLOOKUP(B163,Productos!$A$5:$C$44,3,FALSE),0)))</f>
        <v/>
      </c>
    </row>
    <row r="164">
      <c r="A164" s="13" t="n"/>
      <c r="B164" s="7" t="n"/>
      <c r="C164" s="14" t="n"/>
      <c r="D164" s="5" t="n"/>
      <c r="E164" s="9">
        <f>IF(B164="","",C164*IF(D164&gt;0,D164,IFERROR(VLOOKUP(B164,Productos!$A$5:$C$44,3,FALSE),0)))</f>
        <v/>
      </c>
    </row>
    <row r="165">
      <c r="A165" s="13" t="n"/>
      <c r="B165" s="7" t="n"/>
      <c r="C165" s="14" t="n"/>
      <c r="D165" s="5" t="n"/>
      <c r="E165" s="9">
        <f>IF(B165="","",C165*IF(D165&gt;0,D165,IFERROR(VLOOKUP(B165,Productos!$A$5:$C$44,3,FALSE),0)))</f>
        <v/>
      </c>
    </row>
    <row r="166">
      <c r="A166" s="13" t="n"/>
      <c r="B166" s="7" t="n"/>
      <c r="C166" s="14" t="n"/>
      <c r="D166" s="5" t="n"/>
      <c r="E166" s="9">
        <f>IF(B166="","",C166*IF(D166&gt;0,D166,IFERROR(VLOOKUP(B166,Productos!$A$5:$C$44,3,FALSE),0)))</f>
        <v/>
      </c>
    </row>
    <row r="167">
      <c r="A167" s="13" t="n"/>
      <c r="B167" s="7" t="n"/>
      <c r="C167" s="14" t="n"/>
      <c r="D167" s="5" t="n"/>
      <c r="E167" s="9">
        <f>IF(B167="","",C167*IF(D167&gt;0,D167,IFERROR(VLOOKUP(B167,Productos!$A$5:$C$44,3,FALSE),0)))</f>
        <v/>
      </c>
    </row>
    <row r="168">
      <c r="A168" s="13" t="n"/>
      <c r="B168" s="7" t="n"/>
      <c r="C168" s="14" t="n"/>
      <c r="D168" s="5" t="n"/>
      <c r="E168" s="9">
        <f>IF(B168="","",C168*IF(D168&gt;0,D168,IFERROR(VLOOKUP(B168,Productos!$A$5:$C$44,3,FALSE),0)))</f>
        <v/>
      </c>
    </row>
    <row r="169">
      <c r="A169" s="13" t="n"/>
      <c r="B169" s="7" t="n"/>
      <c r="C169" s="14" t="n"/>
      <c r="D169" s="5" t="n"/>
      <c r="E169" s="9">
        <f>IF(B169="","",C169*IF(D169&gt;0,D169,IFERROR(VLOOKUP(B169,Productos!$A$5:$C$44,3,FALSE),0)))</f>
        <v/>
      </c>
    </row>
    <row r="170">
      <c r="A170" s="13" t="n"/>
      <c r="B170" s="7" t="n"/>
      <c r="C170" s="14" t="n"/>
      <c r="D170" s="5" t="n"/>
      <c r="E170" s="9">
        <f>IF(B170="","",C170*IF(D170&gt;0,D170,IFERROR(VLOOKUP(B170,Productos!$A$5:$C$44,3,FALSE),0)))</f>
        <v/>
      </c>
    </row>
    <row r="171">
      <c r="A171" s="13" t="n"/>
      <c r="B171" s="7" t="n"/>
      <c r="C171" s="14" t="n"/>
      <c r="D171" s="5" t="n"/>
      <c r="E171" s="9">
        <f>IF(B171="","",C171*IF(D171&gt;0,D171,IFERROR(VLOOKUP(B171,Productos!$A$5:$C$44,3,FALSE),0)))</f>
        <v/>
      </c>
    </row>
    <row r="172">
      <c r="A172" s="13" t="n"/>
      <c r="B172" s="7" t="n"/>
      <c r="C172" s="14" t="n"/>
      <c r="D172" s="5" t="n"/>
      <c r="E172" s="9">
        <f>IF(B172="","",C172*IF(D172&gt;0,D172,IFERROR(VLOOKUP(B172,Productos!$A$5:$C$44,3,FALSE),0)))</f>
        <v/>
      </c>
    </row>
    <row r="173">
      <c r="A173" s="13" t="n"/>
      <c r="B173" s="7" t="n"/>
      <c r="C173" s="14" t="n"/>
      <c r="D173" s="5" t="n"/>
      <c r="E173" s="9">
        <f>IF(B173="","",C173*IF(D173&gt;0,D173,IFERROR(VLOOKUP(B173,Productos!$A$5:$C$44,3,FALSE),0)))</f>
        <v/>
      </c>
    </row>
    <row r="174">
      <c r="A174" s="13" t="n"/>
      <c r="B174" s="7" t="n"/>
      <c r="C174" s="14" t="n"/>
      <c r="D174" s="5" t="n"/>
      <c r="E174" s="9">
        <f>IF(B174="","",C174*IF(D174&gt;0,D174,IFERROR(VLOOKUP(B174,Productos!$A$5:$C$44,3,FALSE),0)))</f>
        <v/>
      </c>
    </row>
    <row r="175">
      <c r="A175" s="13" t="n"/>
      <c r="B175" s="7" t="n"/>
      <c r="C175" s="14" t="n"/>
      <c r="D175" s="5" t="n"/>
      <c r="E175" s="9">
        <f>IF(B175="","",C175*IF(D175&gt;0,D175,IFERROR(VLOOKUP(B175,Productos!$A$5:$C$44,3,FALSE),0)))</f>
        <v/>
      </c>
    </row>
    <row r="176">
      <c r="A176" s="13" t="n"/>
      <c r="B176" s="7" t="n"/>
      <c r="C176" s="14" t="n"/>
      <c r="D176" s="5" t="n"/>
      <c r="E176" s="9">
        <f>IF(B176="","",C176*IF(D176&gt;0,D176,IFERROR(VLOOKUP(B176,Productos!$A$5:$C$44,3,FALSE),0)))</f>
        <v/>
      </c>
    </row>
    <row r="177">
      <c r="A177" s="13" t="n"/>
      <c r="B177" s="7" t="n"/>
      <c r="C177" s="14" t="n"/>
      <c r="D177" s="5" t="n"/>
      <c r="E177" s="9">
        <f>IF(B177="","",C177*IF(D177&gt;0,D177,IFERROR(VLOOKUP(B177,Productos!$A$5:$C$44,3,FALSE),0)))</f>
        <v/>
      </c>
    </row>
    <row r="178">
      <c r="A178" s="13" t="n"/>
      <c r="B178" s="7" t="n"/>
      <c r="C178" s="14" t="n"/>
      <c r="D178" s="5" t="n"/>
      <c r="E178" s="9">
        <f>IF(B178="","",C178*IF(D178&gt;0,D178,IFERROR(VLOOKUP(B178,Productos!$A$5:$C$44,3,FALSE),0)))</f>
        <v/>
      </c>
    </row>
    <row r="179">
      <c r="A179" s="13" t="n"/>
      <c r="B179" s="7" t="n"/>
      <c r="C179" s="14" t="n"/>
      <c r="D179" s="5" t="n"/>
      <c r="E179" s="9">
        <f>IF(B179="","",C179*IF(D179&gt;0,D179,IFERROR(VLOOKUP(B179,Productos!$A$5:$C$44,3,FALSE),0)))</f>
        <v/>
      </c>
    </row>
    <row r="180">
      <c r="A180" s="13" t="n"/>
      <c r="B180" s="7" t="n"/>
      <c r="C180" s="14" t="n"/>
      <c r="D180" s="5" t="n"/>
      <c r="E180" s="9">
        <f>IF(B180="","",C180*IF(D180&gt;0,D180,IFERROR(VLOOKUP(B180,Productos!$A$5:$C$44,3,FALSE),0)))</f>
        <v/>
      </c>
    </row>
    <row r="181">
      <c r="A181" s="13" t="n"/>
      <c r="B181" s="7" t="n"/>
      <c r="C181" s="14" t="n"/>
      <c r="D181" s="5" t="n"/>
      <c r="E181" s="9">
        <f>IF(B181="","",C181*IF(D181&gt;0,D181,IFERROR(VLOOKUP(B181,Productos!$A$5:$C$44,3,FALSE),0)))</f>
        <v/>
      </c>
    </row>
    <row r="182">
      <c r="A182" s="13" t="n"/>
      <c r="B182" s="7" t="n"/>
      <c r="C182" s="14" t="n"/>
      <c r="D182" s="5" t="n"/>
      <c r="E182" s="9">
        <f>IF(B182="","",C182*IF(D182&gt;0,D182,IFERROR(VLOOKUP(B182,Productos!$A$5:$C$44,3,FALSE),0)))</f>
        <v/>
      </c>
    </row>
    <row r="183">
      <c r="A183" s="13" t="n"/>
      <c r="B183" s="7" t="n"/>
      <c r="C183" s="14" t="n"/>
      <c r="D183" s="5" t="n"/>
      <c r="E183" s="9">
        <f>IF(B183="","",C183*IF(D183&gt;0,D183,IFERROR(VLOOKUP(B183,Productos!$A$5:$C$44,3,FALSE),0)))</f>
        <v/>
      </c>
    </row>
    <row r="184">
      <c r="A184" s="13" t="n"/>
      <c r="B184" s="7" t="n"/>
      <c r="C184" s="14" t="n"/>
      <c r="D184" s="5" t="n"/>
      <c r="E184" s="9">
        <f>IF(B184="","",C184*IF(D184&gt;0,D184,IFERROR(VLOOKUP(B184,Productos!$A$5:$C$44,3,FALSE),0)))</f>
        <v/>
      </c>
    </row>
    <row r="185">
      <c r="A185" s="13" t="n"/>
      <c r="B185" s="7" t="n"/>
      <c r="C185" s="14" t="n"/>
      <c r="D185" s="5" t="n"/>
      <c r="E185" s="9">
        <f>IF(B185="","",C185*IF(D185&gt;0,D185,IFERROR(VLOOKUP(B185,Productos!$A$5:$C$44,3,FALSE),0)))</f>
        <v/>
      </c>
    </row>
    <row r="186">
      <c r="A186" s="13" t="n"/>
      <c r="B186" s="7" t="n"/>
      <c r="C186" s="14" t="n"/>
      <c r="D186" s="5" t="n"/>
      <c r="E186" s="9">
        <f>IF(B186="","",C186*IF(D186&gt;0,D186,IFERROR(VLOOKUP(B186,Productos!$A$5:$C$44,3,FALSE),0)))</f>
        <v/>
      </c>
    </row>
    <row r="187">
      <c r="A187" s="13" t="n"/>
      <c r="B187" s="7" t="n"/>
      <c r="C187" s="14" t="n"/>
      <c r="D187" s="5" t="n"/>
      <c r="E187" s="9">
        <f>IF(B187="","",C187*IF(D187&gt;0,D187,IFERROR(VLOOKUP(B187,Productos!$A$5:$C$44,3,FALSE),0)))</f>
        <v/>
      </c>
    </row>
    <row r="188">
      <c r="A188" s="13" t="n"/>
      <c r="B188" s="7" t="n"/>
      <c r="C188" s="14" t="n"/>
      <c r="D188" s="5" t="n"/>
      <c r="E188" s="9">
        <f>IF(B188="","",C188*IF(D188&gt;0,D188,IFERROR(VLOOKUP(B188,Productos!$A$5:$C$44,3,FALSE),0)))</f>
        <v/>
      </c>
    </row>
    <row r="189">
      <c r="A189" s="13" t="n"/>
      <c r="B189" s="7" t="n"/>
      <c r="C189" s="14" t="n"/>
      <c r="D189" s="5" t="n"/>
      <c r="E189" s="9">
        <f>IF(B189="","",C189*IF(D189&gt;0,D189,IFERROR(VLOOKUP(B189,Productos!$A$5:$C$44,3,FALSE),0)))</f>
        <v/>
      </c>
    </row>
    <row r="190">
      <c r="A190" s="13" t="n"/>
      <c r="B190" s="7" t="n"/>
      <c r="C190" s="14" t="n"/>
      <c r="D190" s="5" t="n"/>
      <c r="E190" s="9">
        <f>IF(B190="","",C190*IF(D190&gt;0,D190,IFERROR(VLOOKUP(B190,Productos!$A$5:$C$44,3,FALSE),0)))</f>
        <v/>
      </c>
    </row>
    <row r="191">
      <c r="A191" s="13" t="n"/>
      <c r="B191" s="7" t="n"/>
      <c r="C191" s="14" t="n"/>
      <c r="D191" s="5" t="n"/>
      <c r="E191" s="9">
        <f>IF(B191="","",C191*IF(D191&gt;0,D191,IFERROR(VLOOKUP(B191,Productos!$A$5:$C$44,3,FALSE),0)))</f>
        <v/>
      </c>
    </row>
    <row r="192">
      <c r="A192" s="13" t="n"/>
      <c r="B192" s="7" t="n"/>
      <c r="C192" s="14" t="n"/>
      <c r="D192" s="5" t="n"/>
      <c r="E192" s="9">
        <f>IF(B192="","",C192*IF(D192&gt;0,D192,IFERROR(VLOOKUP(B192,Productos!$A$5:$C$44,3,FALSE),0)))</f>
        <v/>
      </c>
    </row>
    <row r="193">
      <c r="A193" s="13" t="n"/>
      <c r="B193" s="7" t="n"/>
      <c r="C193" s="14" t="n"/>
      <c r="D193" s="5" t="n"/>
      <c r="E193" s="9">
        <f>IF(B193="","",C193*IF(D193&gt;0,D193,IFERROR(VLOOKUP(B193,Productos!$A$5:$C$44,3,FALSE),0)))</f>
        <v/>
      </c>
    </row>
    <row r="194">
      <c r="A194" s="13" t="n"/>
      <c r="B194" s="7" t="n"/>
      <c r="C194" s="14" t="n"/>
      <c r="D194" s="5" t="n"/>
      <c r="E194" s="9">
        <f>IF(B194="","",C194*IF(D194&gt;0,D194,IFERROR(VLOOKUP(B194,Productos!$A$5:$C$44,3,FALSE),0)))</f>
        <v/>
      </c>
    </row>
    <row r="195">
      <c r="A195" s="13" t="n"/>
      <c r="B195" s="7" t="n"/>
      <c r="C195" s="14" t="n"/>
      <c r="D195" s="5" t="n"/>
      <c r="E195" s="9">
        <f>IF(B195="","",C195*IF(D195&gt;0,D195,IFERROR(VLOOKUP(B195,Productos!$A$5:$C$44,3,FALSE),0)))</f>
        <v/>
      </c>
    </row>
    <row r="196">
      <c r="A196" s="13" t="n"/>
      <c r="B196" s="7" t="n"/>
      <c r="C196" s="14" t="n"/>
      <c r="D196" s="5" t="n"/>
      <c r="E196" s="9">
        <f>IF(B196="","",C196*IF(D196&gt;0,D196,IFERROR(VLOOKUP(B196,Productos!$A$5:$C$44,3,FALSE),0)))</f>
        <v/>
      </c>
    </row>
    <row r="197">
      <c r="A197" s="13" t="n"/>
      <c r="B197" s="7" t="n"/>
      <c r="C197" s="14" t="n"/>
      <c r="D197" s="5" t="n"/>
      <c r="E197" s="9">
        <f>IF(B197="","",C197*IF(D197&gt;0,D197,IFERROR(VLOOKUP(B197,Productos!$A$5:$C$44,3,FALSE),0)))</f>
        <v/>
      </c>
    </row>
    <row r="198">
      <c r="A198" s="13" t="n"/>
      <c r="B198" s="7" t="n"/>
      <c r="C198" s="14" t="n"/>
      <c r="D198" s="5" t="n"/>
      <c r="E198" s="9">
        <f>IF(B198="","",C198*IF(D198&gt;0,D198,IFERROR(VLOOKUP(B198,Productos!$A$5:$C$44,3,FALSE),0)))</f>
        <v/>
      </c>
    </row>
    <row r="199">
      <c r="A199" s="13" t="n"/>
      <c r="B199" s="7" t="n"/>
      <c r="C199" s="14" t="n"/>
      <c r="D199" s="5" t="n"/>
      <c r="E199" s="9">
        <f>IF(B199="","",C199*IF(D199&gt;0,D199,IFERROR(VLOOKUP(B199,Productos!$A$5:$C$44,3,FALSE),0)))</f>
        <v/>
      </c>
    </row>
    <row r="200">
      <c r="A200" s="13" t="n"/>
      <c r="B200" s="7" t="n"/>
      <c r="C200" s="14" t="n"/>
      <c r="D200" s="5" t="n"/>
      <c r="E200" s="9">
        <f>IF(B200="","",C200*IF(D200&gt;0,D200,IFERROR(VLOOKUP(B200,Productos!$A$5:$C$44,3,FALSE),0)))</f>
        <v/>
      </c>
    </row>
    <row r="201">
      <c r="A201" s="13" t="n"/>
      <c r="B201" s="7" t="n"/>
      <c r="C201" s="14" t="n"/>
      <c r="D201" s="5" t="n"/>
      <c r="E201" s="9">
        <f>IF(B201="","",C201*IF(D201&gt;0,D201,IFERROR(VLOOKUP(B201,Productos!$A$5:$C$44,3,FALSE),0)))</f>
        <v/>
      </c>
    </row>
    <row r="202">
      <c r="A202" s="13" t="n"/>
      <c r="B202" s="7" t="n"/>
      <c r="C202" s="14" t="n"/>
      <c r="D202" s="5" t="n"/>
      <c r="E202" s="9">
        <f>IF(B202="","",C202*IF(D202&gt;0,D202,IFERROR(VLOOKUP(B202,Productos!$A$5:$C$44,3,FALSE),0)))</f>
        <v/>
      </c>
    </row>
    <row r="203">
      <c r="A203" s="13" t="n"/>
      <c r="B203" s="7" t="n"/>
      <c r="C203" s="14" t="n"/>
      <c r="D203" s="5" t="n"/>
      <c r="E203" s="9">
        <f>IF(B203="","",C203*IF(D203&gt;0,D203,IFERROR(VLOOKUP(B203,Productos!$A$5:$C$44,3,FALSE),0)))</f>
        <v/>
      </c>
    </row>
    <row r="204">
      <c r="A204" s="13" t="n"/>
      <c r="B204" s="7" t="n"/>
      <c r="C204" s="14" t="n"/>
      <c r="D204" s="5" t="n"/>
      <c r="E204" s="9">
        <f>IF(B204="","",C204*IF(D204&gt;0,D204,IFERROR(VLOOKUP(B204,Productos!$A$5:$C$44,3,FALSE),0)))</f>
        <v/>
      </c>
    </row>
    <row r="205">
      <c r="A205" s="13" t="n"/>
      <c r="B205" s="7" t="n"/>
      <c r="C205" s="14" t="n"/>
      <c r="D205" s="5" t="n"/>
      <c r="E205" s="9">
        <f>IF(B205="","",C205*IF(D205&gt;0,D205,IFERROR(VLOOKUP(B205,Productos!$A$5:$C$44,3,FALSE),0)))</f>
        <v/>
      </c>
    </row>
    <row r="206">
      <c r="A206" s="13" t="n"/>
      <c r="B206" s="7" t="n"/>
      <c r="C206" s="14" t="n"/>
      <c r="D206" s="5" t="n"/>
      <c r="E206" s="9">
        <f>IF(B206="","",C206*IF(D206&gt;0,D206,IFERROR(VLOOKUP(B206,Productos!$A$5:$C$44,3,FALSE),0)))</f>
        <v/>
      </c>
    </row>
    <row r="207">
      <c r="A207" s="13" t="n"/>
      <c r="B207" s="7" t="n"/>
      <c r="C207" s="14" t="n"/>
      <c r="D207" s="5" t="n"/>
      <c r="E207" s="9">
        <f>IF(B207="","",C207*IF(D207&gt;0,D207,IFERROR(VLOOKUP(B207,Productos!$A$5:$C$44,3,FALSE),0)))</f>
        <v/>
      </c>
    </row>
    <row r="208">
      <c r="A208" s="13" t="n"/>
      <c r="B208" s="7" t="n"/>
      <c r="C208" s="14" t="n"/>
      <c r="D208" s="5" t="n"/>
      <c r="E208" s="9">
        <f>IF(B208="","",C208*IF(D208&gt;0,D208,IFERROR(VLOOKUP(B208,Productos!$A$5:$C$44,3,FALSE),0)))</f>
        <v/>
      </c>
    </row>
    <row r="209">
      <c r="A209" s="13" t="n"/>
      <c r="B209" s="7" t="n"/>
      <c r="C209" s="14" t="n"/>
      <c r="D209" s="5" t="n"/>
      <c r="E209" s="9">
        <f>IF(B209="","",C209*IF(D209&gt;0,D209,IFERROR(VLOOKUP(B209,Productos!$A$5:$C$44,3,FALSE),0)))</f>
        <v/>
      </c>
    </row>
    <row r="210">
      <c r="A210" s="13" t="n"/>
      <c r="B210" s="7" t="n"/>
      <c r="C210" s="14" t="n"/>
      <c r="D210" s="5" t="n"/>
      <c r="E210" s="9">
        <f>IF(B210="","",C210*IF(D210&gt;0,D210,IFERROR(VLOOKUP(B210,Productos!$A$5:$C$44,3,FALSE),0)))</f>
        <v/>
      </c>
    </row>
    <row r="211">
      <c r="A211" s="13" t="n"/>
      <c r="B211" s="7" t="n"/>
      <c r="C211" s="14" t="n"/>
      <c r="D211" s="5" t="n"/>
      <c r="E211" s="9">
        <f>IF(B211="","",C211*IF(D211&gt;0,D211,IFERROR(VLOOKUP(B211,Productos!$A$5:$C$44,3,FALSE),0)))</f>
        <v/>
      </c>
    </row>
    <row r="212">
      <c r="A212" s="13" t="n"/>
      <c r="B212" s="7" t="n"/>
      <c r="C212" s="14" t="n"/>
      <c r="D212" s="5" t="n"/>
      <c r="E212" s="9">
        <f>IF(B212="","",C212*IF(D212&gt;0,D212,IFERROR(VLOOKUP(B212,Productos!$A$5:$C$44,3,FALSE),0)))</f>
        <v/>
      </c>
    </row>
    <row r="213">
      <c r="A213" s="13" t="n"/>
      <c r="B213" s="7" t="n"/>
      <c r="C213" s="14" t="n"/>
      <c r="D213" s="5" t="n"/>
      <c r="E213" s="9">
        <f>IF(B213="","",C213*IF(D213&gt;0,D213,IFERROR(VLOOKUP(B213,Productos!$A$5:$C$44,3,FALSE),0)))</f>
        <v/>
      </c>
    </row>
    <row r="214">
      <c r="A214" s="13" t="n"/>
      <c r="B214" s="7" t="n"/>
      <c r="C214" s="14" t="n"/>
      <c r="D214" s="5" t="n"/>
      <c r="E214" s="9">
        <f>IF(B214="","",C214*IF(D214&gt;0,D214,IFERROR(VLOOKUP(B214,Productos!$A$5:$C$44,3,FALSE),0)))</f>
        <v/>
      </c>
    </row>
    <row r="215">
      <c r="A215" s="13" t="n"/>
      <c r="B215" s="7" t="n"/>
      <c r="C215" s="14" t="n"/>
      <c r="D215" s="5" t="n"/>
      <c r="E215" s="9">
        <f>IF(B215="","",C215*IF(D215&gt;0,D215,IFERROR(VLOOKUP(B215,Productos!$A$5:$C$44,3,FALSE),0)))</f>
        <v/>
      </c>
    </row>
    <row r="216">
      <c r="A216" s="13" t="n"/>
      <c r="B216" s="7" t="n"/>
      <c r="C216" s="14" t="n"/>
      <c r="D216" s="5" t="n"/>
      <c r="E216" s="9">
        <f>IF(B216="","",C216*IF(D216&gt;0,D216,IFERROR(VLOOKUP(B216,Productos!$A$5:$C$44,3,FALSE),0)))</f>
        <v/>
      </c>
    </row>
    <row r="217">
      <c r="A217" s="13" t="n"/>
      <c r="B217" s="7" t="n"/>
      <c r="C217" s="14" t="n"/>
      <c r="D217" s="5" t="n"/>
      <c r="E217" s="9">
        <f>IF(B217="","",C217*IF(D217&gt;0,D217,IFERROR(VLOOKUP(B217,Productos!$A$5:$C$44,3,FALSE),0)))</f>
        <v/>
      </c>
    </row>
    <row r="218">
      <c r="A218" s="13" t="n"/>
      <c r="B218" s="7" t="n"/>
      <c r="C218" s="14" t="n"/>
      <c r="D218" s="5" t="n"/>
      <c r="E218" s="9">
        <f>IF(B218="","",C218*IF(D218&gt;0,D218,IFERROR(VLOOKUP(B218,Productos!$A$5:$C$44,3,FALSE),0)))</f>
        <v/>
      </c>
    </row>
    <row r="219">
      <c r="A219" s="13" t="n"/>
      <c r="B219" s="7" t="n"/>
      <c r="C219" s="14" t="n"/>
      <c r="D219" s="5" t="n"/>
      <c r="E219" s="9">
        <f>IF(B219="","",C219*IF(D219&gt;0,D219,IFERROR(VLOOKUP(B219,Productos!$A$5:$C$44,3,FALSE),0)))</f>
        <v/>
      </c>
    </row>
    <row r="220">
      <c r="A220" s="13" t="n"/>
      <c r="B220" s="7" t="n"/>
      <c r="C220" s="14" t="n"/>
      <c r="D220" s="5" t="n"/>
      <c r="E220" s="9">
        <f>IF(B220="","",C220*IF(D220&gt;0,D220,IFERROR(VLOOKUP(B220,Productos!$A$5:$C$44,3,FALSE),0)))</f>
        <v/>
      </c>
    </row>
    <row r="221">
      <c r="A221" s="13" t="n"/>
      <c r="B221" s="7" t="n"/>
      <c r="C221" s="14" t="n"/>
      <c r="D221" s="5" t="n"/>
      <c r="E221" s="9">
        <f>IF(B221="","",C221*IF(D221&gt;0,D221,IFERROR(VLOOKUP(B221,Productos!$A$5:$C$44,3,FALSE),0)))</f>
        <v/>
      </c>
    </row>
    <row r="222">
      <c r="A222" s="13" t="n"/>
      <c r="B222" s="7" t="n"/>
      <c r="C222" s="14" t="n"/>
      <c r="D222" s="5" t="n"/>
      <c r="E222" s="9">
        <f>IF(B222="","",C222*IF(D222&gt;0,D222,IFERROR(VLOOKUP(B222,Productos!$A$5:$C$44,3,FALSE),0)))</f>
        <v/>
      </c>
    </row>
    <row r="223">
      <c r="A223" s="13" t="n"/>
      <c r="B223" s="7" t="n"/>
      <c r="C223" s="14" t="n"/>
      <c r="D223" s="5" t="n"/>
      <c r="E223" s="9">
        <f>IF(B223="","",C223*IF(D223&gt;0,D223,IFERROR(VLOOKUP(B223,Productos!$A$5:$C$44,3,FALSE),0)))</f>
        <v/>
      </c>
    </row>
    <row r="224">
      <c r="A224" s="13" t="n"/>
      <c r="B224" s="7" t="n"/>
      <c r="C224" s="14" t="n"/>
      <c r="D224" s="5" t="n"/>
      <c r="E224" s="9">
        <f>IF(B224="","",C224*IF(D224&gt;0,D224,IFERROR(VLOOKUP(B224,Productos!$A$5:$C$44,3,FALSE),0)))</f>
        <v/>
      </c>
    </row>
    <row r="225">
      <c r="A225" s="13" t="n"/>
      <c r="B225" s="7" t="n"/>
      <c r="C225" s="14" t="n"/>
      <c r="D225" s="5" t="n"/>
      <c r="E225" s="9">
        <f>IF(B225="","",C225*IF(D225&gt;0,D225,IFERROR(VLOOKUP(B225,Productos!$A$5:$C$44,3,FALSE),0)))</f>
        <v/>
      </c>
    </row>
    <row r="226">
      <c r="A226" s="13" t="n"/>
      <c r="B226" s="7" t="n"/>
      <c r="C226" s="14" t="n"/>
      <c r="D226" s="5" t="n"/>
      <c r="E226" s="9">
        <f>IF(B226="","",C226*IF(D226&gt;0,D226,IFERROR(VLOOKUP(B226,Productos!$A$5:$C$44,3,FALSE),0)))</f>
        <v/>
      </c>
    </row>
    <row r="227">
      <c r="A227" s="13" t="n"/>
      <c r="B227" s="7" t="n"/>
      <c r="C227" s="14" t="n"/>
      <c r="D227" s="5" t="n"/>
      <c r="E227" s="9">
        <f>IF(B227="","",C227*IF(D227&gt;0,D227,IFERROR(VLOOKUP(B227,Productos!$A$5:$C$44,3,FALSE),0)))</f>
        <v/>
      </c>
    </row>
    <row r="228">
      <c r="A228" s="13" t="n"/>
      <c r="B228" s="7" t="n"/>
      <c r="C228" s="14" t="n"/>
      <c r="D228" s="5" t="n"/>
      <c r="E228" s="9">
        <f>IF(B228="","",C228*IF(D228&gt;0,D228,IFERROR(VLOOKUP(B228,Productos!$A$5:$C$44,3,FALSE),0)))</f>
        <v/>
      </c>
    </row>
    <row r="229">
      <c r="A229" s="13" t="n"/>
      <c r="B229" s="7" t="n"/>
      <c r="C229" s="14" t="n"/>
      <c r="D229" s="5" t="n"/>
      <c r="E229" s="9">
        <f>IF(B229="","",C229*IF(D229&gt;0,D229,IFERROR(VLOOKUP(B229,Productos!$A$5:$C$44,3,FALSE),0)))</f>
        <v/>
      </c>
    </row>
    <row r="230">
      <c r="A230" s="13" t="n"/>
      <c r="B230" s="7" t="n"/>
      <c r="C230" s="14" t="n"/>
      <c r="D230" s="5" t="n"/>
      <c r="E230" s="9">
        <f>IF(B230="","",C230*IF(D230&gt;0,D230,IFERROR(VLOOKUP(B230,Productos!$A$5:$C$44,3,FALSE),0)))</f>
        <v/>
      </c>
    </row>
    <row r="231">
      <c r="A231" s="13" t="n"/>
      <c r="B231" s="7" t="n"/>
      <c r="C231" s="14" t="n"/>
      <c r="D231" s="5" t="n"/>
      <c r="E231" s="9">
        <f>IF(B231="","",C231*IF(D231&gt;0,D231,IFERROR(VLOOKUP(B231,Productos!$A$5:$C$44,3,FALSE),0)))</f>
        <v/>
      </c>
    </row>
    <row r="232">
      <c r="A232" s="13" t="n"/>
      <c r="B232" s="7" t="n"/>
      <c r="C232" s="14" t="n"/>
      <c r="D232" s="5" t="n"/>
      <c r="E232" s="9">
        <f>IF(B232="","",C232*IF(D232&gt;0,D232,IFERROR(VLOOKUP(B232,Productos!$A$5:$C$44,3,FALSE),0)))</f>
        <v/>
      </c>
    </row>
    <row r="233">
      <c r="A233" s="13" t="n"/>
      <c r="B233" s="7" t="n"/>
      <c r="C233" s="14" t="n"/>
      <c r="D233" s="5" t="n"/>
      <c r="E233" s="9">
        <f>IF(B233="","",C233*IF(D233&gt;0,D233,IFERROR(VLOOKUP(B233,Productos!$A$5:$C$44,3,FALSE),0)))</f>
        <v/>
      </c>
    </row>
    <row r="234">
      <c r="A234" s="13" t="n"/>
      <c r="B234" s="7" t="n"/>
      <c r="C234" s="14" t="n"/>
      <c r="D234" s="5" t="n"/>
      <c r="E234" s="9">
        <f>IF(B234="","",C234*IF(D234&gt;0,D234,IFERROR(VLOOKUP(B234,Productos!$A$5:$C$44,3,FALSE),0)))</f>
        <v/>
      </c>
    </row>
    <row r="235">
      <c r="A235" s="13" t="n"/>
      <c r="B235" s="7" t="n"/>
      <c r="C235" s="14" t="n"/>
      <c r="D235" s="5" t="n"/>
      <c r="E235" s="9">
        <f>IF(B235="","",C235*IF(D235&gt;0,D235,IFERROR(VLOOKUP(B235,Productos!$A$5:$C$44,3,FALSE),0)))</f>
        <v/>
      </c>
    </row>
    <row r="236">
      <c r="A236" s="13" t="n"/>
      <c r="B236" s="7" t="n"/>
      <c r="C236" s="14" t="n"/>
      <c r="D236" s="5" t="n"/>
      <c r="E236" s="9">
        <f>IF(B236="","",C236*IF(D236&gt;0,D236,IFERROR(VLOOKUP(B236,Productos!$A$5:$C$44,3,FALSE),0)))</f>
        <v/>
      </c>
    </row>
    <row r="237">
      <c r="A237" s="13" t="n"/>
      <c r="B237" s="7" t="n"/>
      <c r="C237" s="14" t="n"/>
      <c r="D237" s="5" t="n"/>
      <c r="E237" s="9">
        <f>IF(B237="","",C237*IF(D237&gt;0,D237,IFERROR(VLOOKUP(B237,Productos!$A$5:$C$44,3,FALSE),0)))</f>
        <v/>
      </c>
    </row>
    <row r="238">
      <c r="A238" s="13" t="n"/>
      <c r="B238" s="7" t="n"/>
      <c r="C238" s="14" t="n"/>
      <c r="D238" s="5" t="n"/>
      <c r="E238" s="9">
        <f>IF(B238="","",C238*IF(D238&gt;0,D238,IFERROR(VLOOKUP(B238,Productos!$A$5:$C$44,3,FALSE),0)))</f>
        <v/>
      </c>
    </row>
    <row r="239">
      <c r="A239" s="13" t="n"/>
      <c r="B239" s="7" t="n"/>
      <c r="C239" s="14" t="n"/>
      <c r="D239" s="5" t="n"/>
      <c r="E239" s="9">
        <f>IF(B239="","",C239*IF(D239&gt;0,D239,IFERROR(VLOOKUP(B239,Productos!$A$5:$C$44,3,FALSE),0)))</f>
        <v/>
      </c>
    </row>
    <row r="240">
      <c r="A240" s="13" t="n"/>
      <c r="B240" s="7" t="n"/>
      <c r="C240" s="14" t="n"/>
      <c r="D240" s="5" t="n"/>
      <c r="E240" s="9">
        <f>IF(B240="","",C240*IF(D240&gt;0,D240,IFERROR(VLOOKUP(B240,Productos!$A$5:$C$44,3,FALSE),0)))</f>
        <v/>
      </c>
    </row>
    <row r="241">
      <c r="A241" s="13" t="n"/>
      <c r="B241" s="7" t="n"/>
      <c r="C241" s="14" t="n"/>
      <c r="D241" s="5" t="n"/>
      <c r="E241" s="9">
        <f>IF(B241="","",C241*IF(D241&gt;0,D241,IFERROR(VLOOKUP(B241,Productos!$A$5:$C$44,3,FALSE),0)))</f>
        <v/>
      </c>
    </row>
    <row r="242">
      <c r="A242" s="13" t="n"/>
      <c r="B242" s="7" t="n"/>
      <c r="C242" s="14" t="n"/>
      <c r="D242" s="5" t="n"/>
      <c r="E242" s="9">
        <f>IF(B242="","",C242*IF(D242&gt;0,D242,IFERROR(VLOOKUP(B242,Productos!$A$5:$C$44,3,FALSE),0)))</f>
        <v/>
      </c>
    </row>
    <row r="243">
      <c r="A243" s="13" t="n"/>
      <c r="B243" s="7" t="n"/>
      <c r="C243" s="14" t="n"/>
      <c r="D243" s="5" t="n"/>
      <c r="E243" s="9">
        <f>IF(B243="","",C243*IF(D243&gt;0,D243,IFERROR(VLOOKUP(B243,Productos!$A$5:$C$44,3,FALSE),0)))</f>
        <v/>
      </c>
    </row>
    <row r="244">
      <c r="A244" s="13" t="n"/>
      <c r="B244" s="7" t="n"/>
      <c r="C244" s="14" t="n"/>
      <c r="D244" s="5" t="n"/>
      <c r="E244" s="9">
        <f>IF(B244="","",C244*IF(D244&gt;0,D244,IFERROR(VLOOKUP(B244,Productos!$A$5:$C$44,3,FALSE),0)))</f>
        <v/>
      </c>
    </row>
    <row r="245">
      <c r="A245" s="13" t="n"/>
      <c r="B245" s="7" t="n"/>
      <c r="C245" s="14" t="n"/>
      <c r="D245" s="5" t="n"/>
      <c r="E245" s="9">
        <f>IF(B245="","",C245*IF(D245&gt;0,D245,IFERROR(VLOOKUP(B245,Productos!$A$5:$C$44,3,FALSE),0)))</f>
        <v/>
      </c>
    </row>
    <row r="246">
      <c r="A246" s="13" t="n"/>
      <c r="B246" s="7" t="n"/>
      <c r="C246" s="14" t="n"/>
      <c r="D246" s="5" t="n"/>
      <c r="E246" s="9">
        <f>IF(B246="","",C246*IF(D246&gt;0,D246,IFERROR(VLOOKUP(B246,Productos!$A$5:$C$44,3,FALSE),0)))</f>
        <v/>
      </c>
    </row>
    <row r="247">
      <c r="A247" s="13" t="n"/>
      <c r="B247" s="7" t="n"/>
      <c r="C247" s="14" t="n"/>
      <c r="D247" s="5" t="n"/>
      <c r="E247" s="9">
        <f>IF(B247="","",C247*IF(D247&gt;0,D247,IFERROR(VLOOKUP(B247,Productos!$A$5:$C$44,3,FALSE),0)))</f>
        <v/>
      </c>
    </row>
    <row r="248">
      <c r="A248" s="13" t="n"/>
      <c r="B248" s="7" t="n"/>
      <c r="C248" s="14" t="n"/>
      <c r="D248" s="5" t="n"/>
      <c r="E248" s="9">
        <f>IF(B248="","",C248*IF(D248&gt;0,D248,IFERROR(VLOOKUP(B248,Productos!$A$5:$C$44,3,FALSE),0)))</f>
        <v/>
      </c>
    </row>
    <row r="249">
      <c r="A249" s="13" t="n"/>
      <c r="B249" s="7" t="n"/>
      <c r="C249" s="14" t="n"/>
      <c r="D249" s="5" t="n"/>
      <c r="E249" s="9">
        <f>IF(B249="","",C249*IF(D249&gt;0,D249,IFERROR(VLOOKUP(B249,Productos!$A$5:$C$44,3,FALSE),0)))</f>
        <v/>
      </c>
    </row>
    <row r="250">
      <c r="A250" s="13" t="n"/>
      <c r="B250" s="7" t="n"/>
      <c r="C250" s="14" t="n"/>
      <c r="D250" s="5" t="n"/>
      <c r="E250" s="9">
        <f>IF(B250="","",C250*IF(D250&gt;0,D250,IFERROR(VLOOKUP(B250,Productos!$A$5:$C$44,3,FALSE),0)))</f>
        <v/>
      </c>
    </row>
    <row r="251">
      <c r="A251" s="13" t="n"/>
      <c r="B251" s="7" t="n"/>
      <c r="C251" s="14" t="n"/>
      <c r="D251" s="5" t="n"/>
      <c r="E251" s="9">
        <f>IF(B251="","",C251*IF(D251&gt;0,D251,IFERROR(VLOOKUP(B251,Productos!$A$5:$C$44,3,FALSE),0)))</f>
        <v/>
      </c>
    </row>
    <row r="252">
      <c r="A252" s="13" t="n"/>
      <c r="B252" s="7" t="n"/>
      <c r="C252" s="14" t="n"/>
      <c r="D252" s="5" t="n"/>
      <c r="E252" s="9">
        <f>IF(B252="","",C252*IF(D252&gt;0,D252,IFERROR(VLOOKUP(B252,Productos!$A$5:$C$44,3,FALSE),0)))</f>
        <v/>
      </c>
    </row>
    <row r="253">
      <c r="A253" s="13" t="n"/>
      <c r="B253" s="7" t="n"/>
      <c r="C253" s="14" t="n"/>
      <c r="D253" s="5" t="n"/>
      <c r="E253" s="9">
        <f>IF(B253="","",C253*IF(D253&gt;0,D253,IFERROR(VLOOKUP(B253,Productos!$A$5:$C$44,3,FALSE),0)))</f>
        <v/>
      </c>
    </row>
    <row r="254">
      <c r="A254" s="13" t="n"/>
      <c r="B254" s="7" t="n"/>
      <c r="C254" s="14" t="n"/>
      <c r="D254" s="5" t="n"/>
      <c r="E254" s="9">
        <f>IF(B254="","",C254*IF(D254&gt;0,D254,IFERROR(VLOOKUP(B254,Productos!$A$5:$C$44,3,FALSE),0)))</f>
        <v/>
      </c>
    </row>
    <row r="255">
      <c r="A255" s="13" t="n"/>
      <c r="B255" s="7" t="n"/>
      <c r="C255" s="14" t="n"/>
      <c r="D255" s="5" t="n"/>
      <c r="E255" s="9">
        <f>IF(B255="","",C255*IF(D255&gt;0,D255,IFERROR(VLOOKUP(B255,Productos!$A$5:$C$44,3,FALSE),0)))</f>
        <v/>
      </c>
    </row>
    <row r="256">
      <c r="A256" s="13" t="n"/>
      <c r="B256" s="7" t="n"/>
      <c r="C256" s="14" t="n"/>
      <c r="D256" s="5" t="n"/>
      <c r="E256" s="9">
        <f>IF(B256="","",C256*IF(D256&gt;0,D256,IFERROR(VLOOKUP(B256,Productos!$A$5:$C$44,3,FALSE),0)))</f>
        <v/>
      </c>
    </row>
    <row r="257">
      <c r="A257" s="13" t="n"/>
      <c r="B257" s="7" t="n"/>
      <c r="C257" s="14" t="n"/>
      <c r="D257" s="5" t="n"/>
      <c r="E257" s="9">
        <f>IF(B257="","",C257*IF(D257&gt;0,D257,IFERROR(VLOOKUP(B257,Productos!$A$5:$C$44,3,FALSE),0)))</f>
        <v/>
      </c>
    </row>
    <row r="258">
      <c r="A258" s="13" t="n"/>
      <c r="B258" s="7" t="n"/>
      <c r="C258" s="14" t="n"/>
      <c r="D258" s="5" t="n"/>
      <c r="E258" s="9">
        <f>IF(B258="","",C258*IF(D258&gt;0,D258,IFERROR(VLOOKUP(B258,Productos!$A$5:$C$44,3,FALSE),0)))</f>
        <v/>
      </c>
    </row>
    <row r="259">
      <c r="A259" s="13" t="n"/>
      <c r="B259" s="7" t="n"/>
      <c r="C259" s="14" t="n"/>
      <c r="D259" s="5" t="n"/>
      <c r="E259" s="9">
        <f>IF(B259="","",C259*IF(D259&gt;0,D259,IFERROR(VLOOKUP(B259,Productos!$A$5:$C$44,3,FALSE),0)))</f>
        <v/>
      </c>
    </row>
    <row r="260">
      <c r="A260" s="13" t="n"/>
      <c r="B260" s="7" t="n"/>
      <c r="C260" s="14" t="n"/>
      <c r="D260" s="5" t="n"/>
      <c r="E260" s="9">
        <f>IF(B260="","",C260*IF(D260&gt;0,D260,IFERROR(VLOOKUP(B260,Productos!$A$5:$C$44,3,FALSE),0)))</f>
        <v/>
      </c>
    </row>
    <row r="261">
      <c r="A261" s="13" t="n"/>
      <c r="B261" s="7" t="n"/>
      <c r="C261" s="14" t="n"/>
      <c r="D261" s="5" t="n"/>
      <c r="E261" s="9">
        <f>IF(B261="","",C261*IF(D261&gt;0,D261,IFERROR(VLOOKUP(B261,Productos!$A$5:$C$44,3,FALSE),0)))</f>
        <v/>
      </c>
    </row>
    <row r="262">
      <c r="A262" s="13" t="n"/>
      <c r="B262" s="7" t="n"/>
      <c r="C262" s="14" t="n"/>
      <c r="D262" s="5" t="n"/>
      <c r="E262" s="9">
        <f>IF(B262="","",C262*IF(D262&gt;0,D262,IFERROR(VLOOKUP(B262,Productos!$A$5:$C$44,3,FALSE),0)))</f>
        <v/>
      </c>
    </row>
    <row r="263">
      <c r="A263" s="13" t="n"/>
      <c r="B263" s="7" t="n"/>
      <c r="C263" s="14" t="n"/>
      <c r="D263" s="5" t="n"/>
      <c r="E263" s="9">
        <f>IF(B263="","",C263*IF(D263&gt;0,D263,IFERROR(VLOOKUP(B263,Productos!$A$5:$C$44,3,FALSE),0)))</f>
        <v/>
      </c>
    </row>
    <row r="264">
      <c r="A264" s="13" t="n"/>
      <c r="B264" s="7" t="n"/>
      <c r="C264" s="14" t="n"/>
      <c r="D264" s="5" t="n"/>
      <c r="E264" s="9">
        <f>IF(B264="","",C264*IF(D264&gt;0,D264,IFERROR(VLOOKUP(B264,Productos!$A$5:$C$44,3,FALSE),0)))</f>
        <v/>
      </c>
    </row>
    <row r="265">
      <c r="A265" s="13" t="n"/>
      <c r="B265" s="7" t="n"/>
      <c r="C265" s="14" t="n"/>
      <c r="D265" s="5" t="n"/>
      <c r="E265" s="9">
        <f>IF(B265="","",C265*IF(D265&gt;0,D265,IFERROR(VLOOKUP(B265,Productos!$A$5:$C$44,3,FALSE),0)))</f>
        <v/>
      </c>
    </row>
    <row r="266">
      <c r="A266" s="13" t="n"/>
      <c r="B266" s="7" t="n"/>
      <c r="C266" s="14" t="n"/>
      <c r="D266" s="5" t="n"/>
      <c r="E266" s="9">
        <f>IF(B266="","",C266*IF(D266&gt;0,D266,IFERROR(VLOOKUP(B266,Productos!$A$5:$C$44,3,FALSE),0)))</f>
        <v/>
      </c>
    </row>
    <row r="267">
      <c r="A267" s="13" t="n"/>
      <c r="B267" s="7" t="n"/>
      <c r="C267" s="14" t="n"/>
      <c r="D267" s="5" t="n"/>
      <c r="E267" s="9">
        <f>IF(B267="","",C267*IF(D267&gt;0,D267,IFERROR(VLOOKUP(B267,Productos!$A$5:$C$44,3,FALSE),0)))</f>
        <v/>
      </c>
    </row>
    <row r="268">
      <c r="A268" s="13" t="n"/>
      <c r="B268" s="7" t="n"/>
      <c r="C268" s="14" t="n"/>
      <c r="D268" s="5" t="n"/>
      <c r="E268" s="9">
        <f>IF(B268="","",C268*IF(D268&gt;0,D268,IFERROR(VLOOKUP(B268,Productos!$A$5:$C$44,3,FALSE),0)))</f>
        <v/>
      </c>
    </row>
    <row r="269">
      <c r="A269" s="13" t="n"/>
      <c r="B269" s="7" t="n"/>
      <c r="C269" s="14" t="n"/>
      <c r="D269" s="5" t="n"/>
      <c r="E269" s="9">
        <f>IF(B269="","",C269*IF(D269&gt;0,D269,IFERROR(VLOOKUP(B269,Productos!$A$5:$C$44,3,FALSE),0)))</f>
        <v/>
      </c>
    </row>
    <row r="270">
      <c r="A270" s="13" t="n"/>
      <c r="B270" s="7" t="n"/>
      <c r="C270" s="14" t="n"/>
      <c r="D270" s="5" t="n"/>
      <c r="E270" s="9">
        <f>IF(B270="","",C270*IF(D270&gt;0,D270,IFERROR(VLOOKUP(B270,Productos!$A$5:$C$44,3,FALSE),0)))</f>
        <v/>
      </c>
    </row>
    <row r="271">
      <c r="A271" s="13" t="n"/>
      <c r="B271" s="7" t="n"/>
      <c r="C271" s="14" t="n"/>
      <c r="D271" s="5" t="n"/>
      <c r="E271" s="9">
        <f>IF(B271="","",C271*IF(D271&gt;0,D271,IFERROR(VLOOKUP(B271,Productos!$A$5:$C$44,3,FALSE),0)))</f>
        <v/>
      </c>
    </row>
    <row r="272">
      <c r="A272" s="13" t="n"/>
      <c r="B272" s="7" t="n"/>
      <c r="C272" s="14" t="n"/>
      <c r="D272" s="5" t="n"/>
      <c r="E272" s="9">
        <f>IF(B272="","",C272*IF(D272&gt;0,D272,IFERROR(VLOOKUP(B272,Productos!$A$5:$C$44,3,FALSE),0)))</f>
        <v/>
      </c>
    </row>
    <row r="273">
      <c r="A273" s="13" t="n"/>
      <c r="B273" s="7" t="n"/>
      <c r="C273" s="14" t="n"/>
      <c r="D273" s="5" t="n"/>
      <c r="E273" s="9">
        <f>IF(B273="","",C273*IF(D273&gt;0,D273,IFERROR(VLOOKUP(B273,Productos!$A$5:$C$44,3,FALSE),0)))</f>
        <v/>
      </c>
    </row>
    <row r="274">
      <c r="A274" s="13" t="n"/>
      <c r="B274" s="7" t="n"/>
      <c r="C274" s="14" t="n"/>
      <c r="D274" s="5" t="n"/>
      <c r="E274" s="9">
        <f>IF(B274="","",C274*IF(D274&gt;0,D274,IFERROR(VLOOKUP(B274,Productos!$A$5:$C$44,3,FALSE),0)))</f>
        <v/>
      </c>
    </row>
    <row r="275">
      <c r="A275" s="13" t="n"/>
      <c r="B275" s="7" t="n"/>
      <c r="C275" s="14" t="n"/>
      <c r="D275" s="5" t="n"/>
      <c r="E275" s="9">
        <f>IF(B275="","",C275*IF(D275&gt;0,D275,IFERROR(VLOOKUP(B275,Productos!$A$5:$C$44,3,FALSE),0)))</f>
        <v/>
      </c>
    </row>
    <row r="276">
      <c r="A276" s="13" t="n"/>
      <c r="B276" s="7" t="n"/>
      <c r="C276" s="14" t="n"/>
      <c r="D276" s="5" t="n"/>
      <c r="E276" s="9">
        <f>IF(B276="","",C276*IF(D276&gt;0,D276,IFERROR(VLOOKUP(B276,Productos!$A$5:$C$44,3,FALSE),0)))</f>
        <v/>
      </c>
    </row>
    <row r="277">
      <c r="A277" s="13" t="n"/>
      <c r="B277" s="7" t="n"/>
      <c r="C277" s="14" t="n"/>
      <c r="D277" s="5" t="n"/>
      <c r="E277" s="9">
        <f>IF(B277="","",C277*IF(D277&gt;0,D277,IFERROR(VLOOKUP(B277,Productos!$A$5:$C$44,3,FALSE),0)))</f>
        <v/>
      </c>
    </row>
    <row r="278">
      <c r="A278" s="13" t="n"/>
      <c r="B278" s="7" t="n"/>
      <c r="C278" s="14" t="n"/>
      <c r="D278" s="5" t="n"/>
      <c r="E278" s="9">
        <f>IF(B278="","",C278*IF(D278&gt;0,D278,IFERROR(VLOOKUP(B278,Productos!$A$5:$C$44,3,FALSE),0)))</f>
        <v/>
      </c>
    </row>
    <row r="279">
      <c r="A279" s="13" t="n"/>
      <c r="B279" s="7" t="n"/>
      <c r="C279" s="14" t="n"/>
      <c r="D279" s="5" t="n"/>
      <c r="E279" s="9">
        <f>IF(B279="","",C279*IF(D279&gt;0,D279,IFERROR(VLOOKUP(B279,Productos!$A$5:$C$44,3,FALSE),0)))</f>
        <v/>
      </c>
    </row>
    <row r="280">
      <c r="A280" s="13" t="n"/>
      <c r="B280" s="7" t="n"/>
      <c r="C280" s="14" t="n"/>
      <c r="D280" s="5" t="n"/>
      <c r="E280" s="9">
        <f>IF(B280="","",C280*IF(D280&gt;0,D280,IFERROR(VLOOKUP(B280,Productos!$A$5:$C$44,3,FALSE),0)))</f>
        <v/>
      </c>
    </row>
    <row r="281">
      <c r="A281" s="13" t="n"/>
      <c r="B281" s="7" t="n"/>
      <c r="C281" s="14" t="n"/>
      <c r="D281" s="5" t="n"/>
      <c r="E281" s="9">
        <f>IF(B281="","",C281*IF(D281&gt;0,D281,IFERROR(VLOOKUP(B281,Productos!$A$5:$C$44,3,FALSE),0)))</f>
        <v/>
      </c>
    </row>
    <row r="282">
      <c r="A282" s="13" t="n"/>
      <c r="B282" s="7" t="n"/>
      <c r="C282" s="14" t="n"/>
      <c r="D282" s="5" t="n"/>
      <c r="E282" s="9">
        <f>IF(B282="","",C282*IF(D282&gt;0,D282,IFERROR(VLOOKUP(B282,Productos!$A$5:$C$44,3,FALSE),0)))</f>
        <v/>
      </c>
    </row>
    <row r="283">
      <c r="A283" s="13" t="n"/>
      <c r="B283" s="7" t="n"/>
      <c r="C283" s="14" t="n"/>
      <c r="D283" s="5" t="n"/>
      <c r="E283" s="9">
        <f>IF(B283="","",C283*IF(D283&gt;0,D283,IFERROR(VLOOKUP(B283,Productos!$A$5:$C$44,3,FALSE),0)))</f>
        <v/>
      </c>
    </row>
    <row r="284">
      <c r="A284" s="13" t="n"/>
      <c r="B284" s="7" t="n"/>
      <c r="C284" s="14" t="n"/>
      <c r="D284" s="5" t="n"/>
      <c r="E284" s="9">
        <f>IF(B284="","",C284*IF(D284&gt;0,D284,IFERROR(VLOOKUP(B284,Productos!$A$5:$C$44,3,FALSE),0)))</f>
        <v/>
      </c>
    </row>
    <row r="285">
      <c r="A285" s="13" t="n"/>
      <c r="B285" s="7" t="n"/>
      <c r="C285" s="14" t="n"/>
      <c r="D285" s="5" t="n"/>
      <c r="E285" s="9">
        <f>IF(B285="","",C285*IF(D285&gt;0,D285,IFERROR(VLOOKUP(B285,Productos!$A$5:$C$44,3,FALSE),0)))</f>
        <v/>
      </c>
    </row>
    <row r="286">
      <c r="A286" s="13" t="n"/>
      <c r="B286" s="7" t="n"/>
      <c r="C286" s="14" t="n"/>
      <c r="D286" s="5" t="n"/>
      <c r="E286" s="9">
        <f>IF(B286="","",C286*IF(D286&gt;0,D286,IFERROR(VLOOKUP(B286,Productos!$A$5:$C$44,3,FALSE),0)))</f>
        <v/>
      </c>
    </row>
    <row r="287">
      <c r="A287" s="13" t="n"/>
      <c r="B287" s="7" t="n"/>
      <c r="C287" s="14" t="n"/>
      <c r="D287" s="5" t="n"/>
      <c r="E287" s="9">
        <f>IF(B287="","",C287*IF(D287&gt;0,D287,IFERROR(VLOOKUP(B287,Productos!$A$5:$C$44,3,FALSE),0)))</f>
        <v/>
      </c>
    </row>
    <row r="288">
      <c r="A288" s="13" t="n"/>
      <c r="B288" s="7" t="n"/>
      <c r="C288" s="14" t="n"/>
      <c r="D288" s="5" t="n"/>
      <c r="E288" s="9">
        <f>IF(B288="","",C288*IF(D288&gt;0,D288,IFERROR(VLOOKUP(B288,Productos!$A$5:$C$44,3,FALSE),0)))</f>
        <v/>
      </c>
    </row>
    <row r="289">
      <c r="A289" s="13" t="n"/>
      <c r="B289" s="7" t="n"/>
      <c r="C289" s="14" t="n"/>
      <c r="D289" s="5" t="n"/>
      <c r="E289" s="9">
        <f>IF(B289="","",C289*IF(D289&gt;0,D289,IFERROR(VLOOKUP(B289,Productos!$A$5:$C$44,3,FALSE),0)))</f>
        <v/>
      </c>
    </row>
    <row r="290">
      <c r="A290" s="13" t="n"/>
      <c r="B290" s="7" t="n"/>
      <c r="C290" s="14" t="n"/>
      <c r="D290" s="5" t="n"/>
      <c r="E290" s="9">
        <f>IF(B290="","",C290*IF(D290&gt;0,D290,IFERROR(VLOOKUP(B290,Productos!$A$5:$C$44,3,FALSE),0)))</f>
        <v/>
      </c>
    </row>
    <row r="291">
      <c r="A291" s="13" t="n"/>
      <c r="B291" s="7" t="n"/>
      <c r="C291" s="14" t="n"/>
      <c r="D291" s="5" t="n"/>
      <c r="E291" s="9">
        <f>IF(B291="","",C291*IF(D291&gt;0,D291,IFERROR(VLOOKUP(B291,Productos!$A$5:$C$44,3,FALSE),0)))</f>
        <v/>
      </c>
    </row>
    <row r="292">
      <c r="A292" s="13" t="n"/>
      <c r="B292" s="7" t="n"/>
      <c r="C292" s="14" t="n"/>
      <c r="D292" s="5" t="n"/>
      <c r="E292" s="9">
        <f>IF(B292="","",C292*IF(D292&gt;0,D292,IFERROR(VLOOKUP(B292,Productos!$A$5:$C$44,3,FALSE),0)))</f>
        <v/>
      </c>
    </row>
    <row r="293">
      <c r="A293" s="13" t="n"/>
      <c r="B293" s="7" t="n"/>
      <c r="C293" s="14" t="n"/>
      <c r="D293" s="5" t="n"/>
      <c r="E293" s="9">
        <f>IF(B293="","",C293*IF(D293&gt;0,D293,IFERROR(VLOOKUP(B293,Productos!$A$5:$C$44,3,FALSE),0)))</f>
        <v/>
      </c>
    </row>
    <row r="294">
      <c r="A294" s="13" t="n"/>
      <c r="B294" s="7" t="n"/>
      <c r="C294" s="14" t="n"/>
      <c r="D294" s="5" t="n"/>
      <c r="E294" s="9">
        <f>IF(B294="","",C294*IF(D294&gt;0,D294,IFERROR(VLOOKUP(B294,Productos!$A$5:$C$44,3,FALSE),0)))</f>
        <v/>
      </c>
    </row>
    <row r="295">
      <c r="A295" s="13" t="n"/>
      <c r="B295" s="7" t="n"/>
      <c r="C295" s="14" t="n"/>
      <c r="D295" s="5" t="n"/>
      <c r="E295" s="9">
        <f>IF(B295="","",C295*IF(D295&gt;0,D295,IFERROR(VLOOKUP(B295,Productos!$A$5:$C$44,3,FALSE),0)))</f>
        <v/>
      </c>
    </row>
    <row r="296">
      <c r="A296" s="13" t="n"/>
      <c r="B296" s="7" t="n"/>
      <c r="C296" s="14" t="n"/>
      <c r="D296" s="5" t="n"/>
      <c r="E296" s="9">
        <f>IF(B296="","",C296*IF(D296&gt;0,D296,IFERROR(VLOOKUP(B296,Productos!$A$5:$C$44,3,FALSE),0)))</f>
        <v/>
      </c>
    </row>
    <row r="297">
      <c r="A297" s="13" t="n"/>
      <c r="B297" s="7" t="n"/>
      <c r="C297" s="14" t="n"/>
      <c r="D297" s="5" t="n"/>
      <c r="E297" s="9">
        <f>IF(B297="","",C297*IF(D297&gt;0,D297,IFERROR(VLOOKUP(B297,Productos!$A$5:$C$44,3,FALSE),0)))</f>
        <v/>
      </c>
    </row>
    <row r="298">
      <c r="A298" s="13" t="n"/>
      <c r="B298" s="7" t="n"/>
      <c r="C298" s="14" t="n"/>
      <c r="D298" s="5" t="n"/>
      <c r="E298" s="9">
        <f>IF(B298="","",C298*IF(D298&gt;0,D298,IFERROR(VLOOKUP(B298,Productos!$A$5:$C$44,3,FALSE),0)))</f>
        <v/>
      </c>
    </row>
    <row r="299">
      <c r="A299" s="13" t="n"/>
      <c r="B299" s="7" t="n"/>
      <c r="C299" s="14" t="n"/>
      <c r="D299" s="5" t="n"/>
      <c r="E299" s="9">
        <f>IF(B299="","",C299*IF(D299&gt;0,D299,IFERROR(VLOOKUP(B299,Productos!$A$5:$C$44,3,FALSE),0)))</f>
        <v/>
      </c>
    </row>
    <row r="300">
      <c r="A300" s="13" t="n"/>
      <c r="B300" s="7" t="n"/>
      <c r="C300" s="14" t="n"/>
      <c r="D300" s="5" t="n"/>
      <c r="E300" s="9">
        <f>IF(B300="","",C300*IF(D300&gt;0,D300,IFERROR(VLOOKUP(B300,Productos!$A$5:$C$44,3,FALSE),0)))</f>
        <v/>
      </c>
    </row>
    <row r="301">
      <c r="A301" s="13" t="n"/>
      <c r="B301" s="7" t="n"/>
      <c r="C301" s="14" t="n"/>
      <c r="D301" s="5" t="n"/>
      <c r="E301" s="9">
        <f>IF(B301="","",C301*IF(D301&gt;0,D301,IFERROR(VLOOKUP(B301,Productos!$A$5:$C$44,3,FALSE),0)))</f>
        <v/>
      </c>
    </row>
    <row r="302">
      <c r="A302" s="13" t="n"/>
      <c r="B302" s="7" t="n"/>
      <c r="C302" s="14" t="n"/>
      <c r="D302" s="5" t="n"/>
      <c r="E302" s="9">
        <f>IF(B302="","",C302*IF(D302&gt;0,D302,IFERROR(VLOOKUP(B302,Productos!$A$5:$C$44,3,FALSE),0)))</f>
        <v/>
      </c>
    </row>
    <row r="303">
      <c r="A303" s="13" t="n"/>
      <c r="B303" s="7" t="n"/>
      <c r="C303" s="14" t="n"/>
      <c r="D303" s="5" t="n"/>
      <c r="E303" s="9">
        <f>IF(B303="","",C303*IF(D303&gt;0,D303,IFERROR(VLOOKUP(B303,Productos!$A$5:$C$44,3,FALSE),0)))</f>
        <v/>
      </c>
    </row>
    <row r="304">
      <c r="A304" s="13" t="n"/>
      <c r="B304" s="7" t="n"/>
      <c r="C304" s="14" t="n"/>
      <c r="D304" s="5" t="n"/>
      <c r="E304" s="9">
        <f>IF(B304="","",C304*IF(D304&gt;0,D304,IFERROR(VLOOKUP(B304,Productos!$A$5:$C$44,3,FALSE),0)))</f>
        <v/>
      </c>
    </row>
    <row r="305">
      <c r="A305" s="13" t="n"/>
      <c r="B305" s="7" t="n"/>
      <c r="C305" s="14" t="n"/>
      <c r="D305" s="5" t="n"/>
      <c r="E305" s="9">
        <f>IF(B305="","",C305*IF(D305&gt;0,D305,IFERROR(VLOOKUP(B305,Productos!$A$5:$C$44,3,FALSE),0)))</f>
        <v/>
      </c>
    </row>
    <row r="306">
      <c r="A306" s="13" t="n"/>
      <c r="B306" s="7" t="n"/>
      <c r="C306" s="14" t="n"/>
      <c r="D306" s="5" t="n"/>
      <c r="E306" s="9">
        <f>IF(B306="","",C306*IF(D306&gt;0,D306,IFERROR(VLOOKUP(B306,Productos!$A$5:$C$44,3,FALSE),0)))</f>
        <v/>
      </c>
    </row>
    <row r="307">
      <c r="A307" s="13" t="n"/>
      <c r="B307" s="7" t="n"/>
      <c r="C307" s="14" t="n"/>
      <c r="D307" s="5" t="n"/>
      <c r="E307" s="9">
        <f>IF(B307="","",C307*IF(D307&gt;0,D307,IFERROR(VLOOKUP(B307,Productos!$A$5:$C$44,3,FALSE),0)))</f>
        <v/>
      </c>
    </row>
    <row r="308">
      <c r="A308" s="13" t="n"/>
      <c r="B308" s="7" t="n"/>
      <c r="C308" s="14" t="n"/>
      <c r="D308" s="5" t="n"/>
      <c r="E308" s="9">
        <f>IF(B308="","",C308*IF(D308&gt;0,D308,IFERROR(VLOOKUP(B308,Productos!$A$5:$C$44,3,FALSE),0)))</f>
        <v/>
      </c>
    </row>
    <row r="309">
      <c r="A309" s="13" t="n"/>
      <c r="B309" s="7" t="n"/>
      <c r="C309" s="14" t="n"/>
      <c r="D309" s="5" t="n"/>
      <c r="E309" s="9">
        <f>IF(B309="","",C309*IF(D309&gt;0,D309,IFERROR(VLOOKUP(B309,Productos!$A$5:$C$44,3,FALSE),0)))</f>
        <v/>
      </c>
    </row>
    <row r="310">
      <c r="A310" s="13" t="n"/>
      <c r="B310" s="7" t="n"/>
      <c r="C310" s="14" t="n"/>
      <c r="D310" s="5" t="n"/>
      <c r="E310" s="9">
        <f>IF(B310="","",C310*IF(D310&gt;0,D310,IFERROR(VLOOKUP(B310,Productos!$A$5:$C$44,3,FALSE),0)))</f>
        <v/>
      </c>
    </row>
    <row r="311">
      <c r="A311" s="13" t="n"/>
      <c r="B311" s="7" t="n"/>
      <c r="C311" s="14" t="n"/>
      <c r="D311" s="5" t="n"/>
      <c r="E311" s="9">
        <f>IF(B311="","",C311*IF(D311&gt;0,D311,IFERROR(VLOOKUP(B311,Productos!$A$5:$C$44,3,FALSE),0)))</f>
        <v/>
      </c>
    </row>
    <row r="312">
      <c r="A312" s="13" t="n"/>
      <c r="B312" s="7" t="n"/>
      <c r="C312" s="14" t="n"/>
      <c r="D312" s="5" t="n"/>
      <c r="E312" s="9">
        <f>IF(B312="","",C312*IF(D312&gt;0,D312,IFERROR(VLOOKUP(B312,Productos!$A$5:$C$44,3,FALSE),0)))</f>
        <v/>
      </c>
    </row>
    <row r="313">
      <c r="A313" s="13" t="n"/>
      <c r="B313" s="7" t="n"/>
      <c r="C313" s="14" t="n"/>
      <c r="D313" s="5" t="n"/>
      <c r="E313" s="9">
        <f>IF(B313="","",C313*IF(D313&gt;0,D313,IFERROR(VLOOKUP(B313,Productos!$A$5:$C$44,3,FALSE),0)))</f>
        <v/>
      </c>
    </row>
    <row r="314">
      <c r="A314" s="13" t="n"/>
      <c r="B314" s="7" t="n"/>
      <c r="C314" s="14" t="n"/>
      <c r="D314" s="5" t="n"/>
      <c r="E314" s="9">
        <f>IF(B314="","",C314*IF(D314&gt;0,D314,IFERROR(VLOOKUP(B314,Productos!$A$5:$C$44,3,FALSE),0)))</f>
        <v/>
      </c>
    </row>
    <row r="315">
      <c r="A315" s="13" t="n"/>
      <c r="B315" s="7" t="n"/>
      <c r="C315" s="14" t="n"/>
      <c r="D315" s="5" t="n"/>
      <c r="E315" s="9">
        <f>IF(B315="","",C315*IF(D315&gt;0,D315,IFERROR(VLOOKUP(B315,Productos!$A$5:$C$44,3,FALSE),0)))</f>
        <v/>
      </c>
    </row>
    <row r="316">
      <c r="A316" s="13" t="n"/>
      <c r="B316" s="7" t="n"/>
      <c r="C316" s="14" t="n"/>
      <c r="D316" s="5" t="n"/>
      <c r="E316" s="9">
        <f>IF(B316="","",C316*IF(D316&gt;0,D316,IFERROR(VLOOKUP(B316,Productos!$A$5:$C$44,3,FALSE),0)))</f>
        <v/>
      </c>
    </row>
    <row r="317">
      <c r="A317" s="13" t="n"/>
      <c r="B317" s="7" t="n"/>
      <c r="C317" s="14" t="n"/>
      <c r="D317" s="5" t="n"/>
      <c r="E317" s="9">
        <f>IF(B317="","",C317*IF(D317&gt;0,D317,IFERROR(VLOOKUP(B317,Productos!$A$5:$C$44,3,FALSE),0)))</f>
        <v/>
      </c>
    </row>
    <row r="318">
      <c r="A318" s="13" t="n"/>
      <c r="B318" s="7" t="n"/>
      <c r="C318" s="14" t="n"/>
      <c r="D318" s="5" t="n"/>
      <c r="E318" s="9">
        <f>IF(B318="","",C318*IF(D318&gt;0,D318,IFERROR(VLOOKUP(B318,Productos!$A$5:$C$44,3,FALSE),0)))</f>
        <v/>
      </c>
    </row>
    <row r="319">
      <c r="A319" s="13" t="n"/>
      <c r="B319" s="7" t="n"/>
      <c r="C319" s="14" t="n"/>
      <c r="D319" s="5" t="n"/>
      <c r="E319" s="9">
        <f>IF(B319="","",C319*IF(D319&gt;0,D319,IFERROR(VLOOKUP(B319,Productos!$A$5:$C$44,3,FALSE),0)))</f>
        <v/>
      </c>
    </row>
    <row r="320">
      <c r="A320" s="13" t="n"/>
      <c r="B320" s="7" t="n"/>
      <c r="C320" s="14" t="n"/>
      <c r="D320" s="5" t="n"/>
      <c r="E320" s="9">
        <f>IF(B320="","",C320*IF(D320&gt;0,D320,IFERROR(VLOOKUP(B320,Productos!$A$5:$C$44,3,FALSE),0)))</f>
        <v/>
      </c>
    </row>
    <row r="321">
      <c r="A321" s="13" t="n"/>
      <c r="B321" s="7" t="n"/>
      <c r="C321" s="14" t="n"/>
      <c r="D321" s="5" t="n"/>
      <c r="E321" s="9">
        <f>IF(B321="","",C321*IF(D321&gt;0,D321,IFERROR(VLOOKUP(B321,Productos!$A$5:$C$44,3,FALSE),0)))</f>
        <v/>
      </c>
    </row>
    <row r="322">
      <c r="A322" s="13" t="n"/>
      <c r="B322" s="7" t="n"/>
      <c r="C322" s="14" t="n"/>
      <c r="D322" s="5" t="n"/>
      <c r="E322" s="9">
        <f>IF(B322="","",C322*IF(D322&gt;0,D322,IFERROR(VLOOKUP(B322,Productos!$A$5:$C$44,3,FALSE),0)))</f>
        <v/>
      </c>
    </row>
    <row r="323">
      <c r="A323" s="13" t="n"/>
      <c r="B323" s="7" t="n"/>
      <c r="C323" s="14" t="n"/>
      <c r="D323" s="5" t="n"/>
      <c r="E323" s="9">
        <f>IF(B323="","",C323*IF(D323&gt;0,D323,IFERROR(VLOOKUP(B323,Productos!$A$5:$C$44,3,FALSE),0)))</f>
        <v/>
      </c>
    </row>
    <row r="324">
      <c r="A324" s="13" t="n"/>
      <c r="B324" s="7" t="n"/>
      <c r="C324" s="14" t="n"/>
      <c r="D324" s="5" t="n"/>
      <c r="E324" s="9">
        <f>IF(B324="","",C324*IF(D324&gt;0,D324,IFERROR(VLOOKUP(B324,Productos!$A$5:$C$44,3,FALSE),0)))</f>
        <v/>
      </c>
    </row>
    <row r="325">
      <c r="A325" s="13" t="n"/>
      <c r="B325" s="7" t="n"/>
      <c r="C325" s="14" t="n"/>
      <c r="D325" s="5" t="n"/>
      <c r="E325" s="9">
        <f>IF(B325="","",C325*IF(D325&gt;0,D325,IFERROR(VLOOKUP(B325,Productos!$A$5:$C$44,3,FALSE),0)))</f>
        <v/>
      </c>
    </row>
    <row r="326">
      <c r="A326" s="13" t="n"/>
      <c r="B326" s="7" t="n"/>
      <c r="C326" s="14" t="n"/>
      <c r="D326" s="5" t="n"/>
      <c r="E326" s="9">
        <f>IF(B326="","",C326*IF(D326&gt;0,D326,IFERROR(VLOOKUP(B326,Productos!$A$5:$C$44,3,FALSE),0)))</f>
        <v/>
      </c>
    </row>
    <row r="327">
      <c r="A327" s="13" t="n"/>
      <c r="B327" s="7" t="n"/>
      <c r="C327" s="14" t="n"/>
      <c r="D327" s="5" t="n"/>
      <c r="E327" s="9">
        <f>IF(B327="","",C327*IF(D327&gt;0,D327,IFERROR(VLOOKUP(B327,Productos!$A$5:$C$44,3,FALSE),0)))</f>
        <v/>
      </c>
    </row>
    <row r="328">
      <c r="A328" s="13" t="n"/>
      <c r="B328" s="7" t="n"/>
      <c r="C328" s="14" t="n"/>
      <c r="D328" s="5" t="n"/>
      <c r="E328" s="9">
        <f>IF(B328="","",C328*IF(D328&gt;0,D328,IFERROR(VLOOKUP(B328,Productos!$A$5:$C$44,3,FALSE),0)))</f>
        <v/>
      </c>
    </row>
    <row r="329">
      <c r="A329" s="13" t="n"/>
      <c r="B329" s="7" t="n"/>
      <c r="C329" s="14" t="n"/>
      <c r="D329" s="5" t="n"/>
      <c r="E329" s="9">
        <f>IF(B329="","",C329*IF(D329&gt;0,D329,IFERROR(VLOOKUP(B329,Productos!$A$5:$C$44,3,FALSE),0)))</f>
        <v/>
      </c>
    </row>
    <row r="330">
      <c r="A330" s="13" t="n"/>
      <c r="B330" s="7" t="n"/>
      <c r="C330" s="14" t="n"/>
      <c r="D330" s="5" t="n"/>
      <c r="E330" s="9">
        <f>IF(B330="","",C330*IF(D330&gt;0,D330,IFERROR(VLOOKUP(B330,Productos!$A$5:$C$44,3,FALSE),0)))</f>
        <v/>
      </c>
    </row>
    <row r="331">
      <c r="A331" s="13" t="n"/>
      <c r="B331" s="7" t="n"/>
      <c r="C331" s="14" t="n"/>
      <c r="D331" s="5" t="n"/>
      <c r="E331" s="9">
        <f>IF(B331="","",C331*IF(D331&gt;0,D331,IFERROR(VLOOKUP(B331,Productos!$A$5:$C$44,3,FALSE),0)))</f>
        <v/>
      </c>
    </row>
    <row r="332">
      <c r="A332" s="13" t="n"/>
      <c r="B332" s="7" t="n"/>
      <c r="C332" s="14" t="n"/>
      <c r="D332" s="5" t="n"/>
      <c r="E332" s="9">
        <f>IF(B332="","",C332*IF(D332&gt;0,D332,IFERROR(VLOOKUP(B332,Productos!$A$5:$C$44,3,FALSE),0)))</f>
        <v/>
      </c>
    </row>
    <row r="333">
      <c r="A333" s="13" t="n"/>
      <c r="B333" s="7" t="n"/>
      <c r="C333" s="14" t="n"/>
      <c r="D333" s="5" t="n"/>
      <c r="E333" s="9">
        <f>IF(B333="","",C333*IF(D333&gt;0,D333,IFERROR(VLOOKUP(B333,Productos!$A$5:$C$44,3,FALSE),0)))</f>
        <v/>
      </c>
    </row>
    <row r="334">
      <c r="A334" s="13" t="n"/>
      <c r="B334" s="7" t="n"/>
      <c r="C334" s="14" t="n"/>
      <c r="D334" s="5" t="n"/>
      <c r="E334" s="9">
        <f>IF(B334="","",C334*IF(D334&gt;0,D334,IFERROR(VLOOKUP(B334,Productos!$A$5:$C$44,3,FALSE),0)))</f>
        <v/>
      </c>
    </row>
    <row r="335">
      <c r="A335" s="13" t="n"/>
      <c r="B335" s="7" t="n"/>
      <c r="C335" s="14" t="n"/>
      <c r="D335" s="5" t="n"/>
      <c r="E335" s="9">
        <f>IF(B335="","",C335*IF(D335&gt;0,D335,IFERROR(VLOOKUP(B335,Productos!$A$5:$C$44,3,FALSE),0)))</f>
        <v/>
      </c>
    </row>
    <row r="336">
      <c r="A336" s="13" t="n"/>
      <c r="B336" s="7" t="n"/>
      <c r="C336" s="14" t="n"/>
      <c r="D336" s="5" t="n"/>
      <c r="E336" s="9">
        <f>IF(B336="","",C336*IF(D336&gt;0,D336,IFERROR(VLOOKUP(B336,Productos!$A$5:$C$44,3,FALSE),0)))</f>
        <v/>
      </c>
    </row>
    <row r="337">
      <c r="A337" s="13" t="n"/>
      <c r="B337" s="7" t="n"/>
      <c r="C337" s="14" t="n"/>
      <c r="D337" s="5" t="n"/>
      <c r="E337" s="9">
        <f>IF(B337="","",C337*IF(D337&gt;0,D337,IFERROR(VLOOKUP(B337,Productos!$A$5:$C$44,3,FALSE),0)))</f>
        <v/>
      </c>
    </row>
    <row r="338">
      <c r="A338" s="13" t="n"/>
      <c r="B338" s="7" t="n"/>
      <c r="C338" s="14" t="n"/>
      <c r="D338" s="5" t="n"/>
      <c r="E338" s="9">
        <f>IF(B338="","",C338*IF(D338&gt;0,D338,IFERROR(VLOOKUP(B338,Productos!$A$5:$C$44,3,FALSE),0)))</f>
        <v/>
      </c>
    </row>
    <row r="339">
      <c r="A339" s="13" t="n"/>
      <c r="B339" s="7" t="n"/>
      <c r="C339" s="14" t="n"/>
      <c r="D339" s="5" t="n"/>
      <c r="E339" s="9">
        <f>IF(B339="","",C339*IF(D339&gt;0,D339,IFERROR(VLOOKUP(B339,Productos!$A$5:$C$44,3,FALSE),0)))</f>
        <v/>
      </c>
    </row>
    <row r="340">
      <c r="A340" s="13" t="n"/>
      <c r="B340" s="7" t="n"/>
      <c r="C340" s="14" t="n"/>
      <c r="D340" s="5" t="n"/>
      <c r="E340" s="9">
        <f>IF(B340="","",C340*IF(D340&gt;0,D340,IFERROR(VLOOKUP(B340,Productos!$A$5:$C$44,3,FALSE),0)))</f>
        <v/>
      </c>
    </row>
    <row r="341">
      <c r="A341" s="13" t="n"/>
      <c r="B341" s="7" t="n"/>
      <c r="C341" s="14" t="n"/>
      <c r="D341" s="5" t="n"/>
      <c r="E341" s="9">
        <f>IF(B341="","",C341*IF(D341&gt;0,D341,IFERROR(VLOOKUP(B341,Productos!$A$5:$C$44,3,FALSE),0)))</f>
        <v/>
      </c>
    </row>
    <row r="342">
      <c r="A342" s="13" t="n"/>
      <c r="B342" s="7" t="n"/>
      <c r="C342" s="14" t="n"/>
      <c r="D342" s="5" t="n"/>
      <c r="E342" s="9">
        <f>IF(B342="","",C342*IF(D342&gt;0,D342,IFERROR(VLOOKUP(B342,Productos!$A$5:$C$44,3,FALSE),0)))</f>
        <v/>
      </c>
    </row>
    <row r="343">
      <c r="A343" s="13" t="n"/>
      <c r="B343" s="7" t="n"/>
      <c r="C343" s="14" t="n"/>
      <c r="D343" s="5" t="n"/>
      <c r="E343" s="9">
        <f>IF(B343="","",C343*IF(D343&gt;0,D343,IFERROR(VLOOKUP(B343,Productos!$A$5:$C$44,3,FALSE),0)))</f>
        <v/>
      </c>
    </row>
    <row r="344">
      <c r="A344" s="13" t="n"/>
      <c r="B344" s="7" t="n"/>
      <c r="C344" s="14" t="n"/>
      <c r="D344" s="5" t="n"/>
      <c r="E344" s="9">
        <f>IF(B344="","",C344*IF(D344&gt;0,D344,IFERROR(VLOOKUP(B344,Productos!$A$5:$C$44,3,FALSE),0)))</f>
        <v/>
      </c>
    </row>
    <row r="345">
      <c r="A345" s="13" t="n"/>
      <c r="B345" s="7" t="n"/>
      <c r="C345" s="14" t="n"/>
      <c r="D345" s="5" t="n"/>
      <c r="E345" s="9">
        <f>IF(B345="","",C345*IF(D345&gt;0,D345,IFERROR(VLOOKUP(B345,Productos!$A$5:$C$44,3,FALSE),0)))</f>
        <v/>
      </c>
    </row>
    <row r="346">
      <c r="A346" s="13" t="n"/>
      <c r="B346" s="7" t="n"/>
      <c r="C346" s="14" t="n"/>
      <c r="D346" s="5" t="n"/>
      <c r="E346" s="9">
        <f>IF(B346="","",C346*IF(D346&gt;0,D346,IFERROR(VLOOKUP(B346,Productos!$A$5:$C$44,3,FALSE),0)))</f>
        <v/>
      </c>
    </row>
    <row r="347">
      <c r="A347" s="13" t="n"/>
      <c r="B347" s="7" t="n"/>
      <c r="C347" s="14" t="n"/>
      <c r="D347" s="5" t="n"/>
      <c r="E347" s="9">
        <f>IF(B347="","",C347*IF(D347&gt;0,D347,IFERROR(VLOOKUP(B347,Productos!$A$5:$C$44,3,FALSE),0)))</f>
        <v/>
      </c>
    </row>
    <row r="348">
      <c r="A348" s="13" t="n"/>
      <c r="B348" s="7" t="n"/>
      <c r="C348" s="14" t="n"/>
      <c r="D348" s="5" t="n"/>
      <c r="E348" s="9">
        <f>IF(B348="","",C348*IF(D348&gt;0,D348,IFERROR(VLOOKUP(B348,Productos!$A$5:$C$44,3,FALSE),0)))</f>
        <v/>
      </c>
    </row>
    <row r="349">
      <c r="A349" s="13" t="n"/>
      <c r="B349" s="7" t="n"/>
      <c r="C349" s="14" t="n"/>
      <c r="D349" s="5" t="n"/>
      <c r="E349" s="9">
        <f>IF(B349="","",C349*IF(D349&gt;0,D349,IFERROR(VLOOKUP(B349,Productos!$A$5:$C$44,3,FALSE),0)))</f>
        <v/>
      </c>
    </row>
    <row r="350">
      <c r="A350" s="13" t="n"/>
      <c r="B350" s="7" t="n"/>
      <c r="C350" s="14" t="n"/>
      <c r="D350" s="5" t="n"/>
      <c r="E350" s="9">
        <f>IF(B350="","",C350*IF(D350&gt;0,D350,IFERROR(VLOOKUP(B350,Productos!$A$5:$C$44,3,FALSE),0)))</f>
        <v/>
      </c>
    </row>
    <row r="351">
      <c r="A351" s="13" t="n"/>
      <c r="B351" s="7" t="n"/>
      <c r="C351" s="14" t="n"/>
      <c r="D351" s="5" t="n"/>
      <c r="E351" s="9">
        <f>IF(B351="","",C351*IF(D351&gt;0,D351,IFERROR(VLOOKUP(B351,Productos!$A$5:$C$44,3,FALSE),0)))</f>
        <v/>
      </c>
    </row>
    <row r="352">
      <c r="A352" s="13" t="n"/>
      <c r="B352" s="7" t="n"/>
      <c r="C352" s="14" t="n"/>
      <c r="D352" s="5" t="n"/>
      <c r="E352" s="9">
        <f>IF(B352="","",C352*IF(D352&gt;0,D352,IFERROR(VLOOKUP(B352,Productos!$A$5:$C$44,3,FALSE),0)))</f>
        <v/>
      </c>
    </row>
    <row r="353">
      <c r="A353" s="13" t="n"/>
      <c r="B353" s="7" t="n"/>
      <c r="C353" s="14" t="n"/>
      <c r="D353" s="5" t="n"/>
      <c r="E353" s="9">
        <f>IF(B353="","",C353*IF(D353&gt;0,D353,IFERROR(VLOOKUP(B353,Productos!$A$5:$C$44,3,FALSE),0)))</f>
        <v/>
      </c>
    </row>
    <row r="354">
      <c r="A354" s="13" t="n"/>
      <c r="B354" s="7" t="n"/>
      <c r="C354" s="14" t="n"/>
      <c r="D354" s="5" t="n"/>
      <c r="E354" s="9">
        <f>IF(B354="","",C354*IF(D354&gt;0,D354,IFERROR(VLOOKUP(B354,Productos!$A$5:$C$44,3,FALSE),0)))</f>
        <v/>
      </c>
    </row>
    <row r="355">
      <c r="A355" s="13" t="n"/>
      <c r="B355" s="7" t="n"/>
      <c r="C355" s="14" t="n"/>
      <c r="D355" s="5" t="n"/>
      <c r="E355" s="9">
        <f>IF(B355="","",C355*IF(D355&gt;0,D355,IFERROR(VLOOKUP(B355,Productos!$A$5:$C$44,3,FALSE),0)))</f>
        <v/>
      </c>
    </row>
    <row r="356">
      <c r="A356" s="13" t="n"/>
      <c r="B356" s="7" t="n"/>
      <c r="C356" s="14" t="n"/>
      <c r="D356" s="5" t="n"/>
      <c r="E356" s="9">
        <f>IF(B356="","",C356*IF(D356&gt;0,D356,IFERROR(VLOOKUP(B356,Productos!$A$5:$C$44,3,FALSE),0)))</f>
        <v/>
      </c>
    </row>
    <row r="357">
      <c r="A357" s="13" t="n"/>
      <c r="B357" s="7" t="n"/>
      <c r="C357" s="14" t="n"/>
      <c r="D357" s="5" t="n"/>
      <c r="E357" s="9">
        <f>IF(B357="","",C357*IF(D357&gt;0,D357,IFERROR(VLOOKUP(B357,Productos!$A$5:$C$44,3,FALSE),0)))</f>
        <v/>
      </c>
    </row>
    <row r="358">
      <c r="A358" s="13" t="n"/>
      <c r="B358" s="7" t="n"/>
      <c r="C358" s="14" t="n"/>
      <c r="D358" s="5" t="n"/>
      <c r="E358" s="9">
        <f>IF(B358="","",C358*IF(D358&gt;0,D358,IFERROR(VLOOKUP(B358,Productos!$A$5:$C$44,3,FALSE),0)))</f>
        <v/>
      </c>
    </row>
    <row r="359">
      <c r="A359" s="13" t="n"/>
      <c r="B359" s="7" t="n"/>
      <c r="C359" s="14" t="n"/>
      <c r="D359" s="5" t="n"/>
      <c r="E359" s="9">
        <f>IF(B359="","",C359*IF(D359&gt;0,D359,IFERROR(VLOOKUP(B359,Productos!$A$5:$C$44,3,FALSE),0)))</f>
        <v/>
      </c>
    </row>
    <row r="360">
      <c r="A360" s="13" t="n"/>
      <c r="B360" s="7" t="n"/>
      <c r="C360" s="14" t="n"/>
      <c r="D360" s="5" t="n"/>
      <c r="E360" s="9">
        <f>IF(B360="","",C360*IF(D360&gt;0,D360,IFERROR(VLOOKUP(B360,Productos!$A$5:$C$44,3,FALSE),0)))</f>
        <v/>
      </c>
    </row>
    <row r="361">
      <c r="A361" s="13" t="n"/>
      <c r="B361" s="7" t="n"/>
      <c r="C361" s="14" t="n"/>
      <c r="D361" s="5" t="n"/>
      <c r="E361" s="9">
        <f>IF(B361="","",C361*IF(D361&gt;0,D361,IFERROR(VLOOKUP(B361,Productos!$A$5:$C$44,3,FALSE),0)))</f>
        <v/>
      </c>
    </row>
    <row r="362">
      <c r="A362" s="13" t="n"/>
      <c r="B362" s="7" t="n"/>
      <c r="C362" s="14" t="n"/>
      <c r="D362" s="5" t="n"/>
      <c r="E362" s="9">
        <f>IF(B362="","",C362*IF(D362&gt;0,D362,IFERROR(VLOOKUP(B362,Productos!$A$5:$C$44,3,FALSE),0)))</f>
        <v/>
      </c>
    </row>
    <row r="363">
      <c r="A363" s="13" t="n"/>
      <c r="B363" s="7" t="n"/>
      <c r="C363" s="14" t="n"/>
      <c r="D363" s="5" t="n"/>
      <c r="E363" s="9">
        <f>IF(B363="","",C363*IF(D363&gt;0,D363,IFERROR(VLOOKUP(B363,Productos!$A$5:$C$44,3,FALSE),0)))</f>
        <v/>
      </c>
    </row>
    <row r="364">
      <c r="A364" s="13" t="n"/>
      <c r="B364" s="7" t="n"/>
      <c r="C364" s="14" t="n"/>
      <c r="D364" s="5" t="n"/>
      <c r="E364" s="9">
        <f>IF(B364="","",C364*IF(D364&gt;0,D364,IFERROR(VLOOKUP(B364,Productos!$A$5:$C$44,3,FALSE),0)))</f>
        <v/>
      </c>
    </row>
    <row r="365">
      <c r="A365" s="13" t="n"/>
      <c r="B365" s="7" t="n"/>
      <c r="C365" s="14" t="n"/>
      <c r="D365" s="5" t="n"/>
      <c r="E365" s="9">
        <f>IF(B365="","",C365*IF(D365&gt;0,D365,IFERROR(VLOOKUP(B365,Productos!$A$5:$C$44,3,FALSE),0)))</f>
        <v/>
      </c>
    </row>
    <row r="366">
      <c r="A366" s="13" t="n"/>
      <c r="B366" s="7" t="n"/>
      <c r="C366" s="14" t="n"/>
      <c r="D366" s="5" t="n"/>
      <c r="E366" s="9">
        <f>IF(B366="","",C366*IF(D366&gt;0,D366,IFERROR(VLOOKUP(B366,Productos!$A$5:$C$44,3,FALSE),0)))</f>
        <v/>
      </c>
    </row>
    <row r="367">
      <c r="A367" s="13" t="n"/>
      <c r="B367" s="7" t="n"/>
      <c r="C367" s="14" t="n"/>
      <c r="D367" s="5" t="n"/>
      <c r="E367" s="9">
        <f>IF(B367="","",C367*IF(D367&gt;0,D367,IFERROR(VLOOKUP(B367,Productos!$A$5:$C$44,3,FALSE),0)))</f>
        <v/>
      </c>
    </row>
    <row r="368">
      <c r="A368" s="13" t="n"/>
      <c r="B368" s="7" t="n"/>
      <c r="C368" s="14" t="n"/>
      <c r="D368" s="5" t="n"/>
      <c r="E368" s="9">
        <f>IF(B368="","",C368*IF(D368&gt;0,D368,IFERROR(VLOOKUP(B368,Productos!$A$5:$C$44,3,FALSE),0)))</f>
        <v/>
      </c>
    </row>
    <row r="369">
      <c r="A369" s="13" t="n"/>
      <c r="B369" s="7" t="n"/>
      <c r="C369" s="14" t="n"/>
      <c r="D369" s="5" t="n"/>
      <c r="E369" s="9">
        <f>IF(B369="","",C369*IF(D369&gt;0,D369,IFERROR(VLOOKUP(B369,Productos!$A$5:$C$44,3,FALSE),0)))</f>
        <v/>
      </c>
    </row>
    <row r="370">
      <c r="A370" s="13" t="n"/>
      <c r="B370" s="7" t="n"/>
      <c r="C370" s="14" t="n"/>
      <c r="D370" s="5" t="n"/>
      <c r="E370" s="9">
        <f>IF(B370="","",C370*IF(D370&gt;0,D370,IFERROR(VLOOKUP(B370,Productos!$A$5:$C$44,3,FALSE),0)))</f>
        <v/>
      </c>
    </row>
    <row r="371">
      <c r="A371" s="13" t="n"/>
      <c r="B371" s="7" t="n"/>
      <c r="C371" s="14" t="n"/>
      <c r="D371" s="5" t="n"/>
      <c r="E371" s="9">
        <f>IF(B371="","",C371*IF(D371&gt;0,D371,IFERROR(VLOOKUP(B371,Productos!$A$5:$C$44,3,FALSE),0)))</f>
        <v/>
      </c>
    </row>
    <row r="372">
      <c r="A372" s="13" t="n"/>
      <c r="B372" s="7" t="n"/>
      <c r="C372" s="14" t="n"/>
      <c r="D372" s="5" t="n"/>
      <c r="E372" s="9">
        <f>IF(B372="","",C372*IF(D372&gt;0,D372,IFERROR(VLOOKUP(B372,Productos!$A$5:$C$44,3,FALSE),0)))</f>
        <v/>
      </c>
    </row>
    <row r="373">
      <c r="A373" s="13" t="n"/>
      <c r="B373" s="7" t="n"/>
      <c r="C373" s="14" t="n"/>
      <c r="D373" s="5" t="n"/>
      <c r="E373" s="9">
        <f>IF(B373="","",C373*IF(D373&gt;0,D373,IFERROR(VLOOKUP(B373,Productos!$A$5:$C$44,3,FALSE),0)))</f>
        <v/>
      </c>
    </row>
    <row r="374">
      <c r="A374" s="13" t="n"/>
      <c r="B374" s="7" t="n"/>
      <c r="C374" s="14" t="n"/>
      <c r="D374" s="5" t="n"/>
      <c r="E374" s="9">
        <f>IF(B374="","",C374*IF(D374&gt;0,D374,IFERROR(VLOOKUP(B374,Productos!$A$5:$C$44,3,FALSE),0)))</f>
        <v/>
      </c>
    </row>
    <row r="375">
      <c r="A375" s="13" t="n"/>
      <c r="B375" s="7" t="n"/>
      <c r="C375" s="14" t="n"/>
      <c r="D375" s="5" t="n"/>
      <c r="E375" s="9">
        <f>IF(B375="","",C375*IF(D375&gt;0,D375,IFERROR(VLOOKUP(B375,Productos!$A$5:$C$44,3,FALSE),0)))</f>
        <v/>
      </c>
    </row>
    <row r="376">
      <c r="A376" s="13" t="n"/>
      <c r="B376" s="7" t="n"/>
      <c r="C376" s="14" t="n"/>
      <c r="D376" s="5" t="n"/>
      <c r="E376" s="9">
        <f>IF(B376="","",C376*IF(D376&gt;0,D376,IFERROR(VLOOKUP(B376,Productos!$A$5:$C$44,3,FALSE),0)))</f>
        <v/>
      </c>
    </row>
    <row r="377">
      <c r="A377" s="13" t="n"/>
      <c r="B377" s="7" t="n"/>
      <c r="C377" s="14" t="n"/>
      <c r="D377" s="5" t="n"/>
      <c r="E377" s="9">
        <f>IF(B377="","",C377*IF(D377&gt;0,D377,IFERROR(VLOOKUP(B377,Productos!$A$5:$C$44,3,FALSE),0)))</f>
        <v/>
      </c>
    </row>
    <row r="378">
      <c r="A378" s="13" t="n"/>
      <c r="B378" s="7" t="n"/>
      <c r="C378" s="14" t="n"/>
      <c r="D378" s="5" t="n"/>
      <c r="E378" s="9">
        <f>IF(B378="","",C378*IF(D378&gt;0,D378,IFERROR(VLOOKUP(B378,Productos!$A$5:$C$44,3,FALSE),0)))</f>
        <v/>
      </c>
    </row>
    <row r="379">
      <c r="A379" s="13" t="n"/>
      <c r="B379" s="7" t="n"/>
      <c r="C379" s="14" t="n"/>
      <c r="D379" s="5" t="n"/>
      <c r="E379" s="9">
        <f>IF(B379="","",C379*IF(D379&gt;0,D379,IFERROR(VLOOKUP(B379,Productos!$A$5:$C$44,3,FALSE),0)))</f>
        <v/>
      </c>
    </row>
    <row r="380">
      <c r="A380" s="13" t="n"/>
      <c r="B380" s="7" t="n"/>
      <c r="C380" s="14" t="n"/>
      <c r="D380" s="5" t="n"/>
      <c r="E380" s="9">
        <f>IF(B380="","",C380*IF(D380&gt;0,D380,IFERROR(VLOOKUP(B380,Productos!$A$5:$C$44,3,FALSE),0)))</f>
        <v/>
      </c>
    </row>
    <row r="381">
      <c r="A381" s="13" t="n"/>
      <c r="B381" s="7" t="n"/>
      <c r="C381" s="14" t="n"/>
      <c r="D381" s="5" t="n"/>
      <c r="E381" s="9">
        <f>IF(B381="","",C381*IF(D381&gt;0,D381,IFERROR(VLOOKUP(B381,Productos!$A$5:$C$44,3,FALSE),0)))</f>
        <v/>
      </c>
    </row>
    <row r="382">
      <c r="A382" s="13" t="n"/>
      <c r="B382" s="7" t="n"/>
      <c r="C382" s="14" t="n"/>
      <c r="D382" s="5" t="n"/>
      <c r="E382" s="9">
        <f>IF(B382="","",C382*IF(D382&gt;0,D382,IFERROR(VLOOKUP(B382,Productos!$A$5:$C$44,3,FALSE),0)))</f>
        <v/>
      </c>
    </row>
    <row r="383">
      <c r="A383" s="13" t="n"/>
      <c r="B383" s="7" t="n"/>
      <c r="C383" s="14" t="n"/>
      <c r="D383" s="5" t="n"/>
      <c r="E383" s="9">
        <f>IF(B383="","",C383*IF(D383&gt;0,D383,IFERROR(VLOOKUP(B383,Productos!$A$5:$C$44,3,FALSE),0)))</f>
        <v/>
      </c>
    </row>
    <row r="384">
      <c r="A384" s="13" t="n"/>
      <c r="B384" s="7" t="n"/>
      <c r="C384" s="14" t="n"/>
      <c r="D384" s="5" t="n"/>
      <c r="E384" s="9">
        <f>IF(B384="","",C384*IF(D384&gt;0,D384,IFERROR(VLOOKUP(B384,Productos!$A$5:$C$44,3,FALSE),0)))</f>
        <v/>
      </c>
    </row>
    <row r="385">
      <c r="A385" s="13" t="n"/>
      <c r="B385" s="7" t="n"/>
      <c r="C385" s="14" t="n"/>
      <c r="D385" s="5" t="n"/>
      <c r="E385" s="9">
        <f>IF(B385="","",C385*IF(D385&gt;0,D385,IFERROR(VLOOKUP(B385,Productos!$A$5:$C$44,3,FALSE),0)))</f>
        <v/>
      </c>
    </row>
    <row r="386">
      <c r="A386" s="13" t="n"/>
      <c r="B386" s="7" t="n"/>
      <c r="C386" s="14" t="n"/>
      <c r="D386" s="5" t="n"/>
      <c r="E386" s="9">
        <f>IF(B386="","",C386*IF(D386&gt;0,D386,IFERROR(VLOOKUP(B386,Productos!$A$5:$C$44,3,FALSE),0)))</f>
        <v/>
      </c>
    </row>
    <row r="387">
      <c r="A387" s="13" t="n"/>
      <c r="B387" s="7" t="n"/>
      <c r="C387" s="14" t="n"/>
      <c r="D387" s="5" t="n"/>
      <c r="E387" s="9">
        <f>IF(B387="","",C387*IF(D387&gt;0,D387,IFERROR(VLOOKUP(B387,Productos!$A$5:$C$44,3,FALSE),0)))</f>
        <v/>
      </c>
    </row>
    <row r="388">
      <c r="A388" s="13" t="n"/>
      <c r="B388" s="7" t="n"/>
      <c r="C388" s="14" t="n"/>
      <c r="D388" s="5" t="n"/>
      <c r="E388" s="9">
        <f>IF(B388="","",C388*IF(D388&gt;0,D388,IFERROR(VLOOKUP(B388,Productos!$A$5:$C$44,3,FALSE),0)))</f>
        <v/>
      </c>
    </row>
    <row r="389">
      <c r="A389" s="13" t="n"/>
      <c r="B389" s="7" t="n"/>
      <c r="C389" s="14" t="n"/>
      <c r="D389" s="5" t="n"/>
      <c r="E389" s="9">
        <f>IF(B389="","",C389*IF(D389&gt;0,D389,IFERROR(VLOOKUP(B389,Productos!$A$5:$C$44,3,FALSE),0)))</f>
        <v/>
      </c>
    </row>
    <row r="390">
      <c r="A390" s="13" t="n"/>
      <c r="B390" s="7" t="n"/>
      <c r="C390" s="14" t="n"/>
      <c r="D390" s="5" t="n"/>
      <c r="E390" s="9">
        <f>IF(B390="","",C390*IF(D390&gt;0,D390,IFERROR(VLOOKUP(B390,Productos!$A$5:$C$44,3,FALSE),0)))</f>
        <v/>
      </c>
    </row>
    <row r="391">
      <c r="A391" s="13" t="n"/>
      <c r="B391" s="7" t="n"/>
      <c r="C391" s="14" t="n"/>
      <c r="D391" s="5" t="n"/>
      <c r="E391" s="9">
        <f>IF(B391="","",C391*IF(D391&gt;0,D391,IFERROR(VLOOKUP(B391,Productos!$A$5:$C$44,3,FALSE),0)))</f>
        <v/>
      </c>
    </row>
    <row r="392">
      <c r="A392" s="13" t="n"/>
      <c r="B392" s="7" t="n"/>
      <c r="C392" s="14" t="n"/>
      <c r="D392" s="5" t="n"/>
      <c r="E392" s="9">
        <f>IF(B392="","",C392*IF(D392&gt;0,D392,IFERROR(VLOOKUP(B392,Productos!$A$5:$C$44,3,FALSE),0)))</f>
        <v/>
      </c>
    </row>
    <row r="393">
      <c r="A393" s="13" t="n"/>
      <c r="B393" s="7" t="n"/>
      <c r="C393" s="14" t="n"/>
      <c r="D393" s="5" t="n"/>
      <c r="E393" s="9">
        <f>IF(B393="","",C393*IF(D393&gt;0,D393,IFERROR(VLOOKUP(B393,Productos!$A$5:$C$44,3,FALSE),0)))</f>
        <v/>
      </c>
    </row>
    <row r="394">
      <c r="A394" s="13" t="n"/>
      <c r="B394" s="7" t="n"/>
      <c r="C394" s="14" t="n"/>
      <c r="D394" s="5" t="n"/>
      <c r="E394" s="9">
        <f>IF(B394="","",C394*IF(D394&gt;0,D394,IFERROR(VLOOKUP(B394,Productos!$A$5:$C$44,3,FALSE),0)))</f>
        <v/>
      </c>
    </row>
    <row r="395">
      <c r="A395" s="13" t="n"/>
      <c r="B395" s="7" t="n"/>
      <c r="C395" s="14" t="n"/>
      <c r="D395" s="5" t="n"/>
      <c r="E395" s="9">
        <f>IF(B395="","",C395*IF(D395&gt;0,D395,IFERROR(VLOOKUP(B395,Productos!$A$5:$C$44,3,FALSE),0)))</f>
        <v/>
      </c>
    </row>
    <row r="396">
      <c r="A396" s="13" t="n"/>
      <c r="B396" s="7" t="n"/>
      <c r="C396" s="14" t="n"/>
      <c r="D396" s="5" t="n"/>
      <c r="E396" s="9">
        <f>IF(B396="","",C396*IF(D396&gt;0,D396,IFERROR(VLOOKUP(B396,Productos!$A$5:$C$44,3,FALSE),0)))</f>
        <v/>
      </c>
    </row>
    <row r="397">
      <c r="A397" s="13" t="n"/>
      <c r="B397" s="7" t="n"/>
      <c r="C397" s="14" t="n"/>
      <c r="D397" s="5" t="n"/>
      <c r="E397" s="9">
        <f>IF(B397="","",C397*IF(D397&gt;0,D397,IFERROR(VLOOKUP(B397,Productos!$A$5:$C$44,3,FALSE),0)))</f>
        <v/>
      </c>
    </row>
    <row r="398">
      <c r="A398" s="13" t="n"/>
      <c r="B398" s="7" t="n"/>
      <c r="C398" s="14" t="n"/>
      <c r="D398" s="5" t="n"/>
      <c r="E398" s="9">
        <f>IF(B398="","",C398*IF(D398&gt;0,D398,IFERROR(VLOOKUP(B398,Productos!$A$5:$C$44,3,FALSE),0)))</f>
        <v/>
      </c>
    </row>
    <row r="399">
      <c r="A399" s="13" t="n"/>
      <c r="B399" s="7" t="n"/>
      <c r="C399" s="14" t="n"/>
      <c r="D399" s="5" t="n"/>
      <c r="E399" s="9">
        <f>IF(B399="","",C399*IF(D399&gt;0,D399,IFERROR(VLOOKUP(B399,Productos!$A$5:$C$44,3,FALSE),0)))</f>
        <v/>
      </c>
    </row>
    <row r="400">
      <c r="A400" s="13" t="n"/>
      <c r="B400" s="7" t="n"/>
      <c r="C400" s="14" t="n"/>
      <c r="D400" s="5" t="n"/>
      <c r="E400" s="9">
        <f>IF(B400="","",C400*IF(D400&gt;0,D400,IFERROR(VLOOKUP(B400,Productos!$A$5:$C$44,3,FALSE),0)))</f>
        <v/>
      </c>
    </row>
    <row r="401">
      <c r="A401" s="13" t="n"/>
      <c r="B401" s="7" t="n"/>
      <c r="C401" s="14" t="n"/>
      <c r="D401" s="5" t="n"/>
      <c r="E401" s="9">
        <f>IF(B401="","",C401*IF(D401&gt;0,D401,IFERROR(VLOOKUP(B401,Productos!$A$5:$C$44,3,FALSE),0)))</f>
        <v/>
      </c>
    </row>
    <row r="402">
      <c r="A402" s="13" t="n"/>
      <c r="B402" s="7" t="n"/>
      <c r="C402" s="14" t="n"/>
      <c r="D402" s="5" t="n"/>
      <c r="E402" s="9">
        <f>IF(B402="","",C402*IF(D402&gt;0,D402,IFERROR(VLOOKUP(B402,Productos!$A$5:$C$44,3,FALSE),0)))</f>
        <v/>
      </c>
    </row>
    <row r="403">
      <c r="A403" s="13" t="n"/>
      <c r="B403" s="7" t="n"/>
      <c r="C403" s="14" t="n"/>
      <c r="D403" s="5" t="n"/>
      <c r="E403" s="9">
        <f>IF(B403="","",C403*IF(D403&gt;0,D403,IFERROR(VLOOKUP(B403,Productos!$A$5:$C$44,3,FALSE),0)))</f>
        <v/>
      </c>
    </row>
    <row r="404">
      <c r="A404" s="13" t="n"/>
      <c r="B404" s="7" t="n"/>
      <c r="C404" s="14" t="n"/>
      <c r="D404" s="5" t="n"/>
      <c r="E404" s="9">
        <f>IF(B404="","",C404*IF(D404&gt;0,D404,IFERROR(VLOOKUP(B404,Productos!$A$5:$C$44,3,FALSE),0)))</f>
        <v/>
      </c>
    </row>
    <row r="405">
      <c r="A405" s="13" t="n"/>
      <c r="B405" s="7" t="n"/>
      <c r="C405" s="14" t="n"/>
      <c r="D405" s="5" t="n"/>
      <c r="E405" s="9">
        <f>IF(B405="","",C405*IF(D405&gt;0,D405,IFERROR(VLOOKUP(B405,Productos!$A$5:$C$44,3,FALSE),0)))</f>
        <v/>
      </c>
    </row>
    <row r="406">
      <c r="A406" s="13" t="n"/>
      <c r="B406" s="7" t="n"/>
      <c r="C406" s="14" t="n"/>
      <c r="D406" s="5" t="n"/>
      <c r="E406" s="9">
        <f>IF(B406="","",C406*IF(D406&gt;0,D406,IFERROR(VLOOKUP(B406,Productos!$A$5:$C$44,3,FALSE),0)))</f>
        <v/>
      </c>
    </row>
    <row r="407">
      <c r="A407" s="13" t="n"/>
      <c r="B407" s="7" t="n"/>
      <c r="C407" s="14" t="n"/>
      <c r="D407" s="5" t="n"/>
      <c r="E407" s="9">
        <f>IF(B407="","",C407*IF(D407&gt;0,D407,IFERROR(VLOOKUP(B407,Productos!$A$5:$C$44,3,FALSE),0)))</f>
        <v/>
      </c>
    </row>
    <row r="408">
      <c r="A408" s="13" t="n"/>
      <c r="B408" s="7" t="n"/>
      <c r="C408" s="14" t="n"/>
      <c r="D408" s="5" t="n"/>
      <c r="E408" s="9">
        <f>IF(B408="","",C408*IF(D408&gt;0,D408,IFERROR(VLOOKUP(B408,Productos!$A$5:$C$44,3,FALSE),0)))</f>
        <v/>
      </c>
    </row>
    <row r="409">
      <c r="A409" s="13" t="n"/>
      <c r="B409" s="7" t="n"/>
      <c r="C409" s="14" t="n"/>
      <c r="D409" s="5" t="n"/>
      <c r="E409" s="9">
        <f>IF(B409="","",C409*IF(D409&gt;0,D409,IFERROR(VLOOKUP(B409,Productos!$A$5:$C$44,3,FALSE),0)))</f>
        <v/>
      </c>
    </row>
    <row r="410">
      <c r="A410" s="13" t="n"/>
      <c r="B410" s="7" t="n"/>
      <c r="C410" s="14" t="n"/>
      <c r="D410" s="5" t="n"/>
      <c r="E410" s="9">
        <f>IF(B410="","",C410*IF(D410&gt;0,D410,IFERROR(VLOOKUP(B410,Productos!$A$5:$C$44,3,FALSE),0)))</f>
        <v/>
      </c>
    </row>
    <row r="411">
      <c r="A411" s="13" t="n"/>
      <c r="B411" s="7" t="n"/>
      <c r="C411" s="14" t="n"/>
      <c r="D411" s="5" t="n"/>
      <c r="E411" s="9">
        <f>IF(B411="","",C411*IF(D411&gt;0,D411,IFERROR(VLOOKUP(B411,Productos!$A$5:$C$44,3,FALSE),0)))</f>
        <v/>
      </c>
    </row>
    <row r="412">
      <c r="A412" s="13" t="n"/>
      <c r="B412" s="7" t="n"/>
      <c r="C412" s="14" t="n"/>
      <c r="D412" s="5" t="n"/>
      <c r="E412" s="9">
        <f>IF(B412="","",C412*IF(D412&gt;0,D412,IFERROR(VLOOKUP(B412,Productos!$A$5:$C$44,3,FALSE),0)))</f>
        <v/>
      </c>
    </row>
    <row r="413">
      <c r="A413" s="13" t="n"/>
      <c r="B413" s="7" t="n"/>
      <c r="C413" s="14" t="n"/>
      <c r="D413" s="5" t="n"/>
      <c r="E413" s="9">
        <f>IF(B413="","",C413*IF(D413&gt;0,D413,IFERROR(VLOOKUP(B413,Productos!$A$5:$C$44,3,FALSE),0)))</f>
        <v/>
      </c>
    </row>
    <row r="414">
      <c r="A414" s="13" t="n"/>
      <c r="B414" s="7" t="n"/>
      <c r="C414" s="14" t="n"/>
      <c r="D414" s="5" t="n"/>
      <c r="E414" s="9">
        <f>IF(B414="","",C414*IF(D414&gt;0,D414,IFERROR(VLOOKUP(B414,Productos!$A$5:$C$44,3,FALSE),0)))</f>
        <v/>
      </c>
    </row>
    <row r="415">
      <c r="A415" s="13" t="n"/>
      <c r="B415" s="7" t="n"/>
      <c r="C415" s="14" t="n"/>
      <c r="D415" s="5" t="n"/>
      <c r="E415" s="9">
        <f>IF(B415="","",C415*IF(D415&gt;0,D415,IFERROR(VLOOKUP(B415,Productos!$A$5:$C$44,3,FALSE),0)))</f>
        <v/>
      </c>
    </row>
    <row r="416">
      <c r="A416" s="13" t="n"/>
      <c r="B416" s="7" t="n"/>
      <c r="C416" s="14" t="n"/>
      <c r="D416" s="5" t="n"/>
      <c r="E416" s="9">
        <f>IF(B416="","",C416*IF(D416&gt;0,D416,IFERROR(VLOOKUP(B416,Productos!$A$5:$C$44,3,FALSE),0)))</f>
        <v/>
      </c>
    </row>
    <row r="417">
      <c r="A417" s="13" t="n"/>
      <c r="B417" s="7" t="n"/>
      <c r="C417" s="14" t="n"/>
      <c r="D417" s="5" t="n"/>
      <c r="E417" s="9">
        <f>IF(B417="","",C417*IF(D417&gt;0,D417,IFERROR(VLOOKUP(B417,Productos!$A$5:$C$44,3,FALSE),0)))</f>
        <v/>
      </c>
    </row>
    <row r="418">
      <c r="A418" s="13" t="n"/>
      <c r="B418" s="7" t="n"/>
      <c r="C418" s="14" t="n"/>
      <c r="D418" s="5" t="n"/>
      <c r="E418" s="9">
        <f>IF(B418="","",C418*IF(D418&gt;0,D418,IFERROR(VLOOKUP(B418,Productos!$A$5:$C$44,3,FALSE),0)))</f>
        <v/>
      </c>
    </row>
    <row r="419">
      <c r="A419" s="13" t="n"/>
      <c r="B419" s="7" t="n"/>
      <c r="C419" s="14" t="n"/>
      <c r="D419" s="5" t="n"/>
      <c r="E419" s="9">
        <f>IF(B419="","",C419*IF(D419&gt;0,D419,IFERROR(VLOOKUP(B419,Productos!$A$5:$C$44,3,FALSE),0)))</f>
        <v/>
      </c>
    </row>
    <row r="420">
      <c r="A420" s="13" t="n"/>
      <c r="B420" s="7" t="n"/>
      <c r="C420" s="14" t="n"/>
      <c r="D420" s="5" t="n"/>
      <c r="E420" s="9">
        <f>IF(B420="","",C420*IF(D420&gt;0,D420,IFERROR(VLOOKUP(B420,Productos!$A$5:$C$44,3,FALSE),0)))</f>
        <v/>
      </c>
    </row>
    <row r="421">
      <c r="A421" s="13" t="n"/>
      <c r="B421" s="7" t="n"/>
      <c r="C421" s="14" t="n"/>
      <c r="D421" s="5" t="n"/>
      <c r="E421" s="9">
        <f>IF(B421="","",C421*IF(D421&gt;0,D421,IFERROR(VLOOKUP(B421,Productos!$A$5:$C$44,3,FALSE),0)))</f>
        <v/>
      </c>
    </row>
    <row r="422">
      <c r="A422" s="13" t="n"/>
      <c r="B422" s="7" t="n"/>
      <c r="C422" s="14" t="n"/>
      <c r="D422" s="5" t="n"/>
      <c r="E422" s="9">
        <f>IF(B422="","",C422*IF(D422&gt;0,D422,IFERROR(VLOOKUP(B422,Productos!$A$5:$C$44,3,FALSE),0)))</f>
        <v/>
      </c>
    </row>
    <row r="423">
      <c r="A423" s="13" t="n"/>
      <c r="B423" s="7" t="n"/>
      <c r="C423" s="14" t="n"/>
      <c r="D423" s="5" t="n"/>
      <c r="E423" s="9">
        <f>IF(B423="","",C423*IF(D423&gt;0,D423,IFERROR(VLOOKUP(B423,Productos!$A$5:$C$44,3,FALSE),0)))</f>
        <v/>
      </c>
    </row>
    <row r="424">
      <c r="A424" s="13" t="n"/>
      <c r="B424" s="7" t="n"/>
      <c r="C424" s="14" t="n"/>
      <c r="D424" s="5" t="n"/>
      <c r="E424" s="9">
        <f>IF(B424="","",C424*IF(D424&gt;0,D424,IFERROR(VLOOKUP(B424,Productos!$A$5:$C$44,3,FALSE),0)))</f>
        <v/>
      </c>
    </row>
    <row r="425">
      <c r="A425" s="13" t="n"/>
      <c r="B425" s="7" t="n"/>
      <c r="C425" s="14" t="n"/>
      <c r="D425" s="5" t="n"/>
      <c r="E425" s="9">
        <f>IF(B425="","",C425*IF(D425&gt;0,D425,IFERROR(VLOOKUP(B425,Productos!$A$5:$C$44,3,FALSE),0)))</f>
        <v/>
      </c>
    </row>
    <row r="426">
      <c r="A426" s="13" t="n"/>
      <c r="B426" s="7" t="n"/>
      <c r="C426" s="14" t="n"/>
      <c r="D426" s="5" t="n"/>
      <c r="E426" s="9">
        <f>IF(B426="","",C426*IF(D426&gt;0,D426,IFERROR(VLOOKUP(B426,Productos!$A$5:$C$44,3,FALSE),0)))</f>
        <v/>
      </c>
    </row>
    <row r="427">
      <c r="A427" s="13" t="n"/>
      <c r="B427" s="7" t="n"/>
      <c r="C427" s="14" t="n"/>
      <c r="D427" s="5" t="n"/>
      <c r="E427" s="9">
        <f>IF(B427="","",C427*IF(D427&gt;0,D427,IFERROR(VLOOKUP(B427,Productos!$A$5:$C$44,3,FALSE),0)))</f>
        <v/>
      </c>
    </row>
    <row r="428">
      <c r="A428" s="13" t="n"/>
      <c r="B428" s="7" t="n"/>
      <c r="C428" s="14" t="n"/>
      <c r="D428" s="5" t="n"/>
      <c r="E428" s="9">
        <f>IF(B428="","",C428*IF(D428&gt;0,D428,IFERROR(VLOOKUP(B428,Productos!$A$5:$C$44,3,FALSE),0)))</f>
        <v/>
      </c>
    </row>
    <row r="429">
      <c r="A429" s="13" t="n"/>
      <c r="B429" s="7" t="n"/>
      <c r="C429" s="14" t="n"/>
      <c r="D429" s="5" t="n"/>
      <c r="E429" s="9">
        <f>IF(B429="","",C429*IF(D429&gt;0,D429,IFERROR(VLOOKUP(B429,Productos!$A$5:$C$44,3,FALSE),0)))</f>
        <v/>
      </c>
    </row>
    <row r="430">
      <c r="A430" s="13" t="n"/>
      <c r="B430" s="7" t="n"/>
      <c r="C430" s="14" t="n"/>
      <c r="D430" s="5" t="n"/>
      <c r="E430" s="9">
        <f>IF(B430="","",C430*IF(D430&gt;0,D430,IFERROR(VLOOKUP(B430,Productos!$A$5:$C$44,3,FALSE),0)))</f>
        <v/>
      </c>
    </row>
    <row r="431">
      <c r="A431" s="13" t="n"/>
      <c r="B431" s="7" t="n"/>
      <c r="C431" s="14" t="n"/>
      <c r="D431" s="5" t="n"/>
      <c r="E431" s="9">
        <f>IF(B431="","",C431*IF(D431&gt;0,D431,IFERROR(VLOOKUP(B431,Productos!$A$5:$C$44,3,FALSE),0)))</f>
        <v/>
      </c>
    </row>
    <row r="432">
      <c r="A432" s="13" t="n"/>
      <c r="B432" s="7" t="n"/>
      <c r="C432" s="14" t="n"/>
      <c r="D432" s="5" t="n"/>
      <c r="E432" s="9">
        <f>IF(B432="","",C432*IF(D432&gt;0,D432,IFERROR(VLOOKUP(B432,Productos!$A$5:$C$44,3,FALSE),0)))</f>
        <v/>
      </c>
    </row>
    <row r="433">
      <c r="A433" s="13" t="n"/>
      <c r="B433" s="7" t="n"/>
      <c r="C433" s="14" t="n"/>
      <c r="D433" s="5" t="n"/>
      <c r="E433" s="9">
        <f>IF(B433="","",C433*IF(D433&gt;0,D433,IFERROR(VLOOKUP(B433,Productos!$A$5:$C$44,3,FALSE),0)))</f>
        <v/>
      </c>
    </row>
    <row r="434">
      <c r="A434" s="13" t="n"/>
      <c r="B434" s="7" t="n"/>
      <c r="C434" s="14" t="n"/>
      <c r="D434" s="5" t="n"/>
      <c r="E434" s="9">
        <f>IF(B434="","",C434*IF(D434&gt;0,D434,IFERROR(VLOOKUP(B434,Productos!$A$5:$C$44,3,FALSE),0)))</f>
        <v/>
      </c>
    </row>
    <row r="435">
      <c r="A435" s="13" t="n"/>
      <c r="B435" s="7" t="n"/>
      <c r="C435" s="14" t="n"/>
      <c r="D435" s="5" t="n"/>
      <c r="E435" s="9">
        <f>IF(B435="","",C435*IF(D435&gt;0,D435,IFERROR(VLOOKUP(B435,Productos!$A$5:$C$44,3,FALSE),0)))</f>
        <v/>
      </c>
    </row>
    <row r="436">
      <c r="A436" s="13" t="n"/>
      <c r="B436" s="7" t="n"/>
      <c r="C436" s="14" t="n"/>
      <c r="D436" s="5" t="n"/>
      <c r="E436" s="9">
        <f>IF(B436="","",C436*IF(D436&gt;0,D436,IFERROR(VLOOKUP(B436,Productos!$A$5:$C$44,3,FALSE),0)))</f>
        <v/>
      </c>
    </row>
    <row r="437">
      <c r="A437" s="13" t="n"/>
      <c r="B437" s="7" t="n"/>
      <c r="C437" s="14" t="n"/>
      <c r="D437" s="5" t="n"/>
      <c r="E437" s="9">
        <f>IF(B437="","",C437*IF(D437&gt;0,D437,IFERROR(VLOOKUP(B437,Productos!$A$5:$C$44,3,FALSE),0)))</f>
        <v/>
      </c>
    </row>
    <row r="438">
      <c r="A438" s="13" t="n"/>
      <c r="B438" s="7" t="n"/>
      <c r="C438" s="14" t="n"/>
      <c r="D438" s="5" t="n"/>
      <c r="E438" s="9">
        <f>IF(B438="","",C438*IF(D438&gt;0,D438,IFERROR(VLOOKUP(B438,Productos!$A$5:$C$44,3,FALSE),0)))</f>
        <v/>
      </c>
    </row>
    <row r="439">
      <c r="A439" s="13" t="n"/>
      <c r="B439" s="7" t="n"/>
      <c r="C439" s="14" t="n"/>
      <c r="D439" s="5" t="n"/>
      <c r="E439" s="9">
        <f>IF(B439="","",C439*IF(D439&gt;0,D439,IFERROR(VLOOKUP(B439,Productos!$A$5:$C$44,3,FALSE),0)))</f>
        <v/>
      </c>
    </row>
    <row r="440">
      <c r="A440" s="13" t="n"/>
      <c r="B440" s="7" t="n"/>
      <c r="C440" s="14" t="n"/>
      <c r="D440" s="5" t="n"/>
      <c r="E440" s="9">
        <f>IF(B440="","",C440*IF(D440&gt;0,D440,IFERROR(VLOOKUP(B440,Productos!$A$5:$C$44,3,FALSE),0)))</f>
        <v/>
      </c>
    </row>
    <row r="441">
      <c r="A441" s="13" t="n"/>
      <c r="B441" s="7" t="n"/>
      <c r="C441" s="14" t="n"/>
      <c r="D441" s="5" t="n"/>
      <c r="E441" s="9">
        <f>IF(B441="","",C441*IF(D441&gt;0,D441,IFERROR(VLOOKUP(B441,Productos!$A$5:$C$44,3,FALSE),0)))</f>
        <v/>
      </c>
    </row>
    <row r="442">
      <c r="A442" s="13" t="n"/>
      <c r="B442" s="7" t="n"/>
      <c r="C442" s="14" t="n"/>
      <c r="D442" s="5" t="n"/>
      <c r="E442" s="9">
        <f>IF(B442="","",C442*IF(D442&gt;0,D442,IFERROR(VLOOKUP(B442,Productos!$A$5:$C$44,3,FALSE),0)))</f>
        <v/>
      </c>
    </row>
    <row r="443">
      <c r="A443" s="13" t="n"/>
      <c r="B443" s="7" t="n"/>
      <c r="C443" s="14" t="n"/>
      <c r="D443" s="5" t="n"/>
      <c r="E443" s="9">
        <f>IF(B443="","",C443*IF(D443&gt;0,D443,IFERROR(VLOOKUP(B443,Productos!$A$5:$C$44,3,FALSE),0)))</f>
        <v/>
      </c>
    </row>
    <row r="444">
      <c r="A444" s="13" t="n"/>
      <c r="B444" s="7" t="n"/>
      <c r="C444" s="14" t="n"/>
      <c r="D444" s="5" t="n"/>
      <c r="E444" s="9">
        <f>IF(B444="","",C444*IF(D444&gt;0,D444,IFERROR(VLOOKUP(B444,Productos!$A$5:$C$44,3,FALSE),0)))</f>
        <v/>
      </c>
    </row>
    <row r="445">
      <c r="A445" s="13" t="n"/>
      <c r="B445" s="7" t="n"/>
      <c r="C445" s="14" t="n"/>
      <c r="D445" s="5" t="n"/>
      <c r="E445" s="9">
        <f>IF(B445="","",C445*IF(D445&gt;0,D445,IFERROR(VLOOKUP(B445,Productos!$A$5:$C$44,3,FALSE),0)))</f>
        <v/>
      </c>
    </row>
    <row r="446">
      <c r="A446" s="13" t="n"/>
      <c r="B446" s="7" t="n"/>
      <c r="C446" s="14" t="n"/>
      <c r="D446" s="5" t="n"/>
      <c r="E446" s="9">
        <f>IF(B446="","",C446*IF(D446&gt;0,D446,IFERROR(VLOOKUP(B446,Productos!$A$5:$C$44,3,FALSE),0)))</f>
        <v/>
      </c>
    </row>
    <row r="447">
      <c r="A447" s="13" t="n"/>
      <c r="B447" s="7" t="n"/>
      <c r="C447" s="14" t="n"/>
      <c r="D447" s="5" t="n"/>
      <c r="E447" s="9">
        <f>IF(B447="","",C447*IF(D447&gt;0,D447,IFERROR(VLOOKUP(B447,Productos!$A$5:$C$44,3,FALSE),0)))</f>
        <v/>
      </c>
    </row>
    <row r="448">
      <c r="A448" s="13" t="n"/>
      <c r="B448" s="7" t="n"/>
      <c r="C448" s="14" t="n"/>
      <c r="D448" s="5" t="n"/>
      <c r="E448" s="9">
        <f>IF(B448="","",C448*IF(D448&gt;0,D448,IFERROR(VLOOKUP(B448,Productos!$A$5:$C$44,3,FALSE),0)))</f>
        <v/>
      </c>
    </row>
    <row r="449">
      <c r="A449" s="13" t="n"/>
      <c r="B449" s="7" t="n"/>
      <c r="C449" s="14" t="n"/>
      <c r="D449" s="5" t="n"/>
      <c r="E449" s="9">
        <f>IF(B449="","",C449*IF(D449&gt;0,D449,IFERROR(VLOOKUP(B449,Productos!$A$5:$C$44,3,FALSE),0)))</f>
        <v/>
      </c>
    </row>
    <row r="450">
      <c r="A450" s="13" t="n"/>
      <c r="B450" s="7" t="n"/>
      <c r="C450" s="14" t="n"/>
      <c r="D450" s="5" t="n"/>
      <c r="E450" s="9">
        <f>IF(B450="","",C450*IF(D450&gt;0,D450,IFERROR(VLOOKUP(B450,Productos!$A$5:$C$44,3,FALSE),0)))</f>
        <v/>
      </c>
    </row>
    <row r="451">
      <c r="A451" s="13" t="n"/>
      <c r="B451" s="7" t="n"/>
      <c r="C451" s="14" t="n"/>
      <c r="D451" s="5" t="n"/>
      <c r="E451" s="9">
        <f>IF(B451="","",C451*IF(D451&gt;0,D451,IFERROR(VLOOKUP(B451,Productos!$A$5:$C$44,3,FALSE),0)))</f>
        <v/>
      </c>
    </row>
    <row r="452">
      <c r="A452" s="13" t="n"/>
      <c r="B452" s="7" t="n"/>
      <c r="C452" s="14" t="n"/>
      <c r="D452" s="5" t="n"/>
      <c r="E452" s="9">
        <f>IF(B452="","",C452*IF(D452&gt;0,D452,IFERROR(VLOOKUP(B452,Productos!$A$5:$C$44,3,FALSE),0)))</f>
        <v/>
      </c>
    </row>
    <row r="453">
      <c r="A453" s="13" t="n"/>
      <c r="B453" s="7" t="n"/>
      <c r="C453" s="14" t="n"/>
      <c r="D453" s="5" t="n"/>
      <c r="E453" s="9">
        <f>IF(B453="","",C453*IF(D453&gt;0,D453,IFERROR(VLOOKUP(B453,Productos!$A$5:$C$44,3,FALSE),0)))</f>
        <v/>
      </c>
    </row>
    <row r="454">
      <c r="A454" s="13" t="n"/>
      <c r="B454" s="7" t="n"/>
      <c r="C454" s="14" t="n"/>
      <c r="D454" s="5" t="n"/>
      <c r="E454" s="9">
        <f>IF(B454="","",C454*IF(D454&gt;0,D454,IFERROR(VLOOKUP(B454,Productos!$A$5:$C$44,3,FALSE),0)))</f>
        <v/>
      </c>
    </row>
    <row r="455">
      <c r="A455" s="13" t="n"/>
      <c r="B455" s="7" t="n"/>
      <c r="C455" s="14" t="n"/>
      <c r="D455" s="5" t="n"/>
      <c r="E455" s="9">
        <f>IF(B455="","",C455*IF(D455&gt;0,D455,IFERROR(VLOOKUP(B455,Productos!$A$5:$C$44,3,FALSE),0)))</f>
        <v/>
      </c>
    </row>
    <row r="456">
      <c r="A456" s="13" t="n"/>
      <c r="B456" s="7" t="n"/>
      <c r="C456" s="14" t="n"/>
      <c r="D456" s="5" t="n"/>
      <c r="E456" s="9">
        <f>IF(B456="","",C456*IF(D456&gt;0,D456,IFERROR(VLOOKUP(B456,Productos!$A$5:$C$44,3,FALSE),0)))</f>
        <v/>
      </c>
    </row>
    <row r="457">
      <c r="A457" s="13" t="n"/>
      <c r="B457" s="7" t="n"/>
      <c r="C457" s="14" t="n"/>
      <c r="D457" s="5" t="n"/>
      <c r="E457" s="9">
        <f>IF(B457="","",C457*IF(D457&gt;0,D457,IFERROR(VLOOKUP(B457,Productos!$A$5:$C$44,3,FALSE),0)))</f>
        <v/>
      </c>
    </row>
    <row r="458">
      <c r="A458" s="13" t="n"/>
      <c r="B458" s="7" t="n"/>
      <c r="C458" s="14" t="n"/>
      <c r="D458" s="5" t="n"/>
      <c r="E458" s="9">
        <f>IF(B458="","",C458*IF(D458&gt;0,D458,IFERROR(VLOOKUP(B458,Productos!$A$5:$C$44,3,FALSE),0)))</f>
        <v/>
      </c>
    </row>
    <row r="459">
      <c r="A459" s="13" t="n"/>
      <c r="B459" s="7" t="n"/>
      <c r="C459" s="14" t="n"/>
      <c r="D459" s="5" t="n"/>
      <c r="E459" s="9">
        <f>IF(B459="","",C459*IF(D459&gt;0,D459,IFERROR(VLOOKUP(B459,Productos!$A$5:$C$44,3,FALSE),0)))</f>
        <v/>
      </c>
    </row>
    <row r="460">
      <c r="A460" s="13" t="n"/>
      <c r="B460" s="7" t="n"/>
      <c r="C460" s="14" t="n"/>
      <c r="D460" s="5" t="n"/>
      <c r="E460" s="9">
        <f>IF(B460="","",C460*IF(D460&gt;0,D460,IFERROR(VLOOKUP(B460,Productos!$A$5:$C$44,3,FALSE),0)))</f>
        <v/>
      </c>
    </row>
    <row r="461">
      <c r="A461" s="13" t="n"/>
      <c r="B461" s="7" t="n"/>
      <c r="C461" s="14" t="n"/>
      <c r="D461" s="5" t="n"/>
      <c r="E461" s="9">
        <f>IF(B461="","",C461*IF(D461&gt;0,D461,IFERROR(VLOOKUP(B461,Productos!$A$5:$C$44,3,FALSE),0)))</f>
        <v/>
      </c>
    </row>
    <row r="462">
      <c r="A462" s="13" t="n"/>
      <c r="B462" s="7" t="n"/>
      <c r="C462" s="14" t="n"/>
      <c r="D462" s="5" t="n"/>
      <c r="E462" s="9">
        <f>IF(B462="","",C462*IF(D462&gt;0,D462,IFERROR(VLOOKUP(B462,Productos!$A$5:$C$44,3,FALSE),0)))</f>
        <v/>
      </c>
    </row>
    <row r="463">
      <c r="A463" s="13" t="n"/>
      <c r="B463" s="7" t="n"/>
      <c r="C463" s="14" t="n"/>
      <c r="D463" s="5" t="n"/>
      <c r="E463" s="9">
        <f>IF(B463="","",C463*IF(D463&gt;0,D463,IFERROR(VLOOKUP(B463,Productos!$A$5:$C$44,3,FALSE),0)))</f>
        <v/>
      </c>
    </row>
    <row r="464">
      <c r="A464" s="13" t="n"/>
      <c r="B464" s="7" t="n"/>
      <c r="C464" s="14" t="n"/>
      <c r="D464" s="5" t="n"/>
      <c r="E464" s="9">
        <f>IF(B464="","",C464*IF(D464&gt;0,D464,IFERROR(VLOOKUP(B464,Productos!$A$5:$C$44,3,FALSE),0)))</f>
        <v/>
      </c>
    </row>
    <row r="465">
      <c r="A465" s="13" t="n"/>
      <c r="B465" s="7" t="n"/>
      <c r="C465" s="14" t="n"/>
      <c r="D465" s="5" t="n"/>
      <c r="E465" s="9">
        <f>IF(B465="","",C465*IF(D465&gt;0,D465,IFERROR(VLOOKUP(B465,Productos!$A$5:$C$44,3,FALSE),0)))</f>
        <v/>
      </c>
    </row>
    <row r="466">
      <c r="A466" s="13" t="n"/>
      <c r="B466" s="7" t="n"/>
      <c r="C466" s="14" t="n"/>
      <c r="D466" s="5" t="n"/>
      <c r="E466" s="9">
        <f>IF(B466="","",C466*IF(D466&gt;0,D466,IFERROR(VLOOKUP(B466,Productos!$A$5:$C$44,3,FALSE),0)))</f>
        <v/>
      </c>
    </row>
    <row r="467">
      <c r="A467" s="13" t="n"/>
      <c r="B467" s="7" t="n"/>
      <c r="C467" s="14" t="n"/>
      <c r="D467" s="5" t="n"/>
      <c r="E467" s="9">
        <f>IF(B467="","",C467*IF(D467&gt;0,D467,IFERROR(VLOOKUP(B467,Productos!$A$5:$C$44,3,FALSE),0)))</f>
        <v/>
      </c>
    </row>
    <row r="468">
      <c r="A468" s="13" t="n"/>
      <c r="B468" s="7" t="n"/>
      <c r="C468" s="14" t="n"/>
      <c r="D468" s="5" t="n"/>
      <c r="E468" s="9">
        <f>IF(B468="","",C468*IF(D468&gt;0,D468,IFERROR(VLOOKUP(B468,Productos!$A$5:$C$44,3,FALSE),0)))</f>
        <v/>
      </c>
    </row>
    <row r="469">
      <c r="A469" s="13" t="n"/>
      <c r="B469" s="7" t="n"/>
      <c r="C469" s="14" t="n"/>
      <c r="D469" s="5" t="n"/>
      <c r="E469" s="9">
        <f>IF(B469="","",C469*IF(D469&gt;0,D469,IFERROR(VLOOKUP(B469,Productos!$A$5:$C$44,3,FALSE),0)))</f>
        <v/>
      </c>
    </row>
    <row r="470">
      <c r="A470" s="13" t="n"/>
      <c r="B470" s="7" t="n"/>
      <c r="C470" s="14" t="n"/>
      <c r="D470" s="5" t="n"/>
      <c r="E470" s="9">
        <f>IF(B470="","",C470*IF(D470&gt;0,D470,IFERROR(VLOOKUP(B470,Productos!$A$5:$C$44,3,FALSE),0)))</f>
        <v/>
      </c>
    </row>
    <row r="471">
      <c r="A471" s="13" t="n"/>
      <c r="B471" s="7" t="n"/>
      <c r="C471" s="14" t="n"/>
      <c r="D471" s="5" t="n"/>
      <c r="E471" s="9">
        <f>IF(B471="","",C471*IF(D471&gt;0,D471,IFERROR(VLOOKUP(B471,Productos!$A$5:$C$44,3,FALSE),0)))</f>
        <v/>
      </c>
    </row>
    <row r="472">
      <c r="A472" s="13" t="n"/>
      <c r="B472" s="7" t="n"/>
      <c r="C472" s="14" t="n"/>
      <c r="D472" s="5" t="n"/>
      <c r="E472" s="9">
        <f>IF(B472="","",C472*IF(D472&gt;0,D472,IFERROR(VLOOKUP(B472,Productos!$A$5:$C$44,3,FALSE),0)))</f>
        <v/>
      </c>
    </row>
    <row r="473">
      <c r="A473" s="13" t="n"/>
      <c r="B473" s="7" t="n"/>
      <c r="C473" s="14" t="n"/>
      <c r="D473" s="5" t="n"/>
      <c r="E473" s="9">
        <f>IF(B473="","",C473*IF(D473&gt;0,D473,IFERROR(VLOOKUP(B473,Productos!$A$5:$C$44,3,FALSE),0)))</f>
        <v/>
      </c>
    </row>
    <row r="474">
      <c r="A474" s="13" t="n"/>
      <c r="B474" s="7" t="n"/>
      <c r="C474" s="14" t="n"/>
      <c r="D474" s="5" t="n"/>
      <c r="E474" s="9">
        <f>IF(B474="","",C474*IF(D474&gt;0,D474,IFERROR(VLOOKUP(B474,Productos!$A$5:$C$44,3,FALSE),0)))</f>
        <v/>
      </c>
    </row>
    <row r="475">
      <c r="A475" s="13" t="n"/>
      <c r="B475" s="7" t="n"/>
      <c r="C475" s="14" t="n"/>
      <c r="D475" s="5" t="n"/>
      <c r="E475" s="9">
        <f>IF(B475="","",C475*IF(D475&gt;0,D475,IFERROR(VLOOKUP(B475,Productos!$A$5:$C$44,3,FALSE),0)))</f>
        <v/>
      </c>
    </row>
    <row r="476">
      <c r="A476" s="13" t="n"/>
      <c r="B476" s="7" t="n"/>
      <c r="C476" s="14" t="n"/>
      <c r="D476" s="5" t="n"/>
      <c r="E476" s="9">
        <f>IF(B476="","",C476*IF(D476&gt;0,D476,IFERROR(VLOOKUP(B476,Productos!$A$5:$C$44,3,FALSE),0)))</f>
        <v/>
      </c>
    </row>
    <row r="477">
      <c r="A477" s="13" t="n"/>
      <c r="B477" s="7" t="n"/>
      <c r="C477" s="14" t="n"/>
      <c r="D477" s="5" t="n"/>
      <c r="E477" s="9">
        <f>IF(B477="","",C477*IF(D477&gt;0,D477,IFERROR(VLOOKUP(B477,Productos!$A$5:$C$44,3,FALSE),0)))</f>
        <v/>
      </c>
    </row>
    <row r="478">
      <c r="A478" s="13" t="n"/>
      <c r="B478" s="7" t="n"/>
      <c r="C478" s="14" t="n"/>
      <c r="D478" s="5" t="n"/>
      <c r="E478" s="9">
        <f>IF(B478="","",C478*IF(D478&gt;0,D478,IFERROR(VLOOKUP(B478,Productos!$A$5:$C$44,3,FALSE),0)))</f>
        <v/>
      </c>
    </row>
    <row r="479">
      <c r="A479" s="13" t="n"/>
      <c r="B479" s="7" t="n"/>
      <c r="C479" s="14" t="n"/>
      <c r="D479" s="5" t="n"/>
      <c r="E479" s="9">
        <f>IF(B479="","",C479*IF(D479&gt;0,D479,IFERROR(VLOOKUP(B479,Productos!$A$5:$C$44,3,FALSE),0)))</f>
        <v/>
      </c>
    </row>
    <row r="480">
      <c r="A480" s="13" t="n"/>
      <c r="B480" s="7" t="n"/>
      <c r="C480" s="14" t="n"/>
      <c r="D480" s="5" t="n"/>
      <c r="E480" s="9">
        <f>IF(B480="","",C480*IF(D480&gt;0,D480,IFERROR(VLOOKUP(B480,Productos!$A$5:$C$44,3,FALSE),0)))</f>
        <v/>
      </c>
    </row>
    <row r="481">
      <c r="A481" s="13" t="n"/>
      <c r="B481" s="7" t="n"/>
      <c r="C481" s="14" t="n"/>
      <c r="D481" s="5" t="n"/>
      <c r="E481" s="9">
        <f>IF(B481="","",C481*IF(D481&gt;0,D481,IFERROR(VLOOKUP(B481,Productos!$A$5:$C$44,3,FALSE),0)))</f>
        <v/>
      </c>
    </row>
    <row r="482">
      <c r="A482" s="13" t="n"/>
      <c r="B482" s="7" t="n"/>
      <c r="C482" s="14" t="n"/>
      <c r="D482" s="5" t="n"/>
      <c r="E482" s="9">
        <f>IF(B482="","",C482*IF(D482&gt;0,D482,IFERROR(VLOOKUP(B482,Productos!$A$5:$C$44,3,FALSE),0)))</f>
        <v/>
      </c>
    </row>
    <row r="483">
      <c r="A483" s="13" t="n"/>
      <c r="B483" s="7" t="n"/>
      <c r="C483" s="14" t="n"/>
      <c r="D483" s="5" t="n"/>
      <c r="E483" s="9">
        <f>IF(B483="","",C483*IF(D483&gt;0,D483,IFERROR(VLOOKUP(B483,Productos!$A$5:$C$44,3,FALSE),0)))</f>
        <v/>
      </c>
    </row>
    <row r="484">
      <c r="A484" s="13" t="n"/>
      <c r="B484" s="7" t="n"/>
      <c r="C484" s="14" t="n"/>
      <c r="D484" s="5" t="n"/>
      <c r="E484" s="9">
        <f>IF(B484="","",C484*IF(D484&gt;0,D484,IFERROR(VLOOKUP(B484,Productos!$A$5:$C$44,3,FALSE),0)))</f>
        <v/>
      </c>
    </row>
    <row r="485">
      <c r="A485" s="13" t="n"/>
      <c r="B485" s="7" t="n"/>
      <c r="C485" s="14" t="n"/>
      <c r="D485" s="5" t="n"/>
      <c r="E485" s="9">
        <f>IF(B485="","",C485*IF(D485&gt;0,D485,IFERROR(VLOOKUP(B485,Productos!$A$5:$C$44,3,FALSE),0)))</f>
        <v/>
      </c>
    </row>
    <row r="486">
      <c r="A486" s="13" t="n"/>
      <c r="B486" s="7" t="n"/>
      <c r="C486" s="14" t="n"/>
      <c r="D486" s="5" t="n"/>
      <c r="E486" s="9">
        <f>IF(B486="","",C486*IF(D486&gt;0,D486,IFERROR(VLOOKUP(B486,Productos!$A$5:$C$44,3,FALSE),0)))</f>
        <v/>
      </c>
    </row>
    <row r="487">
      <c r="A487" s="13" t="n"/>
      <c r="B487" s="7" t="n"/>
      <c r="C487" s="14" t="n"/>
      <c r="D487" s="5" t="n"/>
      <c r="E487" s="9">
        <f>IF(B487="","",C487*IF(D487&gt;0,D487,IFERROR(VLOOKUP(B487,Productos!$A$5:$C$44,3,FALSE),0)))</f>
        <v/>
      </c>
    </row>
    <row r="488">
      <c r="A488" s="13" t="n"/>
      <c r="B488" s="7" t="n"/>
      <c r="C488" s="14" t="n"/>
      <c r="D488" s="5" t="n"/>
      <c r="E488" s="9">
        <f>IF(B488="","",C488*IF(D488&gt;0,D488,IFERROR(VLOOKUP(B488,Productos!$A$5:$C$44,3,FALSE),0)))</f>
        <v/>
      </c>
    </row>
    <row r="489">
      <c r="A489" s="13" t="n"/>
      <c r="B489" s="7" t="n"/>
      <c r="C489" s="14" t="n"/>
      <c r="D489" s="5" t="n"/>
      <c r="E489" s="9">
        <f>IF(B489="","",C489*IF(D489&gt;0,D489,IFERROR(VLOOKUP(B489,Productos!$A$5:$C$44,3,FALSE),0)))</f>
        <v/>
      </c>
    </row>
    <row r="490">
      <c r="A490" s="13" t="n"/>
      <c r="B490" s="7" t="n"/>
      <c r="C490" s="14" t="n"/>
      <c r="D490" s="5" t="n"/>
      <c r="E490" s="9">
        <f>IF(B490="","",C490*IF(D490&gt;0,D490,IFERROR(VLOOKUP(B490,Productos!$A$5:$C$44,3,FALSE),0)))</f>
        <v/>
      </c>
    </row>
    <row r="491">
      <c r="A491" s="13" t="n"/>
      <c r="B491" s="7" t="n"/>
      <c r="C491" s="14" t="n"/>
      <c r="D491" s="5" t="n"/>
      <c r="E491" s="9">
        <f>IF(B491="","",C491*IF(D491&gt;0,D491,IFERROR(VLOOKUP(B491,Productos!$A$5:$C$44,3,FALSE),0)))</f>
        <v/>
      </c>
    </row>
    <row r="492">
      <c r="A492" s="13" t="n"/>
      <c r="B492" s="7" t="n"/>
      <c r="C492" s="14" t="n"/>
      <c r="D492" s="5" t="n"/>
      <c r="E492" s="9">
        <f>IF(B492="","",C492*IF(D492&gt;0,D492,IFERROR(VLOOKUP(B492,Productos!$A$5:$C$44,3,FALSE),0)))</f>
        <v/>
      </c>
    </row>
    <row r="493">
      <c r="A493" s="13" t="n"/>
      <c r="B493" s="7" t="n"/>
      <c r="C493" s="14" t="n"/>
      <c r="D493" s="5" t="n"/>
      <c r="E493" s="9">
        <f>IF(B493="","",C493*IF(D493&gt;0,D493,IFERROR(VLOOKUP(B493,Productos!$A$5:$C$44,3,FALSE),0)))</f>
        <v/>
      </c>
    </row>
    <row r="494">
      <c r="A494" s="13" t="n"/>
      <c r="B494" s="7" t="n"/>
      <c r="C494" s="14" t="n"/>
      <c r="D494" s="5" t="n"/>
      <c r="E494" s="9">
        <f>IF(B494="","",C494*IF(D494&gt;0,D494,IFERROR(VLOOKUP(B494,Productos!$A$5:$C$44,3,FALSE),0)))</f>
        <v/>
      </c>
    </row>
    <row r="495">
      <c r="A495" s="13" t="n"/>
      <c r="B495" s="7" t="n"/>
      <c r="C495" s="14" t="n"/>
      <c r="D495" s="5" t="n"/>
      <c r="E495" s="9">
        <f>IF(B495="","",C495*IF(D495&gt;0,D495,IFERROR(VLOOKUP(B495,Productos!$A$5:$C$44,3,FALSE),0)))</f>
        <v/>
      </c>
    </row>
    <row r="496">
      <c r="A496" s="13" t="n"/>
      <c r="B496" s="7" t="n"/>
      <c r="C496" s="14" t="n"/>
      <c r="D496" s="5" t="n"/>
      <c r="E496" s="9">
        <f>IF(B496="","",C496*IF(D496&gt;0,D496,IFERROR(VLOOKUP(B496,Productos!$A$5:$C$44,3,FALSE),0)))</f>
        <v/>
      </c>
    </row>
    <row r="497">
      <c r="A497" s="13" t="n"/>
      <c r="B497" s="7" t="n"/>
      <c r="C497" s="14" t="n"/>
      <c r="D497" s="5" t="n"/>
      <c r="E497" s="9">
        <f>IF(B497="","",C497*IF(D497&gt;0,D497,IFERROR(VLOOKUP(B497,Productos!$A$5:$C$44,3,FALSE),0)))</f>
        <v/>
      </c>
    </row>
    <row r="498">
      <c r="A498" s="13" t="n"/>
      <c r="B498" s="7" t="n"/>
      <c r="C498" s="14" t="n"/>
      <c r="D498" s="5" t="n"/>
      <c r="E498" s="9">
        <f>IF(B498="","",C498*IF(D498&gt;0,D498,IFERROR(VLOOKUP(B498,Productos!$A$5:$C$44,3,FALSE),0)))</f>
        <v/>
      </c>
    </row>
    <row r="499">
      <c r="A499" s="13" t="n"/>
      <c r="B499" s="7" t="n"/>
      <c r="C499" s="14" t="n"/>
      <c r="D499" s="5" t="n"/>
      <c r="E499" s="9">
        <f>IF(B499="","",C499*IF(D499&gt;0,D499,IFERROR(VLOOKUP(B499,Productos!$A$5:$C$44,3,FALSE),0)))</f>
        <v/>
      </c>
    </row>
    <row r="500">
      <c r="A500" s="13" t="n"/>
      <c r="B500" s="7" t="n"/>
      <c r="C500" s="14" t="n"/>
      <c r="D500" s="5" t="n"/>
      <c r="E500" s="9">
        <f>IF(B500="","",C500*IF(D500&gt;0,D500,IFERROR(VLOOKUP(B500,Productos!$A$5:$C$44,3,FALSE),0)))</f>
        <v/>
      </c>
    </row>
    <row r="501">
      <c r="A501" s="13" t="n"/>
      <c r="B501" s="7" t="n"/>
      <c r="C501" s="14" t="n"/>
      <c r="D501" s="5" t="n"/>
      <c r="E501" s="9">
        <f>IF(B501="","",C501*IF(D501&gt;0,D501,IFERROR(VLOOKUP(B501,Productos!$A$5:$C$44,3,FALSE),0)))</f>
        <v/>
      </c>
    </row>
    <row r="502">
      <c r="A502" s="13" t="n"/>
      <c r="B502" s="7" t="n"/>
      <c r="C502" s="14" t="n"/>
      <c r="D502" s="5" t="n"/>
      <c r="E502" s="9">
        <f>IF(B502="","",C502*IF(D502&gt;0,D502,IFERROR(VLOOKUP(B502,Productos!$A$5:$C$44,3,FALSE),0)))</f>
        <v/>
      </c>
    </row>
    <row r="503">
      <c r="A503" s="13" t="n"/>
      <c r="B503" s="7" t="n"/>
      <c r="C503" s="14" t="n"/>
      <c r="D503" s="5" t="n"/>
      <c r="E503" s="9">
        <f>IF(B503="","",C503*IF(D503&gt;0,D503,IFERROR(VLOOKUP(B503,Productos!$A$5:$C$44,3,FALSE),0)))</f>
        <v/>
      </c>
    </row>
    <row r="504">
      <c r="A504" s="13" t="n"/>
      <c r="B504" s="7" t="n"/>
      <c r="C504" s="14" t="n"/>
      <c r="D504" s="5" t="n"/>
      <c r="E504" s="9">
        <f>IF(B504="","",C504*IF(D504&gt;0,D504,IFERROR(VLOOKUP(B504,Productos!$A$5:$C$44,3,FALSE),0)))</f>
        <v/>
      </c>
    </row>
  </sheetData>
  <dataValidations count="1">
    <dataValidation sqref="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B419 B420 B421 B422 B423 B424 B425 B426 B427 B428 B429 B430 B431 B432 B433 B434 B435 B436 B437 B438 B439 B440 B441 B442 B443 B444 B445 B446 B447 B448 B449 B450 B451 B452 B453 B454 B455 B456 B457 B458 B459 B460 B461 B462 B463 B464 B465 B466 B467 B468 B469 B470 B471 B472 B473 B474 B475 B476 B477 B478 B479 B480 B481 B482 B483 B484 B485 B486 B487 B488 B489 B490 B491 B492 B493 B494 B495 B496 B497 B498 B499 B500 B501 B502 B503 B504" showDropDown="0" showInputMessage="0" showErrorMessage="0" allowBlank="1" type="list">
      <formula1>=Productos!$A$5:$A$44</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52" customWidth="1" min="1" max="1"/>
    <col width="22" customWidth="1" min="2" max="2"/>
  </cols>
  <sheetData>
    <row r="1">
      <c r="A1" s="1" t="inlineStr">
        <is>
          <t>Resumen del período</t>
        </is>
      </c>
    </row>
    <row r="2">
      <c r="A2" s="2" t="inlineStr">
        <is>
          <t>Cuánto ganaste y cuánta plata tenés parada</t>
        </is>
      </c>
    </row>
    <row r="5">
      <c r="A5" s="15" t="inlineStr">
        <is>
          <t>Ingresos por ventas</t>
        </is>
      </c>
      <c r="B5" s="9">
        <f>SUM(Ventas!E5:E504)</f>
        <v/>
      </c>
    </row>
    <row r="6">
      <c r="A6" s="15" t="inlineStr">
        <is>
          <t>Costo de la mercadería vendida</t>
        </is>
      </c>
      <c r="B6" s="9">
        <f>SUMPRODUCT(Productos!$B$5:$B$44,Productos!$I$5:$I$44)</f>
        <v/>
      </c>
    </row>
    <row r="7">
      <c r="A7" s="15" t="inlineStr">
        <is>
          <t>Comisiones y envíos (estimado con el precio de lista)</t>
        </is>
      </c>
      <c r="B7" s="9">
        <f>SUMPRODUCT(Productos!$C$5:$C$44,Productos!$D$5:$D$44,Productos!$I$5:$I$44)</f>
        <v/>
      </c>
    </row>
    <row r="8">
      <c r="A8" s="4" t="inlineStr">
        <is>
          <t>Ganancia bruta</t>
        </is>
      </c>
      <c r="B8" s="9">
        <f>B5-B6-B7</f>
        <v/>
      </c>
    </row>
    <row r="9">
      <c r="A9" s="15" t="inlineStr">
        <is>
          <t>Costos fijos del período</t>
        </is>
      </c>
      <c r="B9" s="9">
        <f>Parámetros!B4</f>
        <v/>
      </c>
    </row>
    <row r="10">
      <c r="A10" s="4" t="inlineStr">
        <is>
          <t>GANANCIA NETA</t>
        </is>
      </c>
      <c r="B10" s="16">
        <f>B8-B9</f>
        <v/>
      </c>
    </row>
    <row r="11">
      <c r="A11" s="15" t="inlineStr">
        <is>
          <t>Meta de ganancia</t>
        </is>
      </c>
      <c r="B11" s="9">
        <f>Parámetros!B5</f>
        <v/>
      </c>
    </row>
    <row r="12">
      <c r="A12" s="15" t="inlineStr">
        <is>
          <t>Falta para la meta (0 = cumplida)</t>
        </is>
      </c>
      <c r="B12" s="9">
        <f>MAX(0,B11-B10)</f>
        <v/>
      </c>
    </row>
    <row r="13">
      <c r="A13" s="15" t="inlineStr">
        <is>
          <t>Unidades vendidas</t>
        </is>
      </c>
      <c r="B13" s="11">
        <f>SUM(Productos!$I$5:$I$44)</f>
        <v/>
      </c>
    </row>
    <row r="14">
      <c r="A14" s="15" t="inlineStr">
        <is>
          <t>Plata invertida en mercadería comprada</t>
        </is>
      </c>
      <c r="B14" s="9">
        <f>SUMPRODUCT(Productos!$B$5:$B$44,Productos!$E$5:$E$44)</f>
        <v/>
      </c>
    </row>
    <row r="15">
      <c r="A15" s="15" t="inlineStr">
        <is>
          <t>Plata parada en stock (a costo)</t>
        </is>
      </c>
      <c r="B15" s="9">
        <f>SUMPRODUCT(Productos!$B$5:$B$44,Productos!$J$5:$J$44)</f>
        <v/>
      </c>
    </row>
    <row r="16">
      <c r="A16" s="15" t="inlineStr">
        <is>
          <t>Productos para reponer o sin stock</t>
        </is>
      </c>
      <c r="B16" s="11">
        <f>COUNTIF(Productos!$K$5:$K$44,"REPONER")+COUNTIF(Productos!$K$5:$K$44,"SIN STOCK")</f>
        <v/>
      </c>
    </row>
    <row r="17">
      <c r="A17" s="15" t="inlineStr">
        <is>
          <t>Producto más rentable</t>
        </is>
      </c>
      <c r="B17" s="17">
        <f>IFERROR(INDEX(Productos!$A$5:$A$44,MATCH(MAX(Productos!$L$5:$L$44),Productos!$L$5:$L$44,0)),"")</f>
        <v/>
      </c>
    </row>
    <row r="19">
      <c r="A19" s="2" t="inlineStr">
        <is>
          <t>Si la ganancia neta es negativa, los costos fijos todavía no se pagaron: revisá precios, comisiones y stock parado.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2026-10-25T15:12:45Z</dcterms:created>
  <dcterms:modified xmlns:dcterms="http://purl.org/dc/terms/" xmlns:xsi="http://www.w3.org/2001/XMLSchema-instance" xsi:type="dcterms:W3CDTF">2026-10-25T15:12:45Z</dcterms:modified>
</cp:coreProperties>
</file>