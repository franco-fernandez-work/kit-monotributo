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icio" sheetId="1" state="visible" r:id="rId1"/>
    <sheet xmlns:r="http://schemas.openxmlformats.org/officeDocument/2006/relationships" name="Resumen" sheetId="2" state="visible" r:id="rId2"/>
    <sheet xmlns:r="http://schemas.openxmlformats.org/officeDocument/2006/relationships" name="Datos del viaje" sheetId="3" state="visible" r:id="rId3"/>
    <sheet xmlns:r="http://schemas.openxmlformats.org/officeDocument/2006/relationships" name="Checklist" sheetId="4" state="visible" r:id="rId4"/>
    <sheet xmlns:r="http://schemas.openxmlformats.org/officeDocument/2006/relationships" name="Equipaje" sheetId="5" state="visible" r:id="rId5"/>
    <sheet xmlns:r="http://schemas.openxmlformats.org/officeDocument/2006/relationships" name="Lista para imprimir" sheetId="6" state="visible" r:id="rId6"/>
  </sheets>
  <definedNames>
    <definedName name="_xlnm._FilterDatabase" localSheetId="3" hidden="1">'Checklist'!$A$4:$H$80</definedName>
    <definedName name="_xlnm.Print_Titles" localSheetId="3">'Checklist'!$4:$4</definedName>
    <definedName name="_xlnm._FilterDatabase" localSheetId="4" hidden="1">'Equipaje'!$A$4:$H$85</definedName>
    <definedName name="_xlnm.Print_Titles" localSheetId="5">'Lista para imprimir'!$4:$4</definedName>
    <definedName name="_xlnm.Print_Area" localSheetId="5">'Lista para imprimir'!$A$1:$D$85</definedName>
  </definedNames>
  <calcPr calcId="124519" fullCalcOnLoad="1"/>
</workbook>
</file>

<file path=xl/styles.xml><?xml version="1.0" encoding="utf-8"?>
<styleSheet xmlns="http://schemas.openxmlformats.org/spreadsheetml/2006/main">
  <numFmts count="2">
    <numFmt numFmtId="164" formatCode="yyyy-mm-dd"/>
    <numFmt numFmtId="165" formatCode="0;&quot;Departed&quot;;0"/>
  </numFmts>
  <fonts count="11">
    <font>
      <name val="Calibri"/>
      <family val="2"/>
      <color theme="1"/>
      <sz val="11"/>
      <scheme val="minor"/>
    </font>
    <font>
      <name val="Calibri"/>
      <b val="1"/>
      <color rgb="0017324D"/>
      <sz val="18"/>
    </font>
    <font>
      <name val="Calibri"/>
      <i val="1"/>
      <color rgb="005B6570"/>
    </font>
    <font>
      <name val="Calibri"/>
      <b val="1"/>
      <color rgb="000F7B6C"/>
      <sz val="12"/>
    </font>
    <font>
      <name val="Calibri"/>
      <sz val="11"/>
    </font>
    <font>
      <name val="Calibri"/>
      <b val="1"/>
      <color rgb="00FFFFFF"/>
    </font>
    <font>
      <name val="Calibri"/>
      <b val="1"/>
      <color rgb="0017324D"/>
    </font>
    <font>
      <name val="Calibri"/>
    </font>
    <font>
      <name val="Calibri"/>
      <b val="1"/>
    </font>
    <font>
      <name val="Calibri"/>
      <i val="1"/>
      <color rgb="00888888"/>
    </font>
    <font>
      <name val="Calibri"/>
      <sz val="13"/>
    </font>
  </fonts>
  <fills count="5">
    <fill>
      <patternFill/>
    </fill>
    <fill>
      <patternFill patternType="gray125"/>
    </fill>
    <fill>
      <patternFill patternType="solid">
        <fgColor rgb="0017324D"/>
      </patternFill>
    </fill>
    <fill>
      <patternFill patternType="solid">
        <fgColor rgb="00FFF4CC"/>
      </patternFill>
    </fill>
    <fill>
      <patternFill patternType="solid">
        <fgColor rgb="00E3F2EE"/>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6" fillId="0" borderId="0" pivotButton="0" quotePrefix="0" xfId="0"/>
    <xf numFmtId="165" fontId="8" fillId="4" borderId="1" applyAlignment="1" pivotButton="0" quotePrefix="0" xfId="0">
      <alignment horizontal="right"/>
    </xf>
    <xf numFmtId="0" fontId="5" fillId="2" borderId="1" applyAlignment="1" pivotButton="0" quotePrefix="0" xfId="0">
      <alignment horizontal="center" vertical="center" wrapText="1"/>
    </xf>
    <xf numFmtId="1" fontId="8" fillId="4" borderId="1" applyAlignment="1" pivotButton="0" quotePrefix="0" xfId="0">
      <alignment horizontal="right"/>
    </xf>
    <xf numFmtId="0" fontId="8" fillId="4" borderId="1" pivotButton="0" quotePrefix="0" xfId="0"/>
    <xf numFmtId="1" fontId="7" fillId="4" borderId="1" pivotButton="0" quotePrefix="0" xfId="0"/>
    <xf numFmtId="9" fontId="8" fillId="4" borderId="1" applyAlignment="1" pivotButton="0" quotePrefix="0" xfId="0">
      <alignment horizontal="right"/>
    </xf>
    <xf numFmtId="0" fontId="7" fillId="4" borderId="1" applyAlignment="1" pivotButton="0" quotePrefix="0" xfId="0">
      <alignment/>
    </xf>
    <xf numFmtId="164" fontId="7" fillId="4" borderId="1" applyAlignment="1" pivotButton="0" quotePrefix="0" xfId="0">
      <alignment horizontal="center"/>
    </xf>
    <xf numFmtId="0" fontId="7" fillId="4" borderId="1" applyAlignment="1" pivotButton="0" quotePrefix="0" xfId="0">
      <alignment horizontal="center"/>
    </xf>
    <xf numFmtId="0" fontId="7" fillId="3" borderId="1" applyAlignment="1" pivotButton="0" quotePrefix="0" xfId="0">
      <alignment horizontal="center"/>
    </xf>
    <xf numFmtId="1" fontId="7" fillId="4" borderId="1" applyAlignment="1" pivotButton="0" quotePrefix="0" xfId="0">
      <alignment horizontal="center"/>
    </xf>
    <xf numFmtId="1" fontId="7" fillId="3" borderId="1" applyAlignment="1" pivotButton="0" quotePrefix="0" xfId="0">
      <alignment horizontal="center"/>
    </xf>
    <xf numFmtId="164" fontId="7" fillId="3" borderId="1" applyAlignment="1" pivotButton="0" quotePrefix="0" xfId="0">
      <alignment horizontal="center"/>
    </xf>
    <xf numFmtId="164" fontId="8" fillId="4" borderId="1" applyAlignment="1" pivotButton="0" quotePrefix="0" xfId="0">
      <alignment horizontal="center"/>
    </xf>
    <xf numFmtId="0" fontId="9" fillId="0" borderId="0" pivotButton="0" quotePrefix="0" xfId="0"/>
    <xf numFmtId="0" fontId="7" fillId="4" borderId="1" pivotButton="0" quotePrefix="0" xfId="0"/>
    <xf numFmtId="0" fontId="7" fillId="3" borderId="1" applyAlignment="1" pivotButton="0" quotePrefix="0" xfId="0">
      <alignment vertical="top" wrapText="1"/>
    </xf>
    <xf numFmtId="0" fontId="7" fillId="3" borderId="1" pivotButton="0" quotePrefix="0" xfId="0"/>
    <xf numFmtId="0" fontId="8" fillId="4" borderId="1" applyAlignment="1" pivotButton="0" quotePrefix="0" xfId="0">
      <alignment horizontal="center"/>
    </xf>
    <xf numFmtId="0" fontId="10" fillId="0" borderId="0" pivotButton="0" quotePrefix="0" xfId="0"/>
    <xf numFmtId="0" fontId="4" fillId="0" borderId="0" pivotButton="0" quotePrefix="0" xfId="0"/>
    <xf numFmtId="0" fontId="4" fillId="0" borderId="0" applyAlignment="1" pivotButton="0" quotePrefix="0" xfId="0">
      <alignment horizontal="center"/>
    </xf>
  </cellXfs>
  <cellStyles count="1">
    <cellStyle name="Normal" xfId="0" builtinId="0" hidden="0"/>
  </cellStyles>
  <dxfs count="7">
    <dxf>
      <font>
        <b val="1"/>
        <color rgb="00C0392B"/>
      </font>
    </dxf>
    <dxf>
      <font>
        <b val="1"/>
        <color rgb="00B26A00"/>
      </font>
    </dxf>
    <dxf>
      <font>
        <color rgb="00A0A7B0"/>
      </font>
      <fill>
        <patternFill patternType="solid">
          <fgColor rgb="00EEF0F3"/>
        </patternFill>
      </fill>
    </dxf>
    <dxf>
      <font>
        <b val="1"/>
        <color rgb="00C0392B"/>
      </font>
      <fill>
        <patternFill patternType="solid">
          <fgColor rgb="00FBE3E0"/>
        </patternFill>
      </fill>
    </dxf>
    <dxf>
      <font>
        <b val="1"/>
        <color rgb="00B26A00"/>
      </font>
      <fill>
        <patternFill patternType="solid">
          <fgColor rgb="00FFF1D0"/>
        </patternFill>
      </fill>
    </dxf>
    <dxf>
      <font>
        <b val="1"/>
        <color rgb="000F7B6C"/>
      </font>
    </dxf>
    <dxf>
      <border>
        <bottom style="hair">
          <color rgb="00BBBBBB"/>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Tareas por etapa</a:t>
            </a:r>
          </a:p>
        </rich>
      </tx>
    </title>
    <plotArea>
      <barChart>
        <barDir val="bar"/>
        <grouping val="clustered"/>
        <ser>
          <idx val="0"/>
          <order val="0"/>
          <tx>
            <strRef>
              <f>'Resumen'!G5</f>
            </strRef>
          </tx>
          <spPr>
            <a:solidFill xmlns:a="http://schemas.openxmlformats.org/drawingml/2006/main">
              <a:srgbClr val="17324D"/>
            </a:solidFill>
            <a:ln xmlns:a="http://schemas.openxmlformats.org/drawingml/2006/main">
              <a:prstDash val="solid"/>
            </a:ln>
          </spPr>
          <cat>
            <numRef>
              <f>'Resumen'!$F$6:$F$14</f>
            </numRef>
          </cat>
          <val>
            <numRef>
              <f>'Resumen'!$G$6:$G$14</f>
            </numRef>
          </val>
        </ser>
        <ser>
          <idx val="1"/>
          <order val="1"/>
          <tx>
            <strRef>
              <f>'Resumen'!H5</f>
            </strRef>
          </tx>
          <spPr>
            <a:solidFill xmlns:a="http://schemas.openxmlformats.org/drawingml/2006/main">
              <a:srgbClr val="0F7B6C"/>
            </a:solidFill>
            <a:ln xmlns:a="http://schemas.openxmlformats.org/drawingml/2006/main">
              <a:prstDash val="solid"/>
            </a:ln>
          </spPr>
          <cat>
            <numRef>
              <f>'Resumen'!$F$6:$F$14</f>
            </numRef>
          </cat>
          <val>
            <numRef>
              <f>'Resumen'!$H$6:$H$14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16</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F7B6C"/>
    <outlinePr summaryBelow="1" summaryRight="1"/>
    <pageSetUpPr/>
  </sheetPr>
  <dimension ref="A1:A19"/>
  <sheetViews>
    <sheetView showGridLines="0" workbookViewId="0">
      <selection activeCell="A1" sqref="A1"/>
    </sheetView>
  </sheetViews>
  <sheetFormatPr baseColWidth="8" defaultRowHeight="15"/>
  <cols>
    <col width="112" customWidth="1" min="1" max="1"/>
  </cols>
  <sheetData>
    <row r="1" ht="28" customHeight="1">
      <c r="A1" s="1" t="inlineStr">
        <is>
          <t>Checklist de Viaje por Plazos y Equipaje</t>
        </is>
      </c>
    </row>
    <row r="2">
      <c r="A2" s="2" t="inlineStr">
        <is>
          <t>Cargá la fecha de salida y el tipo de viaje. La planilla calcula qué hacer y para cuándo, marca lo atrasado e imprime tu lista de equipaje.</t>
        </is>
      </c>
    </row>
    <row r="4">
      <c r="A4" s="3" t="inlineStr">
        <is>
          <t>CÓMO USARLA</t>
        </is>
      </c>
    </row>
    <row r="5" ht="32" customHeight="1">
      <c r="A5" s="4" t="inlineStr">
        <is>
          <t>1. Datos del viaje: escribí el nombre del viaje, la fecha de salida, la duración y la cantidad de viajeros, y elegí tipo de viaje, transporte, chicos, mascotas, visa y clima (celdas amarillas).</t>
        </is>
      </c>
    </row>
    <row r="6" ht="48" customHeight="1">
      <c r="A6" s="4" t="inlineStr">
        <is>
          <t>2. Checklist: cada tarea tiene una fecha límite contada hacia atrás desde la salida y un estado: Atrasada, Pronto o Al día. Marcá como Hecho las que terminaste. Las tareas que no corresponden a tu viaje se ven en gris.</t>
        </is>
      </c>
    </row>
    <row r="7" ht="32" customHeight="1">
      <c r="A7" s="4" t="inlineStr">
        <is>
          <t>3. Cambiá el número de 'Días antes' de cualquier tarea a tu medida, o usá las filas vacías del final para tus propias tareas.</t>
        </is>
      </c>
    </row>
    <row r="8" ht="16" customHeight="1">
      <c r="A8" s="4" t="inlineStr">
        <is>
          <t>4. Resumen: tu avance, cuántos días faltan y las próximas tareas en orden.</t>
        </is>
      </c>
    </row>
    <row r="9" ht="32" customHeight="1">
      <c r="A9" s="4" t="inlineStr">
        <is>
          <t>5. Equipaje: los ítems que corresponden a tu viaje, con cantidades para todos los viajeros. Tildá lo que ya guardaste. Lista para imprimir te da una lista limpia para imprimir.</t>
        </is>
      </c>
    </row>
    <row r="10" ht="32" customHeight="1">
      <c r="A10" s="4" t="inlineStr">
        <is>
          <t>¿Usás también el Planificador de Presupuesto de Viaje? Datos del viaje tiene las mismas celdas de nombre (B5), viajeros (B10), fecha de inicio (B11) y duración (B12): copialas de una a otra.</t>
        </is>
      </c>
    </row>
    <row r="12">
      <c r="A12" s="3" t="inlineStr">
        <is>
          <t>COLORES</t>
        </is>
      </c>
    </row>
    <row r="13" ht="32" customHeight="1">
      <c r="A13" s="4" t="inlineStr">
        <is>
          <t>Las celdas amarillas son para completar. Las verdes se calculan solas, no las pises. Las filas grises no corresponden a este viaje.</t>
        </is>
      </c>
    </row>
    <row r="15">
      <c r="A15" s="3" t="inlineStr">
        <is>
          <t>FUENTES OFICIALES</t>
        </is>
      </c>
    </row>
    <row r="16" ht="64" customHeight="1">
      <c r="A16" s="4" t="inlineStr">
        <is>
          <t>Los requisitos de ingreso, visas, salud, documentos de menores, reglas para mascotas y límites de equipaje cambian y dependen del país y de la aerolínea. Esta planilla solo te recuerda averiguarlos: confirmalos siempre en fuentes oficiales (argentina.gob.ar y la Cancillería, el sitio oficial del destino, la embajada o consulado, tu aerolínea y tu seguro).</t>
        </is>
      </c>
    </row>
    <row r="18">
      <c r="A18" s="3" t="inlineStr">
        <is>
          <t>AVISO</t>
        </is>
      </c>
    </row>
    <row r="19" ht="48" customHeight="1">
      <c r="A19" s="4" t="inlineStr">
        <is>
          <t>Ayuda de planificación con plazos habituales; no es asesoramiento legal, migratorio ni médico. 'Atrasada' no siempre significa que lo perdiste: si reservaste tarde, marcá lo hecho e ignorá el resto. Solo para uso personal; no se permite su reventa ni redistribución.</t>
        </is>
      </c>
    </row>
  </sheetData>
  <pageMargins left="0.75" right="0.75" top="1" bottom="1" header="0.5" footer="0.5"/>
</worksheet>
</file>

<file path=xl/worksheets/sheet2.xml><?xml version="1.0" encoding="utf-8"?>
<worksheet xmlns="http://schemas.openxmlformats.org/spreadsheetml/2006/main">
  <sheetPr>
    <tabColor rgb="00F2B84B"/>
    <outlinePr summaryBelow="1" summaryRight="1"/>
    <pageSetUpPr/>
  </sheetPr>
  <dimension ref="A1:H24"/>
  <sheetViews>
    <sheetView showGridLines="0" workbookViewId="0">
      <selection activeCell="A1" sqref="A1"/>
    </sheetView>
  </sheetViews>
  <sheetFormatPr baseColWidth="8" defaultRowHeight="15"/>
  <cols>
    <col width="70" customWidth="1" min="1" max="1"/>
    <col width="13" customWidth="1" min="2" max="2"/>
    <col width="13" customWidth="1" min="3" max="3"/>
    <col width="12" customWidth="1" min="4" max="4"/>
    <col hidden="1" width="3" customWidth="1" min="5" max="5"/>
    <col width="34" customWidth="1" min="6" max="6"/>
    <col width="14" customWidth="1" min="7" max="7"/>
    <col width="12" customWidth="1" min="8" max="8"/>
  </cols>
  <sheetData>
    <row r="1" ht="28" customHeight="1">
      <c r="A1" s="1" t="inlineStr">
        <is>
          <t>Resumen</t>
        </is>
      </c>
    </row>
    <row r="2">
      <c r="A2" s="2">
        <f>'Datos del viaje'!$B$5&amp;"  ·  "&amp;TEXT('Datos del viaje'!$B$11,"yyyy-mm-dd")&amp;"  ·  "&amp;'Datos del viaje'!$B$10&amp;" viajero(s)"</f>
        <v/>
      </c>
    </row>
    <row r="4">
      <c r="A4" s="3" t="inlineStr">
        <is>
          <t>AVANCE</t>
        </is>
      </c>
      <c r="F4" s="3" t="inlineStr">
        <is>
          <t>POR ETAPA</t>
        </is>
      </c>
    </row>
    <row r="5" ht="32" customHeight="1">
      <c r="A5" s="5" t="inlineStr">
        <is>
          <t>Días hasta la salida</t>
        </is>
      </c>
      <c r="B5" s="6">
        <f>'Datos del viaje'!$B$11-'Datos del viaje'!$B$18</f>
        <v/>
      </c>
      <c r="F5" s="7" t="inlineStr">
        <is>
          <t>Etapa</t>
        </is>
      </c>
      <c r="G5" s="7" t="inlineStr">
        <is>
          <t>Tareas</t>
        </is>
      </c>
      <c r="H5" s="7" t="inlineStr">
        <is>
          <t>Hechas</t>
        </is>
      </c>
    </row>
    <row r="6">
      <c r="A6" s="5" t="inlineStr">
        <is>
          <t>Tareas que aplican a este viaje</t>
        </is>
      </c>
      <c r="B6" s="8">
        <f>SUM('Checklist'!$I$5:$I$80)</f>
        <v/>
      </c>
      <c r="F6" s="9" t="inlineStr">
        <is>
          <t>6 meses o más antes</t>
        </is>
      </c>
      <c r="G6" s="10">
        <f>COUNTIFS('Checklist'!$A$5:$A$80,F6,'Checklist'!$I$5:$I$80,1)</f>
        <v/>
      </c>
      <c r="H6" s="10">
        <f>COUNTIFS('Checklist'!$A$5:$A$80,F6,'Checklist'!$I$5:$I$80,1,'Checklist'!$F$5:$F$80,"Hecho")</f>
        <v/>
      </c>
    </row>
    <row r="7">
      <c r="A7" s="5" t="inlineStr">
        <is>
          <t>Hechas</t>
        </is>
      </c>
      <c r="B7" s="8">
        <f>COUNTIFS('Checklist'!$I$5:$I$80,1,'Checklist'!$F$5:$F$80,"Hecho")</f>
        <v/>
      </c>
      <c r="F7" s="9" t="inlineStr">
        <is>
          <t>3 a 6 meses antes</t>
        </is>
      </c>
      <c r="G7" s="10">
        <f>COUNTIFS('Checklist'!$A$5:$A$80,F7,'Checklist'!$I$5:$I$80,1)</f>
        <v/>
      </c>
      <c r="H7" s="10">
        <f>COUNTIFS('Checklist'!$A$5:$A$80,F7,'Checklist'!$I$5:$I$80,1,'Checklist'!$F$5:$F$80,"Hecho")</f>
        <v/>
      </c>
    </row>
    <row r="8">
      <c r="A8" s="5" t="inlineStr">
        <is>
          <t>Completado</t>
        </is>
      </c>
      <c r="B8" s="11">
        <f>IF(B6=0,0,B7/B6)</f>
        <v/>
      </c>
      <c r="F8" s="9" t="inlineStr">
        <is>
          <t>1 a 3 meses antes</t>
        </is>
      </c>
      <c r="G8" s="10">
        <f>COUNTIFS('Checklist'!$A$5:$A$80,F8,'Checklist'!$I$5:$I$80,1)</f>
        <v/>
      </c>
      <c r="H8" s="10">
        <f>COUNTIFS('Checklist'!$A$5:$A$80,F8,'Checklist'!$I$5:$I$80,1,'Checklist'!$F$5:$F$80,"Hecho")</f>
        <v/>
      </c>
    </row>
    <row r="9">
      <c r="A9" s="5" t="inlineStr">
        <is>
          <t>Atrasadas</t>
        </is>
      </c>
      <c r="B9" s="8">
        <f>COUNTIF('Checklist'!$G$5:$G$80,"Atrasada")</f>
        <v/>
      </c>
      <c r="F9" s="9" t="inlineStr">
        <is>
          <t>2 a 4 semanas antes</t>
        </is>
      </c>
      <c r="G9" s="10">
        <f>COUNTIFS('Checklist'!$A$5:$A$80,F9,'Checklist'!$I$5:$I$80,1)</f>
        <v/>
      </c>
      <c r="H9" s="10">
        <f>COUNTIFS('Checklist'!$A$5:$A$80,F9,'Checklist'!$I$5:$I$80,1,'Checklist'!$F$5:$F$80,"Hecho")</f>
        <v/>
      </c>
    </row>
    <row r="10">
      <c r="A10" s="5" t="inlineStr">
        <is>
          <t>Pronto</t>
        </is>
      </c>
      <c r="B10" s="8">
        <f>COUNTIF('Checklist'!$G$5:$G$80,"Pronto")</f>
        <v/>
      </c>
      <c r="F10" s="9" t="inlineStr">
        <is>
          <t>1 a 2 semanas antes</t>
        </is>
      </c>
      <c r="G10" s="10">
        <f>COUNTIFS('Checklist'!$A$5:$A$80,F10,'Checklist'!$I$5:$I$80,1)</f>
        <v/>
      </c>
      <c r="H10" s="10">
        <f>COUNTIFS('Checklist'!$A$5:$A$80,F10,'Checklist'!$I$5:$I$80,1,'Checklist'!$F$5:$F$80,"Hecho")</f>
        <v/>
      </c>
    </row>
    <row r="11">
      <c r="A11" s="5" t="inlineStr">
        <is>
          <t>Al día</t>
        </is>
      </c>
      <c r="B11" s="8">
        <f>COUNTIF('Checklist'!$G$5:$G$80,"Al día")</f>
        <v/>
      </c>
      <c r="F11" s="9" t="inlineStr">
        <is>
          <t>Últimos días</t>
        </is>
      </c>
      <c r="G11" s="10">
        <f>COUNTIFS('Checklist'!$A$5:$A$80,F11,'Checklist'!$I$5:$I$80,1)</f>
        <v/>
      </c>
      <c r="H11" s="10">
        <f>COUNTIFS('Checklist'!$A$5:$A$80,F11,'Checklist'!$I$5:$I$80,1,'Checklist'!$F$5:$F$80,"Hecho")</f>
        <v/>
      </c>
    </row>
    <row r="12">
      <c r="F12" s="9" t="inlineStr">
        <is>
          <t>Día anterior</t>
        </is>
      </c>
      <c r="G12" s="10">
        <f>COUNTIFS('Checklist'!$A$5:$A$80,F12,'Checklist'!$I$5:$I$80,1)</f>
        <v/>
      </c>
      <c r="H12" s="10">
        <f>COUNTIFS('Checklist'!$A$5:$A$80,F12,'Checklist'!$I$5:$I$80,1,'Checklist'!$F$5:$F$80,"Hecho")</f>
        <v/>
      </c>
    </row>
    <row r="13">
      <c r="A13" s="3" t="inlineStr">
        <is>
          <t>PRÓXIMAS TAREAS</t>
        </is>
      </c>
      <c r="F13" s="9" t="inlineStr">
        <is>
          <t>Día de salida</t>
        </is>
      </c>
      <c r="G13" s="10">
        <f>COUNTIFS('Checklist'!$A$5:$A$80,F13,'Checklist'!$I$5:$I$80,1)</f>
        <v/>
      </c>
      <c r="H13" s="10">
        <f>COUNTIFS('Checklist'!$A$5:$A$80,F13,'Checklist'!$I$5:$I$80,1,'Checklist'!$F$5:$F$80,"Hecho")</f>
        <v/>
      </c>
    </row>
    <row r="14" ht="32" customHeight="1">
      <c r="A14" s="7" t="inlineStr">
        <is>
          <t>Tarea</t>
        </is>
      </c>
      <c r="B14" s="7" t="inlineStr">
        <is>
          <t>Fecha límite</t>
        </is>
      </c>
      <c r="C14" s="7" t="inlineStr">
        <is>
          <t>Estado</t>
        </is>
      </c>
      <c r="F14" s="9" t="inlineStr">
        <is>
          <t>Después del viaje</t>
        </is>
      </c>
      <c r="G14" s="10">
        <f>COUNTIFS('Checklist'!$A$5:$A$80,F14,'Checklist'!$I$5:$I$80,1)</f>
        <v/>
      </c>
      <c r="H14" s="10">
        <f>COUNTIFS('Checklist'!$A$5:$A$80,F14,'Checklist'!$I$5:$I$80,1,'Checklist'!$F$5:$F$80,"Hecho")</f>
        <v/>
      </c>
    </row>
    <row r="15">
      <c r="A15" s="12">
        <f>IF(E15="","",INDEX('Checklist'!$B$5:$B$80,E15))</f>
        <v/>
      </c>
      <c r="B15" s="13">
        <f>IF(E15="","",INDEX('Checklist'!$E$5:$E$80,E15))</f>
        <v/>
      </c>
      <c r="C15" s="14">
        <f>IF(E15="","",INDEX('Checklist'!$G$5:$G$80,E15))</f>
        <v/>
      </c>
      <c r="E15">
        <f>IFERROR(MATCH(SMALL('Checklist'!$J$5:$J$80,1),'Checklist'!$J$5:$J$80,0),"")</f>
        <v/>
      </c>
    </row>
    <row r="16">
      <c r="A16" s="12">
        <f>IF(E16="","",INDEX('Checklist'!$B$5:$B$80,E16))</f>
        <v/>
      </c>
      <c r="B16" s="13">
        <f>IF(E16="","",INDEX('Checklist'!$E$5:$E$80,E16))</f>
        <v/>
      </c>
      <c r="C16" s="14">
        <f>IF(E16="","",INDEX('Checklist'!$G$5:$G$80,E16))</f>
        <v/>
      </c>
      <c r="E16">
        <f>IFERROR(MATCH(SMALL('Checklist'!$J$5:$J$80,2),'Checklist'!$J$5:$J$80,0),"")</f>
        <v/>
      </c>
    </row>
    <row r="17">
      <c r="A17" s="12">
        <f>IF(E17="","",INDEX('Checklist'!$B$5:$B$80,E17))</f>
        <v/>
      </c>
      <c r="B17" s="13">
        <f>IF(E17="","",INDEX('Checklist'!$E$5:$E$80,E17))</f>
        <v/>
      </c>
      <c r="C17" s="14">
        <f>IF(E17="","",INDEX('Checklist'!$G$5:$G$80,E17))</f>
        <v/>
      </c>
      <c r="E17">
        <f>IFERROR(MATCH(SMALL('Checklist'!$J$5:$J$80,3),'Checklist'!$J$5:$J$80,0),"")</f>
        <v/>
      </c>
    </row>
    <row r="18">
      <c r="A18" s="12">
        <f>IF(E18="","",INDEX('Checklist'!$B$5:$B$80,E18))</f>
        <v/>
      </c>
      <c r="B18" s="13">
        <f>IF(E18="","",INDEX('Checklist'!$E$5:$E$80,E18))</f>
        <v/>
      </c>
      <c r="C18" s="14">
        <f>IF(E18="","",INDEX('Checklist'!$G$5:$G$80,E18))</f>
        <v/>
      </c>
      <c r="E18">
        <f>IFERROR(MATCH(SMALL('Checklist'!$J$5:$J$80,4),'Checklist'!$J$5:$J$80,0),"")</f>
        <v/>
      </c>
    </row>
    <row r="19">
      <c r="A19" s="12">
        <f>IF(E19="","",INDEX('Checklist'!$B$5:$B$80,E19))</f>
        <v/>
      </c>
      <c r="B19" s="13">
        <f>IF(E19="","",INDEX('Checklist'!$E$5:$E$80,E19))</f>
        <v/>
      </c>
      <c r="C19" s="14">
        <f>IF(E19="","",INDEX('Checklist'!$G$5:$G$80,E19))</f>
        <v/>
      </c>
      <c r="E19">
        <f>IFERROR(MATCH(SMALL('Checklist'!$J$5:$J$80,5),'Checklist'!$J$5:$J$80,0),"")</f>
        <v/>
      </c>
    </row>
    <row r="20">
      <c r="A20" s="12">
        <f>IF(E20="","",INDEX('Checklist'!$B$5:$B$80,E20))</f>
        <v/>
      </c>
      <c r="B20" s="13">
        <f>IF(E20="","",INDEX('Checklist'!$E$5:$E$80,E20))</f>
        <v/>
      </c>
      <c r="C20" s="14">
        <f>IF(E20="","",INDEX('Checklist'!$G$5:$G$80,E20))</f>
        <v/>
      </c>
      <c r="E20">
        <f>IFERROR(MATCH(SMALL('Checklist'!$J$5:$J$80,6),'Checklist'!$J$5:$J$80,0),"")</f>
        <v/>
      </c>
    </row>
    <row r="21">
      <c r="A21" s="12">
        <f>IF(E21="","",INDEX('Checklist'!$B$5:$B$80,E21))</f>
        <v/>
      </c>
      <c r="B21" s="13">
        <f>IF(E21="","",INDEX('Checklist'!$E$5:$E$80,E21))</f>
        <v/>
      </c>
      <c r="C21" s="14">
        <f>IF(E21="","",INDEX('Checklist'!$G$5:$G$80,E21))</f>
        <v/>
      </c>
      <c r="E21">
        <f>IFERROR(MATCH(SMALL('Checklist'!$J$5:$J$80,7),'Checklist'!$J$5:$J$80,0),"")</f>
        <v/>
      </c>
    </row>
    <row r="22">
      <c r="A22" s="12">
        <f>IF(E22="","",INDEX('Checklist'!$B$5:$B$80,E22))</f>
        <v/>
      </c>
      <c r="B22" s="13">
        <f>IF(E22="","",INDEX('Checklist'!$E$5:$E$80,E22))</f>
        <v/>
      </c>
      <c r="C22" s="14">
        <f>IF(E22="","",INDEX('Checklist'!$G$5:$G$80,E22))</f>
        <v/>
      </c>
      <c r="E22">
        <f>IFERROR(MATCH(SMALL('Checklist'!$J$5:$J$80,8),'Checklist'!$J$5:$J$80,0),"")</f>
        <v/>
      </c>
    </row>
    <row r="23">
      <c r="A23" s="12">
        <f>IF(E23="","",INDEX('Checklist'!$B$5:$B$80,E23))</f>
        <v/>
      </c>
      <c r="B23" s="13">
        <f>IF(E23="","",INDEX('Checklist'!$E$5:$E$80,E23))</f>
        <v/>
      </c>
      <c r="C23" s="14">
        <f>IF(E23="","",INDEX('Checklist'!$G$5:$G$80,E23))</f>
        <v/>
      </c>
      <c r="E23">
        <f>IFERROR(MATCH(SMALL('Checklist'!$J$5:$J$80,9),'Checklist'!$J$5:$J$80,0),"")</f>
        <v/>
      </c>
    </row>
    <row r="24">
      <c r="A24" s="12">
        <f>IF(E24="","",INDEX('Checklist'!$B$5:$B$80,E24))</f>
        <v/>
      </c>
      <c r="B24" s="13">
        <f>IF(E24="","",INDEX('Checklist'!$E$5:$E$80,E24))</f>
        <v/>
      </c>
      <c r="C24" s="14">
        <f>IF(E24="","",INDEX('Checklist'!$G$5:$G$80,E24))</f>
        <v/>
      </c>
      <c r="E24">
        <f>IFERROR(MATCH(SMALL('Checklist'!$J$5:$J$80,10),'Checklist'!$J$5:$J$80,0),"")</f>
        <v/>
      </c>
    </row>
  </sheetData>
  <mergeCells count="1">
    <mergeCell ref="A14"/>
  </mergeCells>
  <conditionalFormatting sqref="B9">
    <cfRule type="expression" priority="1" dxfId="0">
      <formula>$B$9&gt;0</formula>
    </cfRule>
  </conditionalFormatting>
  <conditionalFormatting sqref="C15:C24">
    <cfRule type="expression" priority="2" dxfId="0">
      <formula>$C15="Atrasada"</formula>
    </cfRule>
    <cfRule type="expression" priority="3" dxfId="1">
      <formula>$C15="Pronto"</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36" customWidth="1" min="1" max="1"/>
    <col width="22" customWidth="1" min="2" max="2"/>
    <col width="3" customWidth="1" min="3" max="3"/>
    <col width="24" customWidth="1" min="4" max="4"/>
    <col width="16" customWidth="1" min="5" max="5"/>
  </cols>
  <sheetData>
    <row r="1" ht="28" customHeight="1">
      <c r="A1" s="1" t="inlineStr">
        <is>
          <t>Datos del viaje</t>
        </is>
      </c>
    </row>
    <row r="2">
      <c r="A2" s="2" t="inlineStr">
        <is>
          <t>Completá primero las celdas amarillas.</t>
        </is>
      </c>
    </row>
    <row r="4" ht="32" customHeight="1">
      <c r="A4" s="7" t="inlineStr">
        <is>
          <t>Dato</t>
        </is>
      </c>
      <c r="B4" s="7" t="inlineStr">
        <is>
          <t>Valor</t>
        </is>
      </c>
      <c r="D4" s="7" t="inlineStr">
        <is>
          <t>Aplica cuando</t>
        </is>
      </c>
      <c r="E4" s="7" t="inlineStr">
        <is>
          <t>¿En este viaje?</t>
        </is>
      </c>
    </row>
    <row r="5">
      <c r="A5" s="5" t="inlineStr">
        <is>
          <t>Nombre del viaje</t>
        </is>
      </c>
      <c r="B5" s="15" t="inlineStr">
        <is>
          <t>Lisboa en marzo</t>
        </is>
      </c>
      <c r="D5" s="9" t="inlineStr">
        <is>
          <t>Siempre</t>
        </is>
      </c>
      <c r="E5" s="16">
        <f>1</f>
        <v/>
      </c>
    </row>
    <row r="6">
      <c r="A6" s="5" t="inlineStr">
        <is>
          <t>Tipo de viaje</t>
        </is>
      </c>
      <c r="B6" s="15" t="inlineStr">
        <is>
          <t>Exterior</t>
        </is>
      </c>
      <c r="D6" s="9" t="inlineStr">
        <is>
          <t>Exterior</t>
        </is>
      </c>
      <c r="E6" s="16">
        <f>IF($B$6="Exterior",1,0)</f>
        <v/>
      </c>
    </row>
    <row r="7">
      <c r="A7" s="5" t="inlineStr">
        <is>
          <t>Transporte principal</t>
        </is>
      </c>
      <c r="B7" s="15" t="inlineStr">
        <is>
          <t>Avión</t>
        </is>
      </c>
      <c r="D7" s="9" t="inlineStr">
        <is>
          <t>Dentro del país</t>
        </is>
      </c>
      <c r="E7" s="16">
        <f>IF($B$6="Dentro del país",1,0)</f>
        <v/>
      </c>
    </row>
    <row r="8">
      <c r="A8" s="5" t="inlineStr">
        <is>
          <t>¿Viajan chicos?</t>
        </is>
      </c>
      <c r="B8" s="15" t="inlineStr">
        <is>
          <t>No</t>
        </is>
      </c>
      <c r="D8" s="9" t="inlineStr">
        <is>
          <t>Avión</t>
        </is>
      </c>
      <c r="E8" s="16">
        <f>IF($B$7="Avión",1,0)</f>
        <v/>
      </c>
    </row>
    <row r="9">
      <c r="A9" s="5" t="inlineStr">
        <is>
          <t>¿Viajan mascotas?</t>
        </is>
      </c>
      <c r="B9" s="15" t="inlineStr">
        <is>
          <t>No</t>
        </is>
      </c>
      <c r="D9" s="9" t="inlineStr">
        <is>
          <t>Auto</t>
        </is>
      </c>
      <c r="E9" s="16">
        <f>IF($B$7="Auto",1,0)</f>
        <v/>
      </c>
    </row>
    <row r="10">
      <c r="A10" s="5" t="inlineStr">
        <is>
          <t>Viajeros</t>
        </is>
      </c>
      <c r="B10" s="17" t="n">
        <v>2</v>
      </c>
      <c r="D10" s="9" t="inlineStr">
        <is>
          <t>Tren o micro</t>
        </is>
      </c>
      <c r="E10" s="16">
        <f>IF($B$7="Tren o micro",1,0)</f>
        <v/>
      </c>
    </row>
    <row r="11">
      <c r="A11" s="5" t="inlineStr">
        <is>
          <t>Fecha de salida</t>
        </is>
      </c>
      <c r="B11" s="18" t="n">
        <v>46458</v>
      </c>
      <c r="D11" s="9" t="inlineStr">
        <is>
          <t>Con chicos</t>
        </is>
      </c>
      <c r="E11" s="16">
        <f>IF($B$8="Sí",1,0)</f>
        <v/>
      </c>
    </row>
    <row r="12">
      <c r="A12" s="5" t="inlineStr">
        <is>
          <t>Duración (días)</t>
        </is>
      </c>
      <c r="B12" s="17" t="n">
        <v>10</v>
      </c>
      <c r="D12" s="9" t="inlineStr">
        <is>
          <t>Mascotas</t>
        </is>
      </c>
      <c r="E12" s="16">
        <f>IF($B$9="Sí",1,0)</f>
        <v/>
      </c>
    </row>
    <row r="13">
      <c r="A13" s="5" t="inlineStr">
        <is>
          <t>¿Hace falta visa o permiso?</t>
        </is>
      </c>
      <c r="B13" s="15" t="inlineStr">
        <is>
          <t>No sé</t>
        </is>
      </c>
      <c r="D13" s="9" t="inlineStr">
        <is>
          <t>Con visa</t>
        </is>
      </c>
      <c r="E13" s="16">
        <f>IF(AND($B$6="Exterior",OR($B$13="Sí",$B$13="No sé")),1,0)</f>
        <v/>
      </c>
    </row>
    <row r="14">
      <c r="A14" s="5" t="inlineStr">
        <is>
          <t>Clima en el destino</t>
        </is>
      </c>
      <c r="B14" s="15" t="inlineStr">
        <is>
          <t>Templado</t>
        </is>
      </c>
      <c r="D14" s="9" t="inlineStr">
        <is>
          <t>Clima frío</t>
        </is>
      </c>
      <c r="E14" s="16">
        <f>IF($B$14="Frío",1,0)</f>
        <v/>
      </c>
    </row>
    <row r="15">
      <c r="A15" s="5" t="inlineStr">
        <is>
          <t>Aviso 'Pronto' (días)</t>
        </is>
      </c>
      <c r="B15" s="17" t="n">
        <v>14</v>
      </c>
      <c r="D15" s="9" t="inlineStr">
        <is>
          <t>Clima cálido</t>
        </is>
      </c>
      <c r="E15" s="16">
        <f>IF($B$14="Cálido",1,0)</f>
        <v/>
      </c>
    </row>
    <row r="16">
      <c r="A16" s="5" t="inlineStr">
        <is>
          <t>Simular que hoy es (opcional)</t>
        </is>
      </c>
      <c r="B16" s="18" t="n"/>
      <c r="D16" s="9" t="inlineStr">
        <is>
          <t>Viaje largo (8+ días)</t>
        </is>
      </c>
      <c r="E16" s="16">
        <f>IF($B$12&gt;=8,1,0)</f>
        <v/>
      </c>
    </row>
    <row r="17">
      <c r="A17" s="5" t="inlineStr">
        <is>
          <t>Fecha de regreso</t>
        </is>
      </c>
      <c r="B17" s="19">
        <f>IF(B11="","",B11+B12-1)</f>
        <v/>
      </c>
    </row>
    <row r="18">
      <c r="A18" s="5" t="inlineStr">
        <is>
          <t>Hoy</t>
        </is>
      </c>
      <c r="B18" s="19">
        <f>IF(B16="",TODAY(),B16)</f>
        <v/>
      </c>
      <c r="D18" s="20" t="inlineStr">
        <is>
          <t>1 = sí, 0 = no. Se calcula sola, no la edites.</t>
        </is>
      </c>
    </row>
  </sheetData>
  <dataValidations count="9">
    <dataValidation sqref="B6" showDropDown="0" showInputMessage="0" showErrorMessage="0" allowBlank="0" type="list">
      <formula1>"Exterior,Dentro del país"</formula1>
    </dataValidation>
    <dataValidation sqref="B7" showDropDown="0" showInputMessage="0" showErrorMessage="0" allowBlank="0" type="list">
      <formula1>"Avión,Auto,Tren o micro"</formula1>
    </dataValidation>
    <dataValidation sqref="B8" showDropDown="0" showInputMessage="0" showErrorMessage="0" allowBlank="0" type="list">
      <formula1>"Sí,No"</formula1>
    </dataValidation>
    <dataValidation sqref="B9" showDropDown="0" showInputMessage="0" showErrorMessage="0" allowBlank="0" type="list">
      <formula1>"Sí,No"</formula1>
    </dataValidation>
    <dataValidation sqref="B13" showDropDown="0" showInputMessage="0" showErrorMessage="0" allowBlank="0" type="list">
      <formula1>"Sí,No,No sé"</formula1>
    </dataValidation>
    <dataValidation sqref="B14" showDropDown="0" showInputMessage="0" showErrorMessage="0" allowBlank="0" type="list">
      <formula1>"Cálido,Templado,Frío"</formula1>
    </dataValidation>
    <dataValidation sqref="B10" showDropDown="0" showInputMessage="0" showErrorMessage="0" allowBlank="0" type="whole" operator="greaterThanOrEqual">
      <formula1>1</formula1>
    </dataValidation>
    <dataValidation sqref="B12" showDropDown="0" showInputMessage="0" showErrorMessage="0" allowBlank="0" type="whole" operator="greaterThanOrEqual">
      <formula1>1</formula1>
    </dataValidation>
    <dataValidation sqref="B15" showDropDown="0" showInputMessage="0" showErrorMessage="0" allowBlank="0" type="whole" operator="greaterThanOrEqual">
      <formula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J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70" customWidth="1" min="2" max="2"/>
    <col width="18" customWidth="1" min="3" max="3"/>
    <col width="9" customWidth="1" min="4" max="4"/>
    <col width="12" customWidth="1" min="5" max="5"/>
    <col width="9" customWidth="1" min="6" max="6"/>
    <col width="12" customWidth="1" min="7" max="7"/>
    <col width="30" customWidth="1" min="8" max="8"/>
    <col hidden="1" width="4" customWidth="1" min="9" max="9"/>
    <col hidden="1" width="4" customWidth="1" min="10" max="10"/>
  </cols>
  <sheetData>
    <row r="1" ht="28" customHeight="1">
      <c r="A1" s="1" t="inlineStr">
        <is>
          <t>Checklist</t>
        </is>
      </c>
    </row>
    <row r="2">
      <c r="A2" s="2" t="inlineStr">
        <is>
          <t>Fecha límite = salida menos 'Días antes'. Marcá las tareas terminadas como Hecho.</t>
        </is>
      </c>
    </row>
    <row r="4" ht="32" customHeight="1">
      <c r="A4" s="7" t="inlineStr">
        <is>
          <t>Etapa</t>
        </is>
      </c>
      <c r="B4" s="7" t="inlineStr">
        <is>
          <t>Tarea</t>
        </is>
      </c>
      <c r="C4" s="7" t="inlineStr">
        <is>
          <t>Aplica cuando</t>
        </is>
      </c>
      <c r="D4" s="7" t="inlineStr">
        <is>
          <t>Días antes</t>
        </is>
      </c>
      <c r="E4" s="7" t="inlineStr">
        <is>
          <t>Fecha límite</t>
        </is>
      </c>
      <c r="F4" s="7" t="inlineStr">
        <is>
          <t>¿Hecho?</t>
        </is>
      </c>
      <c r="G4" s="7" t="inlineStr">
        <is>
          <t>Estado</t>
        </is>
      </c>
      <c r="H4" s="7" t="inlineStr">
        <is>
          <t>Notas</t>
        </is>
      </c>
      <c r="I4" s="7" t="inlineStr"/>
      <c r="J4" s="7" t="inlineStr"/>
    </row>
    <row r="5" ht="30" customHeight="1">
      <c r="A5" s="21">
        <f>IF(D5="","",IF(D5&gt;=180,"6 meses o más antes",IF(D5&gt;=90,"3 a 6 meses antes",IF(D5&gt;=30,"1 a 3 meses antes",IF(D5&gt;=14,"2 a 4 semanas antes",IF(D5&gt;=7,"1 a 2 semanas antes",IF(D5&gt;=2,"Últimos días",IF(D5&gt;=1,"Día anterior",IF(D5&gt;=0,"Día de salida","Después del viaje")))))))))</f>
        <v/>
      </c>
      <c r="B5" s="22" t="inlineStr">
        <is>
          <t>Revisá el vencimiento del pasaporte de cada viajero. Si está cerca de las fechas del viaje, empezá la renovación ya</t>
        </is>
      </c>
      <c r="C5" s="23" t="inlineStr">
        <is>
          <t>Exterior</t>
        </is>
      </c>
      <c r="D5" s="15" t="n">
        <v>240</v>
      </c>
      <c r="E5" s="13">
        <f>IF(OR(B5="",D5="",'Datos del viaje'!$B$11=""),"",'Datos del viaje'!$B$11-D5)</f>
        <v/>
      </c>
      <c r="F5" s="15" t="n"/>
      <c r="G5" s="24">
        <f>IF(I5=0,"",IF(F5="Hecho","Hecho",IF(E5="","",IF(E5&lt;'Datos del viaje'!$B$18,"Atrasada",IF(E5-'Datos del viaje'!$B$18&lt;='Datos del viaje'!$B$15,"Pronto","Al día")))))</f>
        <v/>
      </c>
      <c r="H5" s="23" t="n"/>
      <c r="I5">
        <f>IF(B5="",0,IFERROR(INDEX('Datos del viaje'!$E$5:$E$16,MATCH(C5,'Datos del viaje'!$D$5:$D$16,0)),0))</f>
        <v/>
      </c>
      <c r="J5">
        <f>IF(OR(I5=0,F5="Hecho",E5=""),"",E5+ROW()/100000)</f>
        <v/>
      </c>
    </row>
    <row r="6" ht="30" customHeight="1">
      <c r="A6" s="21">
        <f>IF(D6="","",IF(D6&gt;=180,"6 meses o más antes",IF(D6&gt;=90,"3 a 6 meses antes",IF(D6&gt;=30,"1 a 3 meses antes",IF(D6&gt;=14,"2 a 4 semanas antes",IF(D6&gt;=7,"1 a 2 semanas antes",IF(D6&gt;=2,"Últimos días",IF(D6&gt;=1,"Día anterior",IF(D6&gt;=0,"Día de salida","Después del viaje")))))))))</f>
        <v/>
      </c>
      <c r="B6" s="22" t="inlineStr">
        <is>
          <t>Averiguá los requisitos de ingreso al destino en fuentes oficiales (vigencia del pasaporte, visa, sanidad)</t>
        </is>
      </c>
      <c r="C6" s="23" t="inlineStr">
        <is>
          <t>Exterior</t>
        </is>
      </c>
      <c r="D6" s="15" t="n">
        <v>200</v>
      </c>
      <c r="E6" s="13">
        <f>IF(OR(B6="",D6="",'Datos del viaje'!$B$11=""),"",'Datos del viaje'!$B$11-D6)</f>
        <v/>
      </c>
      <c r="F6" s="15" t="n"/>
      <c r="G6" s="24">
        <f>IF(I6=0,"",IF(F6="Hecho","Hecho",IF(E6="","",IF(E6&lt;'Datos del viaje'!$B$18,"Atrasada",IF(E6-'Datos del viaje'!$B$18&lt;='Datos del viaje'!$B$15,"Pronto","Al día")))))</f>
        <v/>
      </c>
      <c r="H6" s="23" t="n"/>
      <c r="I6">
        <f>IF(B6="",0,IFERROR(INDEX('Datos del viaje'!$E$5:$E$16,MATCH(C6,'Datos del viaje'!$D$5:$D$16,0)),0))</f>
        <v/>
      </c>
      <c r="J6">
        <f>IF(OR(I6=0,F6="Hecho",E6=""),"",E6+ROW()/100000)</f>
        <v/>
      </c>
    </row>
    <row r="7" ht="30" customHeight="1">
      <c r="A7" s="21">
        <f>IF(D7="","",IF(D7&gt;=180,"6 meses o más antes",IF(D7&gt;=90,"3 a 6 meses antes",IF(D7&gt;=30,"1 a 3 meses antes",IF(D7&gt;=14,"2 a 4 semanas antes",IF(D7&gt;=7,"1 a 2 semanas antes",IF(D7&gt;=2,"Últimos días",IF(D7&gt;=1,"Día anterior",IF(D7&gt;=0,"Día de salida","Después del viaje")))))))))</f>
        <v/>
      </c>
      <c r="B7" s="22" t="inlineStr">
        <is>
          <t>Revisá que el documento o pasaporte de cada chico esté vigente y leé las reglas oficiales para menores que viajan</t>
        </is>
      </c>
      <c r="C7" s="23" t="inlineStr">
        <is>
          <t>Con chicos</t>
        </is>
      </c>
      <c r="D7" s="15" t="n">
        <v>200</v>
      </c>
      <c r="E7" s="13">
        <f>IF(OR(B7="",D7="",'Datos del viaje'!$B$11=""),"",'Datos del viaje'!$B$11-D7)</f>
        <v/>
      </c>
      <c r="F7" s="15" t="n"/>
      <c r="G7" s="24">
        <f>IF(I7=0,"",IF(F7="Hecho","Hecho",IF(E7="","",IF(E7&lt;'Datos del viaje'!$B$18,"Atrasada",IF(E7-'Datos del viaje'!$B$18&lt;='Datos del viaje'!$B$15,"Pronto","Al día")))))</f>
        <v/>
      </c>
      <c r="H7" s="23" t="n"/>
      <c r="I7">
        <f>IF(B7="",0,IFERROR(INDEX('Datos del viaje'!$E$5:$E$16,MATCH(C7,'Datos del viaje'!$D$5:$D$16,0)),0))</f>
        <v/>
      </c>
      <c r="J7">
        <f>IF(OR(I7=0,F7="Hecho",E7=""),"",E7+ROW()/100000)</f>
        <v/>
      </c>
    </row>
    <row r="8">
      <c r="A8" s="21">
        <f>IF(D8="","",IF(D8&gt;=180,"6 meses o más antes",IF(D8&gt;=90,"3 a 6 meses antes",IF(D8&gt;=30,"1 a 3 meses antes",IF(D8&gt;=14,"2 a 4 semanas antes",IF(D8&gt;=7,"1 a 2 semanas antes",IF(D8&gt;=2,"Últimos días",IF(D8&gt;=1,"Día anterior",IF(D8&gt;=0,"Día de salida","Después del viaje")))))))))</f>
        <v/>
      </c>
      <c r="B8" s="22" t="inlineStr">
        <is>
          <t>Elegí destino y fechas aproximadas y acordalas con quienes viajan con vos</t>
        </is>
      </c>
      <c r="C8" s="23" t="inlineStr">
        <is>
          <t>Siempre</t>
        </is>
      </c>
      <c r="D8" s="15" t="n">
        <v>180</v>
      </c>
      <c r="E8" s="13">
        <f>IF(OR(B8="",D8="",'Datos del viaje'!$B$11=""),"",'Datos del viaje'!$B$11-D8)</f>
        <v/>
      </c>
      <c r="F8" s="15" t="n"/>
      <c r="G8" s="24">
        <f>IF(I8=0,"",IF(F8="Hecho","Hecho",IF(E8="","",IF(E8&lt;'Datos del viaje'!$B$18,"Atrasada",IF(E8-'Datos del viaje'!$B$18&lt;='Datos del viaje'!$B$15,"Pronto","Al día")))))</f>
        <v/>
      </c>
      <c r="H8" s="23" t="n"/>
      <c r="I8">
        <f>IF(B8="",0,IFERROR(INDEX('Datos del viaje'!$E$5:$E$16,MATCH(C8,'Datos del viaje'!$D$5:$D$16,0)),0))</f>
        <v/>
      </c>
      <c r="J8">
        <f>IF(OR(I8=0,F8="Hecho",E8=""),"",E8+ROW()/100000)</f>
        <v/>
      </c>
    </row>
    <row r="9">
      <c r="A9" s="21">
        <f>IF(D9="","",IF(D9&gt;=180,"6 meses o más antes",IF(D9&gt;=90,"3 a 6 meses antes",IF(D9&gt;=30,"1 a 3 meses antes",IF(D9&gt;=14,"2 a 4 semanas antes",IF(D9&gt;=7,"1 a 2 semanas antes",IF(D9&gt;=2,"Últimos días",IF(D9&gt;=1,"Día anterior",IF(D9&gt;=0,"Día de salida","Después del viaje")))))))))</f>
        <v/>
      </c>
      <c r="B9" s="22" t="inlineStr">
        <is>
          <t>Pedí los días en el trabajo o el colegio</t>
        </is>
      </c>
      <c r="C9" s="23" t="inlineStr">
        <is>
          <t>Siempre</t>
        </is>
      </c>
      <c r="D9" s="15" t="n">
        <v>150</v>
      </c>
      <c r="E9" s="13">
        <f>IF(OR(B9="",D9="",'Datos del viaje'!$B$11=""),"",'Datos del viaje'!$B$11-D9)</f>
        <v/>
      </c>
      <c r="F9" s="15" t="n"/>
      <c r="G9" s="24">
        <f>IF(I9=0,"",IF(F9="Hecho","Hecho",IF(E9="","",IF(E9&lt;'Datos del viaje'!$B$18,"Atrasada",IF(E9-'Datos del viaje'!$B$18&lt;='Datos del viaje'!$B$15,"Pronto","Al día")))))</f>
        <v/>
      </c>
      <c r="H9" s="23" t="n"/>
      <c r="I9">
        <f>IF(B9="",0,IFERROR(INDEX('Datos del viaje'!$E$5:$E$16,MATCH(C9,'Datos del viaje'!$D$5:$D$16,0)),0))</f>
        <v/>
      </c>
      <c r="J9">
        <f>IF(OR(I9=0,F9="Hecho",E9=""),"",E9+ROW()/100000)</f>
        <v/>
      </c>
    </row>
    <row r="10" ht="30" customHeight="1">
      <c r="A10" s="21">
        <f>IF(D10="","",IF(D10&gt;=180,"6 meses o más antes",IF(D10&gt;=90,"3 a 6 meses antes",IF(D10&gt;=30,"1 a 3 meses antes",IF(D10&gt;=14,"2 a 4 semanas antes",IF(D10&gt;=7,"1 a 2 semanas antes",IF(D10&gt;=2,"Últimos días",IF(D10&gt;=1,"Día anterior",IF(D10&gt;=0,"Día de salida","Después del viaje")))))))))</f>
        <v/>
      </c>
      <c r="B10" s="22" t="inlineStr">
        <is>
          <t>Definí el presupuesto total del viaje (usá el Planificador de Presupuesto si lo tenés)</t>
        </is>
      </c>
      <c r="C10" s="23" t="inlineStr">
        <is>
          <t>Siempre</t>
        </is>
      </c>
      <c r="D10" s="15" t="n">
        <v>150</v>
      </c>
      <c r="E10" s="13">
        <f>IF(OR(B10="",D10="",'Datos del viaje'!$B$11=""),"",'Datos del viaje'!$B$11-D10)</f>
        <v/>
      </c>
      <c r="F10" s="15" t="n"/>
      <c r="G10" s="24">
        <f>IF(I10=0,"",IF(F10="Hecho","Hecho",IF(E10="","",IF(E10&lt;'Datos del viaje'!$B$18,"Atrasada",IF(E10-'Datos del viaje'!$B$18&lt;='Datos del viaje'!$B$15,"Pronto","Al día")))))</f>
        <v/>
      </c>
      <c r="H10" s="23" t="n"/>
      <c r="I10">
        <f>IF(B10="",0,IFERROR(INDEX('Datos del viaje'!$E$5:$E$16,MATCH(C10,'Datos del viaje'!$D$5:$D$16,0)),0))</f>
        <v/>
      </c>
      <c r="J10">
        <f>IF(OR(I10=0,F10="Hecho",E10=""),"",E10+ROW()/100000)</f>
        <v/>
      </c>
    </row>
    <row r="11">
      <c r="A11" s="21">
        <f>IF(D11="","",IF(D11&gt;=180,"6 meses o más antes",IF(D11&gt;=90,"3 a 6 meses antes",IF(D11&gt;=30,"1 a 3 meses antes",IF(D11&gt;=14,"2 a 4 semanas antes",IF(D11&gt;=7,"1 a 2 semanas antes",IF(D11&gt;=2,"Últimos días",IF(D11&gt;=1,"Día anterior",IF(D11&gt;=0,"Día de salida","Después del viaje")))))))))</f>
        <v/>
      </c>
      <c r="B11" s="22" t="inlineStr">
        <is>
          <t>Iniciá el trámite de visa o permiso de ingreso por el canal oficial</t>
        </is>
      </c>
      <c r="C11" s="23" t="inlineStr">
        <is>
          <t>Con visa</t>
        </is>
      </c>
      <c r="D11" s="15" t="n">
        <v>120</v>
      </c>
      <c r="E11" s="13">
        <f>IF(OR(B11="",D11="",'Datos del viaje'!$B$11=""),"",'Datos del viaje'!$B$11-D11)</f>
        <v/>
      </c>
      <c r="F11" s="15" t="n"/>
      <c r="G11" s="24">
        <f>IF(I11=0,"",IF(F11="Hecho","Hecho",IF(E11="","",IF(E11&lt;'Datos del viaje'!$B$18,"Atrasada",IF(E11-'Datos del viaje'!$B$18&lt;='Datos del viaje'!$B$15,"Pronto","Al día")))))</f>
        <v/>
      </c>
      <c r="H11" s="23" t="n"/>
      <c r="I11">
        <f>IF(B11="",0,IFERROR(INDEX('Datos del viaje'!$E$5:$E$16,MATCH(C11,'Datos del viaje'!$D$5:$D$16,0)),0))</f>
        <v/>
      </c>
      <c r="J11">
        <f>IF(OR(I11=0,F11="Hecho",E11=""),"",E11+ROW()/100000)</f>
        <v/>
      </c>
    </row>
    <row r="12" ht="30" customHeight="1">
      <c r="A12" s="21">
        <f>IF(D12="","",IF(D12&gt;=180,"6 meses o más antes",IF(D12&gt;=90,"3 a 6 meses antes",IF(D12&gt;=30,"1 a 3 meses antes",IF(D12&gt;=14,"2 a 4 semanas antes",IF(D12&gt;=7,"1 a 2 semanas antes",IF(D12&gt;=2,"Últimos días",IF(D12&gt;=1,"Día anterior",IF(D12&gt;=0,"Día de salida","Después del viaje")))))))))</f>
        <v/>
      </c>
      <c r="B12" s="22" t="inlineStr">
        <is>
          <t>Averiguá en fuentes oficiales qué documentos necesita un menor (autorización, adulto acompañante)</t>
        </is>
      </c>
      <c r="C12" s="23" t="inlineStr">
        <is>
          <t>Con chicos</t>
        </is>
      </c>
      <c r="D12" s="15" t="n">
        <v>120</v>
      </c>
      <c r="E12" s="13">
        <f>IF(OR(B12="",D12="",'Datos del viaje'!$B$11=""),"",'Datos del viaje'!$B$11-D12)</f>
        <v/>
      </c>
      <c r="F12" s="15" t="n"/>
      <c r="G12" s="24">
        <f>IF(I12=0,"",IF(F12="Hecho","Hecho",IF(E12="","",IF(E12&lt;'Datos del viaje'!$B$18,"Atrasada",IF(E12-'Datos del viaje'!$B$18&lt;='Datos del viaje'!$B$15,"Pronto","Al día")))))</f>
        <v/>
      </c>
      <c r="H12" s="23" t="n"/>
      <c r="I12">
        <f>IF(B12="",0,IFERROR(INDEX('Datos del viaje'!$E$5:$E$16,MATCH(C12,'Datos del viaje'!$D$5:$D$16,0)),0))</f>
        <v/>
      </c>
      <c r="J12">
        <f>IF(OR(I12=0,F12="Hecho",E12=""),"",E12+ROW()/100000)</f>
        <v/>
      </c>
    </row>
    <row r="13" ht="30" customHeight="1">
      <c r="A13" s="21">
        <f>IF(D13="","",IF(D13&gt;=180,"6 meses o más antes",IF(D13&gt;=90,"3 a 6 meses antes",IF(D13&gt;=30,"1 a 3 meses antes",IF(D13&gt;=14,"2 a 4 semanas antes",IF(D13&gt;=7,"1 a 2 semanas antes",IF(D13&gt;=2,"Últimos días",IF(D13&gt;=1,"Día anterior",IF(D13&gt;=0,"Día de salida","Después del viaje")))))))))</f>
        <v/>
      </c>
      <c r="B13" s="22" t="inlineStr">
        <is>
          <t>Averiguá las reglas para viajar con mascotas en la autoridad sanitaria animal oficial y en la empresa de transporte (en Argentina, SENASA)</t>
        </is>
      </c>
      <c r="C13" s="23" t="inlineStr">
        <is>
          <t>Mascotas</t>
        </is>
      </c>
      <c r="D13" s="15" t="n">
        <v>120</v>
      </c>
      <c r="E13" s="13">
        <f>IF(OR(B13="",D13="",'Datos del viaje'!$B$11=""),"",'Datos del viaje'!$B$11-D13)</f>
        <v/>
      </c>
      <c r="F13" s="15" t="n"/>
      <c r="G13" s="24">
        <f>IF(I13=0,"",IF(F13="Hecho","Hecho",IF(E13="","",IF(E13&lt;'Datos del viaje'!$B$18,"Atrasada",IF(E13-'Datos del viaje'!$B$18&lt;='Datos del viaje'!$B$15,"Pronto","Al día")))))</f>
        <v/>
      </c>
      <c r="H13" s="23" t="n"/>
      <c r="I13">
        <f>IF(B13="",0,IFERROR(INDEX('Datos del viaje'!$E$5:$E$16,MATCH(C13,'Datos del viaje'!$D$5:$D$16,0)),0))</f>
        <v/>
      </c>
      <c r="J13">
        <f>IF(OR(I13=0,F13="Hecho",E13=""),"",E13+ROW()/100000)</f>
        <v/>
      </c>
    </row>
    <row r="14">
      <c r="A14" s="21">
        <f>IF(D14="","",IF(D14&gt;=180,"6 meses o más antes",IF(D14&gt;=90,"3 a 6 meses antes",IF(D14&gt;=30,"1 a 3 meses antes",IF(D14&gt;=14,"2 a 4 semanas antes",IF(D14&gt;=7,"1 a 2 semanas antes",IF(D14&gt;=2,"Últimos días",IF(D14&gt;=1,"Día anterior",IF(D14&gt;=0,"Día de salida","Después del viaje")))))))))</f>
        <v/>
      </c>
      <c r="B14" s="22" t="inlineStr">
        <is>
          <t>Reservá los vuelos: compará precios y leé las reglas de equipaje</t>
        </is>
      </c>
      <c r="C14" s="23" t="inlineStr">
        <is>
          <t>Avión</t>
        </is>
      </c>
      <c r="D14" s="15" t="n">
        <v>90</v>
      </c>
      <c r="E14" s="13">
        <f>IF(OR(B14="",D14="",'Datos del viaje'!$B$11=""),"",'Datos del viaje'!$B$11-D14)</f>
        <v/>
      </c>
      <c r="F14" s="15" t="n"/>
      <c r="G14" s="24">
        <f>IF(I14=0,"",IF(F14="Hecho","Hecho",IF(E14="","",IF(E14&lt;'Datos del viaje'!$B$18,"Atrasada",IF(E14-'Datos del viaje'!$B$18&lt;='Datos del viaje'!$B$15,"Pronto","Al día")))))</f>
        <v/>
      </c>
      <c r="H14" s="23" t="n"/>
      <c r="I14">
        <f>IF(B14="",0,IFERROR(INDEX('Datos del viaje'!$E$5:$E$16,MATCH(C14,'Datos del viaje'!$D$5:$D$16,0)),0))</f>
        <v/>
      </c>
      <c r="J14">
        <f>IF(OR(I14=0,F14="Hecho",E14=""),"",E14+ROW()/100000)</f>
        <v/>
      </c>
    </row>
    <row r="15">
      <c r="A15" s="21">
        <f>IF(D15="","",IF(D15&gt;=180,"6 meses o más antes",IF(D15&gt;=90,"3 a 6 meses antes",IF(D15&gt;=30,"1 a 3 meses antes",IF(D15&gt;=14,"2 a 4 semanas antes",IF(D15&gt;=7,"1 a 2 semanas antes",IF(D15&gt;=2,"Últimos días",IF(D15&gt;=1,"Día anterior",IF(D15&gt;=0,"Día de salida","Después del viaje")))))))))</f>
        <v/>
      </c>
      <c r="B15" s="22" t="inlineStr">
        <is>
          <t>Reservá el alojamiento (revisá la política de cancelación)</t>
        </is>
      </c>
      <c r="C15" s="23" t="inlineStr">
        <is>
          <t>Siempre</t>
        </is>
      </c>
      <c r="D15" s="15" t="n">
        <v>75</v>
      </c>
      <c r="E15" s="13">
        <f>IF(OR(B15="",D15="",'Datos del viaje'!$B$11=""),"",'Datos del viaje'!$B$11-D15)</f>
        <v/>
      </c>
      <c r="F15" s="15" t="n"/>
      <c r="G15" s="24">
        <f>IF(I15=0,"",IF(F15="Hecho","Hecho",IF(E15="","",IF(E15&lt;'Datos del viaje'!$B$18,"Atrasada",IF(E15-'Datos del viaje'!$B$18&lt;='Datos del viaje'!$B$15,"Pronto","Al día")))))</f>
        <v/>
      </c>
      <c r="H15" s="23" t="n"/>
      <c r="I15">
        <f>IF(B15="",0,IFERROR(INDEX('Datos del viaje'!$E$5:$E$16,MATCH(C15,'Datos del viaje'!$D$5:$D$16,0)),0))</f>
        <v/>
      </c>
      <c r="J15">
        <f>IF(OR(I15=0,F15="Hecho",E15=""),"",E15+ROW()/100000)</f>
        <v/>
      </c>
    </row>
    <row r="16">
      <c r="A16" s="21">
        <f>IF(D16="","",IF(D16&gt;=180,"6 meses o más antes",IF(D16&gt;=90,"3 a 6 meses antes",IF(D16&gt;=30,"1 a 3 meses antes",IF(D16&gt;=14,"2 a 4 semanas antes",IF(D16&gt;=7,"1 a 2 semanas antes",IF(D16&gt;=2,"Últimos días",IF(D16&gt;=1,"Día anterior",IF(D16&gt;=0,"Día de salida","Después del viaje")))))))))</f>
        <v/>
      </c>
      <c r="B16" s="22" t="inlineStr">
        <is>
          <t>Reservá alojamiento que acepte mascotas y confirmalo por escrito</t>
        </is>
      </c>
      <c r="C16" s="23" t="inlineStr">
        <is>
          <t>Mascotas</t>
        </is>
      </c>
      <c r="D16" s="15" t="n">
        <v>75</v>
      </c>
      <c r="E16" s="13">
        <f>IF(OR(B16="",D16="",'Datos del viaje'!$B$11=""),"",'Datos del viaje'!$B$11-D16)</f>
        <v/>
      </c>
      <c r="F16" s="15" t="n"/>
      <c r="G16" s="24">
        <f>IF(I16=0,"",IF(F16="Hecho","Hecho",IF(E16="","",IF(E16&lt;'Datos del viaje'!$B$18,"Atrasada",IF(E16-'Datos del viaje'!$B$18&lt;='Datos del viaje'!$B$15,"Pronto","Al día")))))</f>
        <v/>
      </c>
      <c r="H16" s="23" t="n"/>
      <c r="I16">
        <f>IF(B16="",0,IFERROR(INDEX('Datos del viaje'!$E$5:$E$16,MATCH(C16,'Datos del viaje'!$D$5:$D$16,0)),0))</f>
        <v/>
      </c>
      <c r="J16">
        <f>IF(OR(I16=0,F16="Hecho",E16=""),"",E16+ROW()/100000)</f>
        <v/>
      </c>
    </row>
    <row r="17" ht="30" customHeight="1">
      <c r="A17" s="21">
        <f>IF(D17="","",IF(D17&gt;=180,"6 meses o más antes",IF(D17&gt;=90,"3 a 6 meses antes",IF(D17&gt;=30,"1 a 3 meses antes",IF(D17&gt;=14,"2 a 4 semanas antes",IF(D17&gt;=7,"1 a 2 semanas antes",IF(D17&gt;=2,"Últimos días",IF(D17&gt;=1,"Día anterior",IF(D17&gt;=0,"Día de salida","Después del viaje")))))))))</f>
        <v/>
      </c>
      <c r="B17" s="22" t="inlineStr">
        <is>
          <t>Consultá con tu médico o un centro de vacunación sobre las recomendaciones de salud del destino</t>
        </is>
      </c>
      <c r="C17" s="23" t="inlineStr">
        <is>
          <t>Exterior</t>
        </is>
      </c>
      <c r="D17" s="15" t="n">
        <v>60</v>
      </c>
      <c r="E17" s="13">
        <f>IF(OR(B17="",D17="",'Datos del viaje'!$B$11=""),"",'Datos del viaje'!$B$11-D17)</f>
        <v/>
      </c>
      <c r="F17" s="15" t="n"/>
      <c r="G17" s="24">
        <f>IF(I17=0,"",IF(F17="Hecho","Hecho",IF(E17="","",IF(E17&lt;'Datos del viaje'!$B$18,"Atrasada",IF(E17-'Datos del viaje'!$B$18&lt;='Datos del viaje'!$B$15,"Pronto","Al día")))))</f>
        <v/>
      </c>
      <c r="H17" s="23" t="n"/>
      <c r="I17">
        <f>IF(B17="",0,IFERROR(INDEX('Datos del viaje'!$E$5:$E$16,MATCH(C17,'Datos del viaje'!$D$5:$D$16,0)),0))</f>
        <v/>
      </c>
      <c r="J17">
        <f>IF(OR(I17=0,F17="Hecho",E17=""),"",E17+ROW()/100000)</f>
        <v/>
      </c>
    </row>
    <row r="18" ht="30" customHeight="1">
      <c r="A18" s="21">
        <f>IF(D18="","",IF(D18&gt;=180,"6 meses o más antes",IF(D18&gt;=90,"3 a 6 meses antes",IF(D18&gt;=30,"1 a 3 meses antes",IF(D18&gt;=14,"2 a 4 semanas antes",IF(D18&gt;=7,"1 a 2 semanas antes",IF(D18&gt;=2,"Últimos días",IF(D18&gt;=1,"Día anterior",IF(D18&gt;=0,"Día de salida","Después del viaje")))))))))</f>
        <v/>
      </c>
      <c r="B18" s="22" t="inlineStr">
        <is>
          <t>Revisá que tu licencia de conducir esté vigente; si manejás en el exterior, averiguá en fuentes oficiales si necesitás un permiso adicional</t>
        </is>
      </c>
      <c r="C18" s="23" t="inlineStr">
        <is>
          <t>Auto</t>
        </is>
      </c>
      <c r="D18" s="15" t="n">
        <v>60</v>
      </c>
      <c r="E18" s="13">
        <f>IF(OR(B18="",D18="",'Datos del viaje'!$B$11=""),"",'Datos del viaje'!$B$11-D18)</f>
        <v/>
      </c>
      <c r="F18" s="15" t="n"/>
      <c r="G18" s="24">
        <f>IF(I18=0,"",IF(F18="Hecho","Hecho",IF(E18="","",IF(E18&lt;'Datos del viaje'!$B$18,"Atrasada",IF(E18-'Datos del viaje'!$B$18&lt;='Datos del viaje'!$B$15,"Pronto","Al día")))))</f>
        <v/>
      </c>
      <c r="H18" s="23" t="n"/>
      <c r="I18">
        <f>IF(B18="",0,IFERROR(INDEX('Datos del viaje'!$E$5:$E$16,MATCH(C18,'Datos del viaje'!$D$5:$D$16,0)),0))</f>
        <v/>
      </c>
      <c r="J18">
        <f>IF(OR(I18=0,F18="Hecho",E18=""),"",E18+ROW()/100000)</f>
        <v/>
      </c>
    </row>
    <row r="19" ht="30" customHeight="1">
      <c r="A19" s="21">
        <f>IF(D19="","",IF(D19&gt;=180,"6 meses o más antes",IF(D19&gt;=90,"3 a 6 meses antes",IF(D19&gt;=30,"1 a 3 meses antes",IF(D19&gt;=14,"2 a 4 semanas antes",IF(D19&gt;=7,"1 a 2 semanas antes",IF(D19&gt;=2,"Últimos días",IF(D19&gt;=1,"Día anterior",IF(D19&gt;=0,"Día de salida","Después del viaje")))))))))</f>
        <v/>
      </c>
      <c r="B19" s="22" t="inlineStr">
        <is>
          <t>Compará y contratá un seguro de viaje (cobertura médica, cancelación, equipaje)</t>
        </is>
      </c>
      <c r="C19" s="23" t="inlineStr">
        <is>
          <t>Exterior</t>
        </is>
      </c>
      <c r="D19" s="15" t="n">
        <v>45</v>
      </c>
      <c r="E19" s="13">
        <f>IF(OR(B19="",D19="",'Datos del viaje'!$B$11=""),"",'Datos del viaje'!$B$11-D19)</f>
        <v/>
      </c>
      <c r="F19" s="15" t="n"/>
      <c r="G19" s="24">
        <f>IF(I19=0,"",IF(F19="Hecho","Hecho",IF(E19="","",IF(E19&lt;'Datos del viaje'!$B$18,"Atrasada",IF(E19-'Datos del viaje'!$B$18&lt;='Datos del viaje'!$B$15,"Pronto","Al día")))))</f>
        <v/>
      </c>
      <c r="H19" s="23" t="n"/>
      <c r="I19">
        <f>IF(B19="",0,IFERROR(INDEX('Datos del viaje'!$E$5:$E$16,MATCH(C19,'Datos del viaje'!$D$5:$D$16,0)),0))</f>
        <v/>
      </c>
      <c r="J19">
        <f>IF(OR(I19=0,F19="Hecho",E19=""),"",E19+ROW()/100000)</f>
        <v/>
      </c>
    </row>
    <row r="20">
      <c r="A20" s="21">
        <f>IF(D20="","",IF(D20&gt;=180,"6 meses o más antes",IF(D20&gt;=90,"3 a 6 meses antes",IF(D20&gt;=30,"1 a 3 meses antes",IF(D20&gt;=14,"2 a 4 semanas antes",IF(D20&gt;=7,"1 a 2 semanas antes",IF(D20&gt;=2,"Últimos días",IF(D20&gt;=1,"Día anterior",IF(D20&gt;=0,"Día de salida","Después del viaje")))))))))</f>
        <v/>
      </c>
      <c r="B20" s="22" t="inlineStr">
        <is>
          <t>Reservá las actividades, excursiones o entradas que se agotan</t>
        </is>
      </c>
      <c r="C20" s="23" t="inlineStr">
        <is>
          <t>Siempre</t>
        </is>
      </c>
      <c r="D20" s="15" t="n">
        <v>45</v>
      </c>
      <c r="E20" s="13">
        <f>IF(OR(B20="",D20="",'Datos del viaje'!$B$11=""),"",'Datos del viaje'!$B$11-D20)</f>
        <v/>
      </c>
      <c r="F20" s="15" t="n"/>
      <c r="G20" s="24">
        <f>IF(I20=0,"",IF(F20="Hecho","Hecho",IF(E20="","",IF(E20&lt;'Datos del viaje'!$B$18,"Atrasada",IF(E20-'Datos del viaje'!$B$18&lt;='Datos del viaje'!$B$15,"Pronto","Al día")))))</f>
        <v/>
      </c>
      <c r="H20" s="23" t="n"/>
      <c r="I20">
        <f>IF(B20="",0,IFERROR(INDEX('Datos del viaje'!$E$5:$E$16,MATCH(C20,'Datos del viaje'!$D$5:$D$16,0)),0))</f>
        <v/>
      </c>
      <c r="J20">
        <f>IF(OR(I20=0,F20="Hecho",E20=""),"",E20+ROW()/100000)</f>
        <v/>
      </c>
    </row>
    <row r="21" ht="30" customHeight="1">
      <c r="A21" s="21">
        <f>IF(D21="","",IF(D21&gt;=180,"6 meses o más antes",IF(D21&gt;=90,"3 a 6 meses antes",IF(D21&gt;=30,"1 a 3 meses antes",IF(D21&gt;=14,"2 a 4 semanas antes",IF(D21&gt;=7,"1 a 2 semanas antes",IF(D21&gt;=2,"Últimos días",IF(D21&gt;=1,"Día anterior",IF(D21&gt;=0,"Día de salida","Después del viaje")))))))))</f>
        <v/>
      </c>
      <c r="B21" s="22" t="inlineStr">
        <is>
          <t>Planificá la ruta, las paradas y los peajes; reservá un auto de alquiler si lo necesitás</t>
        </is>
      </c>
      <c r="C21" s="23" t="inlineStr">
        <is>
          <t>Auto</t>
        </is>
      </c>
      <c r="D21" s="15" t="n">
        <v>45</v>
      </c>
      <c r="E21" s="13">
        <f>IF(OR(B21="",D21="",'Datos del viaje'!$B$11=""),"",'Datos del viaje'!$B$11-D21)</f>
        <v/>
      </c>
      <c r="F21" s="15" t="n"/>
      <c r="G21" s="24">
        <f>IF(I21=0,"",IF(F21="Hecho","Hecho",IF(E21="","",IF(E21&lt;'Datos del viaje'!$B$18,"Atrasada",IF(E21-'Datos del viaje'!$B$18&lt;='Datos del viaje'!$B$15,"Pronto","Al día")))))</f>
        <v/>
      </c>
      <c r="H21" s="23" t="n"/>
      <c r="I21">
        <f>IF(B21="",0,IFERROR(INDEX('Datos del viaje'!$E$5:$E$16,MATCH(C21,'Datos del viaje'!$D$5:$D$16,0)),0))</f>
        <v/>
      </c>
      <c r="J21">
        <f>IF(OR(I21=0,F21="Hecho",E21=""),"",E21+ROW()/100000)</f>
        <v/>
      </c>
    </row>
    <row r="22" ht="30" customHeight="1">
      <c r="A22" s="21">
        <f>IF(D22="","",IF(D22&gt;=180,"6 meses o más antes",IF(D22&gt;=90,"3 a 6 meses antes",IF(D22&gt;=30,"1 a 3 meses antes",IF(D22&gt;=14,"2 a 4 semanas antes",IF(D22&gt;=7,"1 a 2 semanas antes",IF(D22&gt;=2,"Últimos días",IF(D22&gt;=1,"Día anterior",IF(D22&gt;=0,"Día de salida","Después del viaje")))))))))</f>
        <v/>
      </c>
      <c r="B22" s="22" t="inlineStr">
        <is>
          <t>Visita al veterinario: vacunas, certificado de salud y los papeles que pida el destino</t>
        </is>
      </c>
      <c r="C22" s="23" t="inlineStr">
        <is>
          <t>Mascotas</t>
        </is>
      </c>
      <c r="D22" s="15" t="n">
        <v>45</v>
      </c>
      <c r="E22" s="13">
        <f>IF(OR(B22="",D22="",'Datos del viaje'!$B$11=""),"",'Datos del viaje'!$B$11-D22)</f>
        <v/>
      </c>
      <c r="F22" s="15" t="n"/>
      <c r="G22" s="24">
        <f>IF(I22=0,"",IF(F22="Hecho","Hecho",IF(E22="","",IF(E22&lt;'Datos del viaje'!$B$18,"Atrasada",IF(E22-'Datos del viaje'!$B$18&lt;='Datos del viaje'!$B$15,"Pronto","Al día")))))</f>
        <v/>
      </c>
      <c r="H22" s="23" t="n"/>
      <c r="I22">
        <f>IF(B22="",0,IFERROR(INDEX('Datos del viaje'!$E$5:$E$16,MATCH(C22,'Datos del viaje'!$D$5:$D$16,0)),0))</f>
        <v/>
      </c>
      <c r="J22">
        <f>IF(OR(I22=0,F22="Hecho",E22=""),"",E22+ROW()/100000)</f>
        <v/>
      </c>
    </row>
    <row r="23">
      <c r="A23" s="21">
        <f>IF(D23="","",IF(D23&gt;=180,"6 meses o más antes",IF(D23&gt;=90,"3 a 6 meses antes",IF(D23&gt;=30,"1 a 3 meses antes",IF(D23&gt;=14,"2 a 4 semanas antes",IF(D23&gt;=7,"1 a 2 semanas antes",IF(D23&gt;=2,"Últimos días",IF(D23&gt;=1,"Día anterior",IF(D23&gt;=0,"Día de salida","Después del viaje")))))))))</f>
        <v/>
      </c>
      <c r="B23" s="22" t="inlineStr">
        <is>
          <t>Verificá que tu cobertura médica te atienda lejos de casa</t>
        </is>
      </c>
      <c r="C23" s="23" t="inlineStr">
        <is>
          <t>Dentro del país</t>
        </is>
      </c>
      <c r="D23" s="15" t="n">
        <v>30</v>
      </c>
      <c r="E23" s="13">
        <f>IF(OR(B23="",D23="",'Datos del viaje'!$B$11=""),"",'Datos del viaje'!$B$11-D23)</f>
        <v/>
      </c>
      <c r="F23" s="15" t="n"/>
      <c r="G23" s="24">
        <f>IF(I23=0,"",IF(F23="Hecho","Hecho",IF(E23="","",IF(E23&lt;'Datos del viaje'!$B$18,"Atrasada",IF(E23-'Datos del viaje'!$B$18&lt;='Datos del viaje'!$B$15,"Pronto","Al día")))))</f>
        <v/>
      </c>
      <c r="H23" s="23" t="n"/>
      <c r="I23">
        <f>IF(B23="",0,IFERROR(INDEX('Datos del viaje'!$E$5:$E$16,MATCH(C23,'Datos del viaje'!$D$5:$D$16,0)),0))</f>
        <v/>
      </c>
      <c r="J23">
        <f>IF(OR(I23=0,F23="Hecho",E23=""),"",E23+ROW()/100000)</f>
        <v/>
      </c>
    </row>
    <row r="24">
      <c r="A24" s="21">
        <f>IF(D24="","",IF(D24&gt;=180,"6 meses o más antes",IF(D24&gt;=90,"3 a 6 meses antes",IF(D24&gt;=30,"1 a 3 meses antes",IF(D24&gt;=14,"2 a 4 semanas antes",IF(D24&gt;=7,"1 a 2 semanas antes",IF(D24&gt;=2,"Últimos días",IF(D24&gt;=1,"Día anterior",IF(D24&gt;=0,"Día de salida","Después del viaje")))))))))</f>
        <v/>
      </c>
      <c r="B24" s="22" t="inlineStr">
        <is>
          <t>Comprá los pasajes de tren o micro</t>
        </is>
      </c>
      <c r="C24" s="23" t="inlineStr">
        <is>
          <t>Tren o micro</t>
        </is>
      </c>
      <c r="D24" s="15" t="n">
        <v>30</v>
      </c>
      <c r="E24" s="13">
        <f>IF(OR(B24="",D24="",'Datos del viaje'!$B$11=""),"",'Datos del viaje'!$B$11-D24)</f>
        <v/>
      </c>
      <c r="F24" s="15" t="n"/>
      <c r="G24" s="24">
        <f>IF(I24=0,"",IF(F24="Hecho","Hecho",IF(E24="","",IF(E24&lt;'Datos del viaje'!$B$18,"Atrasada",IF(E24-'Datos del viaje'!$B$18&lt;='Datos del viaje'!$B$15,"Pronto","Al día")))))</f>
        <v/>
      </c>
      <c r="H24" s="23" t="n"/>
      <c r="I24">
        <f>IF(B24="",0,IFERROR(INDEX('Datos del viaje'!$E$5:$E$16,MATCH(C24,'Datos del viaje'!$D$5:$D$16,0)),0))</f>
        <v/>
      </c>
      <c r="J24">
        <f>IF(OR(I24=0,F24="Hecho",E24=""),"",E24+ROW()/100000)</f>
        <v/>
      </c>
    </row>
    <row r="25">
      <c r="A25" s="21">
        <f>IF(D25="","",IF(D25&gt;=180,"6 meses o más antes",IF(D25&gt;=90,"3 a 6 meses antes",IF(D25&gt;=30,"1 a 3 meses antes",IF(D25&gt;=14,"2 a 4 semanas antes",IF(D25&gt;=7,"1 a 2 semanas antes",IF(D25&gt;=2,"Últimos días",IF(D25&gt;=1,"Día anterior",IF(D25&gt;=0,"Día de salida","Después del viaje")))))))))</f>
        <v/>
      </c>
      <c r="B25" s="22" t="inlineStr">
        <is>
          <t>Pedile a tu médico la medicación habitual suficiente y copia de las recetas</t>
        </is>
      </c>
      <c r="C25" s="23" t="inlineStr">
        <is>
          <t>Siempre</t>
        </is>
      </c>
      <c r="D25" s="15" t="n">
        <v>30</v>
      </c>
      <c r="E25" s="13">
        <f>IF(OR(B25="",D25="",'Datos del viaje'!$B$11=""),"",'Datos del viaje'!$B$11-D25)</f>
        <v/>
      </c>
      <c r="F25" s="15" t="n"/>
      <c r="G25" s="24">
        <f>IF(I25=0,"",IF(F25="Hecho","Hecho",IF(E25="","",IF(E25&lt;'Datos del viaje'!$B$18,"Atrasada",IF(E25-'Datos del viaje'!$B$18&lt;='Datos del viaje'!$B$15,"Pronto","Al día")))))</f>
        <v/>
      </c>
      <c r="H25" s="23" t="n"/>
      <c r="I25">
        <f>IF(B25="",0,IFERROR(INDEX('Datos del viaje'!$E$5:$E$16,MATCH(C25,'Datos del viaje'!$D$5:$D$16,0)),0))</f>
        <v/>
      </c>
      <c r="J25">
        <f>IF(OR(I25=0,F25="Hecho",E25=""),"",E25+ROW()/100000)</f>
        <v/>
      </c>
    </row>
    <row r="26">
      <c r="A26" s="21">
        <f>IF(D26="","",IF(D26&gt;=180,"6 meses o más antes",IF(D26&gt;=90,"3 a 6 meses antes",IF(D26&gt;=30,"1 a 3 meses antes",IF(D26&gt;=14,"2 a 4 semanas antes",IF(D26&gt;=7,"1 a 2 semanas antes",IF(D26&gt;=2,"Últimos días",IF(D26&gt;=1,"Día anterior",IF(D26&gt;=0,"Día de salida","Después del viaje")))))))))</f>
        <v/>
      </c>
      <c r="B26" s="22" t="inlineStr">
        <is>
          <t>Acostumbrá a la mascota a su transportadora con paseos de práctica</t>
        </is>
      </c>
      <c r="C26" s="23" t="inlineStr">
        <is>
          <t>Mascotas</t>
        </is>
      </c>
      <c r="D26" s="15" t="n">
        <v>30</v>
      </c>
      <c r="E26" s="13">
        <f>IF(OR(B26="",D26="",'Datos del viaje'!$B$11=""),"",'Datos del viaje'!$B$11-D26)</f>
        <v/>
      </c>
      <c r="F26" s="15" t="n"/>
      <c r="G26" s="24">
        <f>IF(I26=0,"",IF(F26="Hecho","Hecho",IF(E26="","",IF(E26&lt;'Datos del viaje'!$B$18,"Atrasada",IF(E26-'Datos del viaje'!$B$18&lt;='Datos del viaje'!$B$15,"Pronto","Al día")))))</f>
        <v/>
      </c>
      <c r="H26" s="23" t="n"/>
      <c r="I26">
        <f>IF(B26="",0,IFERROR(INDEX('Datos del viaje'!$E$5:$E$16,MATCH(C26,'Datos del viaje'!$D$5:$D$16,0)),0))</f>
        <v/>
      </c>
      <c r="J26">
        <f>IF(OR(I26=0,F26="Hecho",E26=""),"",E26+ROW()/100000)</f>
        <v/>
      </c>
    </row>
    <row r="27">
      <c r="A27" s="21">
        <f>IF(D27="","",IF(D27&gt;=180,"6 meses o más antes",IF(D27&gt;=90,"3 a 6 meses antes",IF(D27&gt;=30,"1 a 3 meses antes",IF(D27&gt;=14,"2 a 4 semanas antes",IF(D27&gt;=7,"1 a 2 semanas antes",IF(D27&gt;=2,"Últimos días",IF(D27&gt;=1,"Día anterior",IF(D27&gt;=0,"Día de salida","Después del viaje")))))))))</f>
        <v/>
      </c>
      <c r="B27" s="22" t="inlineStr">
        <is>
          <t>Arreglá quién retire tu correo mientras no estás</t>
        </is>
      </c>
      <c r="C27" s="23" t="inlineStr">
        <is>
          <t>Viaje largo (8+ días)</t>
        </is>
      </c>
      <c r="D27" s="15" t="n">
        <v>30</v>
      </c>
      <c r="E27" s="13">
        <f>IF(OR(B27="",D27="",'Datos del viaje'!$B$11=""),"",'Datos del viaje'!$B$11-D27)</f>
        <v/>
      </c>
      <c r="F27" s="15" t="n"/>
      <c r="G27" s="24">
        <f>IF(I27=0,"",IF(F27="Hecho","Hecho",IF(E27="","",IF(E27&lt;'Datos del viaje'!$B$18,"Atrasada",IF(E27-'Datos del viaje'!$B$18&lt;='Datos del viaje'!$B$15,"Pronto","Al día")))))</f>
        <v/>
      </c>
      <c r="H27" s="23" t="n"/>
      <c r="I27">
        <f>IF(B27="",0,IFERROR(INDEX('Datos del viaje'!$E$5:$E$16,MATCH(C27,'Datos del viaje'!$D$5:$D$16,0)),0))</f>
        <v/>
      </c>
      <c r="J27">
        <f>IF(OR(I27=0,F27="Hecho",E27=""),"",E27+ROW()/100000)</f>
        <v/>
      </c>
    </row>
    <row r="28" ht="30" customHeight="1">
      <c r="A28" s="21">
        <f>IF(D28="","",IF(D28&gt;=180,"6 meses o más antes",IF(D28&gt;=90,"3 a 6 meses antes",IF(D28&gt;=30,"1 a 3 meses antes",IF(D28&gt;=14,"2 a 4 semanas antes",IF(D28&gt;=7,"1 a 2 semanas antes",IF(D28&gt;=2,"Últimos días",IF(D28&gt;=1,"Día anterior",IF(D28&gt;=0,"Día de salida","Después del viaje")))))))))</f>
        <v/>
      </c>
      <c r="B28" s="22" t="inlineStr">
        <is>
          <t>Avisá a tu banco o tarjeta del viaje; revisá comisiones y límites en el exterior</t>
        </is>
      </c>
      <c r="C28" s="23" t="inlineStr">
        <is>
          <t>Exterior</t>
        </is>
      </c>
      <c r="D28" s="15" t="n">
        <v>21</v>
      </c>
      <c r="E28" s="13">
        <f>IF(OR(B28="",D28="",'Datos del viaje'!$B$11=""),"",'Datos del viaje'!$B$11-D28)</f>
        <v/>
      </c>
      <c r="F28" s="15" t="n"/>
      <c r="G28" s="24">
        <f>IF(I28=0,"",IF(F28="Hecho","Hecho",IF(E28="","",IF(E28&lt;'Datos del viaje'!$B$18,"Atrasada",IF(E28-'Datos del viaje'!$B$18&lt;='Datos del viaje'!$B$15,"Pronto","Al día")))))</f>
        <v/>
      </c>
      <c r="H28" s="23" t="n"/>
      <c r="I28">
        <f>IF(B28="",0,IFERROR(INDEX('Datos del viaje'!$E$5:$E$16,MATCH(C28,'Datos del viaje'!$D$5:$D$16,0)),0))</f>
        <v/>
      </c>
      <c r="J28">
        <f>IF(OR(I28=0,F28="Hecho",E28=""),"",E28+ROW()/100000)</f>
        <v/>
      </c>
    </row>
    <row r="29" ht="30" customHeight="1">
      <c r="A29" s="21">
        <f>IF(D29="","",IF(D29&gt;=180,"6 meses o más antes",IF(D29&gt;=90,"3 a 6 meses antes",IF(D29&gt;=30,"1 a 3 meses antes",IF(D29&gt;=14,"2 a 4 semanas antes",IF(D29&gt;=7,"1 a 2 semanas antes",IF(D29&gt;=2,"Últimos días",IF(D29&gt;=1,"Día anterior",IF(D29&gt;=0,"Día de salida","Después del viaje")))))))))</f>
        <v/>
      </c>
      <c r="B29" s="22" t="inlineStr">
        <is>
          <t>Consultá con el pediatra y planificá medicación, silla o booster para el auto y entretenimiento</t>
        </is>
      </c>
      <c r="C29" s="23" t="inlineStr">
        <is>
          <t>Con chicos</t>
        </is>
      </c>
      <c r="D29" s="15" t="n">
        <v>21</v>
      </c>
      <c r="E29" s="13">
        <f>IF(OR(B29="",D29="",'Datos del viaje'!$B$11=""),"",'Datos del viaje'!$B$11-D29)</f>
        <v/>
      </c>
      <c r="F29" s="15" t="n"/>
      <c r="G29" s="24">
        <f>IF(I29=0,"",IF(F29="Hecho","Hecho",IF(E29="","",IF(E29&lt;'Datos del viaje'!$B$18,"Atrasada",IF(E29-'Datos del viaje'!$B$18&lt;='Datos del viaje'!$B$15,"Pronto","Al día")))))</f>
        <v/>
      </c>
      <c r="H29" s="23" t="n"/>
      <c r="I29">
        <f>IF(B29="",0,IFERROR(INDEX('Datos del viaje'!$E$5:$E$16,MATCH(C29,'Datos del viaje'!$D$5:$D$16,0)),0))</f>
        <v/>
      </c>
      <c r="J29">
        <f>IF(OR(I29=0,F29="Hecho",E29=""),"",E29+ROW()/100000)</f>
        <v/>
      </c>
    </row>
    <row r="30" ht="30" customHeight="1">
      <c r="A30" s="21">
        <f>IF(D30="","",IF(D30&gt;=180,"6 meses o más antes",IF(D30&gt;=90,"3 a 6 meses antes",IF(D30&gt;=30,"1 a 3 meses antes",IF(D30&gt;=14,"2 a 4 semanas antes",IF(D30&gt;=7,"1 a 2 semanas antes",IF(D30&gt;=2,"Últimos días",IF(D30&gt;=1,"Día anterior",IF(D30&gt;=0,"Día de salida","Después del viaje")))))))))</f>
        <v/>
      </c>
      <c r="B30" s="22" t="inlineStr">
        <is>
          <t>Revisá la ropa de abrigo (campera, guantes, gorro, botas) y comprá lo que falte</t>
        </is>
      </c>
      <c r="C30" s="23" t="inlineStr">
        <is>
          <t>Clima frío</t>
        </is>
      </c>
      <c r="D30" s="15" t="n">
        <v>21</v>
      </c>
      <c r="E30" s="13">
        <f>IF(OR(B30="",D30="",'Datos del viaje'!$B$11=""),"",'Datos del viaje'!$B$11-D30)</f>
        <v/>
      </c>
      <c r="F30" s="15" t="n"/>
      <c r="G30" s="24">
        <f>IF(I30=0,"",IF(F30="Hecho","Hecho",IF(E30="","",IF(E30&lt;'Datos del viaje'!$B$18,"Atrasada",IF(E30-'Datos del viaje'!$B$18&lt;='Datos del viaje'!$B$15,"Pronto","Al día")))))</f>
        <v/>
      </c>
      <c r="H30" s="23" t="n"/>
      <c r="I30">
        <f>IF(B30="",0,IFERROR(INDEX('Datos del viaje'!$E$5:$E$16,MATCH(C30,'Datos del viaje'!$D$5:$D$16,0)),0))</f>
        <v/>
      </c>
      <c r="J30">
        <f>IF(OR(I30=0,F30="Hecho",E30=""),"",E30+ROW()/100000)</f>
        <v/>
      </c>
    </row>
    <row r="31">
      <c r="A31" s="21">
        <f>IF(D31="","",IF(D31&gt;=180,"6 meses o más antes",IF(D31&gt;=90,"3 a 6 meses antes",IF(D31&gt;=30,"1 a 3 meses antes",IF(D31&gt;=14,"2 a 4 semanas antes",IF(D31&gt;=7,"1 a 2 semanas antes",IF(D31&gt;=2,"Últimos días",IF(D31&gt;=1,"Día anterior",IF(D31&gt;=0,"Día de salida","Después del viaje")))))))))</f>
        <v/>
      </c>
      <c r="B31" s="22" t="inlineStr">
        <is>
          <t>Reservá el traslado o la cochera del aeropuerto</t>
        </is>
      </c>
      <c r="C31" s="23" t="inlineStr">
        <is>
          <t>Avión</t>
        </is>
      </c>
      <c r="D31" s="15" t="n">
        <v>21</v>
      </c>
      <c r="E31" s="13">
        <f>IF(OR(B31="",D31="",'Datos del viaje'!$B$11=""),"",'Datos del viaje'!$B$11-D31)</f>
        <v/>
      </c>
      <c r="F31" s="15" t="n"/>
      <c r="G31" s="24">
        <f>IF(I31=0,"",IF(F31="Hecho","Hecho",IF(E31="","",IF(E31&lt;'Datos del viaje'!$B$18,"Atrasada",IF(E31-'Datos del viaje'!$B$18&lt;='Datos del viaje'!$B$15,"Pronto","Al día")))))</f>
        <v/>
      </c>
      <c r="H31" s="23" t="n"/>
      <c r="I31">
        <f>IF(B31="",0,IFERROR(INDEX('Datos del viaje'!$E$5:$E$16,MATCH(C31,'Datos del viaje'!$D$5:$D$16,0)),0))</f>
        <v/>
      </c>
      <c r="J31">
        <f>IF(OR(I31=0,F31="Hecho",E31=""),"",E31+ROW()/100000)</f>
        <v/>
      </c>
    </row>
    <row r="32">
      <c r="A32" s="21">
        <f>IF(D32="","",IF(D32&gt;=180,"6 meses o más antes",IF(D32&gt;=90,"3 a 6 meses antes",IF(D32&gt;=30,"1 a 3 meses antes",IF(D32&gt;=14,"2 a 4 semanas antes",IF(D32&gt;=7,"1 a 2 semanas antes",IF(D32&gt;=2,"Últimos días",IF(D32&gt;=1,"Día anterior",IF(D32&gt;=0,"Día de salida","Después del viaje")))))))))</f>
        <v/>
      </c>
      <c r="B32" s="22" t="inlineStr">
        <is>
          <t>Conseguí algo de moneda local y un segundo medio de pago</t>
        </is>
      </c>
      <c r="C32" s="23" t="inlineStr">
        <is>
          <t>Exterior</t>
        </is>
      </c>
      <c r="D32" s="15" t="n">
        <v>14</v>
      </c>
      <c r="E32" s="13">
        <f>IF(OR(B32="",D32="",'Datos del viaje'!$B$11=""),"",'Datos del viaje'!$B$11-D32)</f>
        <v/>
      </c>
      <c r="F32" s="15" t="n"/>
      <c r="G32" s="24">
        <f>IF(I32=0,"",IF(F32="Hecho","Hecho",IF(E32="","",IF(E32&lt;'Datos del viaje'!$B$18,"Atrasada",IF(E32-'Datos del viaje'!$B$18&lt;='Datos del viaje'!$B$15,"Pronto","Al día")))))</f>
        <v/>
      </c>
      <c r="H32" s="23" t="n"/>
      <c r="I32">
        <f>IF(B32="",0,IFERROR(INDEX('Datos del viaje'!$E$5:$E$16,MATCH(C32,'Datos del viaje'!$D$5:$D$16,0)),0))</f>
        <v/>
      </c>
      <c r="J32">
        <f>IF(OR(I32=0,F32="Hecho",E32=""),"",E32+ROW()/100000)</f>
        <v/>
      </c>
    </row>
    <row r="33">
      <c r="A33" s="21">
        <f>IF(D33="","",IF(D33&gt;=180,"6 meses o más antes",IF(D33&gt;=90,"3 a 6 meses antes",IF(D33&gt;=30,"1 a 3 meses antes",IF(D33&gt;=14,"2 a 4 semanas antes",IF(D33&gt;=7,"1 a 2 semanas antes",IF(D33&gt;=2,"Últimos días",IF(D33&gt;=1,"Día anterior",IF(D33&gt;=0,"Día de salida","Después del viaje")))))))))</f>
        <v/>
      </c>
      <c r="B33" s="22" t="inlineStr">
        <is>
          <t>Resolvé el celular: roaming, eSIM o SIM local y mapas sin conexión</t>
        </is>
      </c>
      <c r="C33" s="23" t="inlineStr">
        <is>
          <t>Exterior</t>
        </is>
      </c>
      <c r="D33" s="15" t="n">
        <v>14</v>
      </c>
      <c r="E33" s="13">
        <f>IF(OR(B33="",D33="",'Datos del viaje'!$B$11=""),"",'Datos del viaje'!$B$11-D33)</f>
        <v/>
      </c>
      <c r="F33" s="15" t="n"/>
      <c r="G33" s="24">
        <f>IF(I33=0,"",IF(F33="Hecho","Hecho",IF(E33="","",IF(E33&lt;'Datos del viaje'!$B$18,"Atrasada",IF(E33-'Datos del viaje'!$B$18&lt;='Datos del viaje'!$B$15,"Pronto","Al día")))))</f>
        <v/>
      </c>
      <c r="H33" s="23" t="n"/>
      <c r="I33">
        <f>IF(B33="",0,IFERROR(INDEX('Datos del viaje'!$E$5:$E$16,MATCH(C33,'Datos del viaje'!$D$5:$D$16,0)),0))</f>
        <v/>
      </c>
      <c r="J33">
        <f>IF(OR(I33=0,F33="Hecho",E33=""),"",E33+ROW()/100000)</f>
        <v/>
      </c>
    </row>
    <row r="34">
      <c r="A34" s="21">
        <f>IF(D34="","",IF(D34&gt;=180,"6 meses o más antes",IF(D34&gt;=90,"3 a 6 meses antes",IF(D34&gt;=30,"1 a 3 meses antes",IF(D34&gt;=14,"2 a 4 semanas antes",IF(D34&gt;=7,"1 a 2 semanas antes",IF(D34&gt;=2,"Últimos días",IF(D34&gt;=1,"Día anterior",IF(D34&gt;=0,"Día de salida","Después del viaje")))))))))</f>
        <v/>
      </c>
      <c r="B34" s="22" t="inlineStr">
        <is>
          <t>Fijate qué tipo de enchufe se usa y comprá un adaptador de viaje</t>
        </is>
      </c>
      <c r="C34" s="23" t="inlineStr">
        <is>
          <t>Exterior</t>
        </is>
      </c>
      <c r="D34" s="15" t="n">
        <v>14</v>
      </c>
      <c r="E34" s="13">
        <f>IF(OR(B34="",D34="",'Datos del viaje'!$B$11=""),"",'Datos del viaje'!$B$11-D34)</f>
        <v/>
      </c>
      <c r="F34" s="15" t="n"/>
      <c r="G34" s="24">
        <f>IF(I34=0,"",IF(F34="Hecho","Hecho",IF(E34="","",IF(E34&lt;'Datos del viaje'!$B$18,"Atrasada",IF(E34-'Datos del viaje'!$B$18&lt;='Datos del viaje'!$B$15,"Pronto","Al día")))))</f>
        <v/>
      </c>
      <c r="H34" s="23" t="n"/>
      <c r="I34">
        <f>IF(B34="",0,IFERROR(INDEX('Datos del viaje'!$E$5:$E$16,MATCH(C34,'Datos del viaje'!$D$5:$D$16,0)),0))</f>
        <v/>
      </c>
      <c r="J34">
        <f>IF(OR(I34=0,F34="Hecho",E34=""),"",E34+ROW()/100000)</f>
        <v/>
      </c>
    </row>
    <row r="35">
      <c r="A35" s="21">
        <f>IF(D35="","",IF(D35&gt;=180,"6 meses o más antes",IF(D35&gt;=90,"3 a 6 meses antes",IF(D35&gt;=30,"1 a 3 meses antes",IF(D35&gt;=14,"2 a 4 semanas antes",IF(D35&gt;=7,"1 a 2 semanas antes",IF(D35&gt;=2,"Últimos días",IF(D35&gt;=1,"Día anterior",IF(D35&gt;=0,"Día de salida","Después del viaje")))))))))</f>
        <v/>
      </c>
      <c r="B35" s="22" t="inlineStr">
        <is>
          <t>Registrá tu viaje en el servicio al viajero de tu gobierno, si existe</t>
        </is>
      </c>
      <c r="C35" s="23" t="inlineStr">
        <is>
          <t>Exterior</t>
        </is>
      </c>
      <c r="D35" s="15" t="n">
        <v>14</v>
      </c>
      <c r="E35" s="13">
        <f>IF(OR(B35="",D35="",'Datos del viaje'!$B$11=""),"",'Datos del viaje'!$B$11-D35)</f>
        <v/>
      </c>
      <c r="F35" s="15" t="n"/>
      <c r="G35" s="24">
        <f>IF(I35=0,"",IF(F35="Hecho","Hecho",IF(E35="","",IF(E35&lt;'Datos del viaje'!$B$18,"Atrasada",IF(E35-'Datos del viaje'!$B$18&lt;='Datos del viaje'!$B$15,"Pronto","Al día")))))</f>
        <v/>
      </c>
      <c r="H35" s="23" t="n"/>
      <c r="I35">
        <f>IF(B35="",0,IFERROR(INDEX('Datos del viaje'!$E$5:$E$16,MATCH(C35,'Datos del viaje'!$D$5:$D$16,0)),0))</f>
        <v/>
      </c>
      <c r="J35">
        <f>IF(OR(I35=0,F35="Hecho",E35=""),"",E35+ROW()/100000)</f>
        <v/>
      </c>
    </row>
    <row r="36">
      <c r="A36" s="21">
        <f>IF(D36="","",IF(D36&gt;=180,"6 meses o más antes",IF(D36&gt;=90,"3 a 6 meses antes",IF(D36&gt;=30,"1 a 3 meses antes",IF(D36&gt;=14,"2 a 4 semanas antes",IF(D36&gt;=7,"1 a 2 semanas antes",IF(D36&gt;=2,"Últimos días",IF(D36&gt;=1,"Día anterior",IF(D36&gt;=0,"Día de salida","Después del viaje")))))))))</f>
        <v/>
      </c>
      <c r="B36" s="22" t="inlineStr">
        <is>
          <t>Verificá que cada viajero tenga su documento de identidad vigente</t>
        </is>
      </c>
      <c r="C36" s="23" t="inlineStr">
        <is>
          <t>Dentro del país</t>
        </is>
      </c>
      <c r="D36" s="15" t="n">
        <v>14</v>
      </c>
      <c r="E36" s="13">
        <f>IF(OR(B36="",D36="",'Datos del viaje'!$B$11=""),"",'Datos del viaje'!$B$11-D36)</f>
        <v/>
      </c>
      <c r="F36" s="15" t="n"/>
      <c r="G36" s="24">
        <f>IF(I36=0,"",IF(F36="Hecho","Hecho",IF(E36="","",IF(E36&lt;'Datos del viaje'!$B$18,"Atrasada",IF(E36-'Datos del viaje'!$B$18&lt;='Datos del viaje'!$B$15,"Pronto","Al día")))))</f>
        <v/>
      </c>
      <c r="H36" s="23" t="n"/>
      <c r="I36">
        <f>IF(B36="",0,IFERROR(INDEX('Datos del viaje'!$E$5:$E$16,MATCH(C36,'Datos del viaje'!$D$5:$D$16,0)),0))</f>
        <v/>
      </c>
      <c r="J36">
        <f>IF(OR(I36=0,F36="Hecho",E36=""),"",E36+ROW()/100000)</f>
        <v/>
      </c>
    </row>
    <row r="37" ht="30" customHeight="1">
      <c r="A37" s="21">
        <f>IF(D37="","",IF(D37&gt;=180,"6 meses o más antes",IF(D37&gt;=90,"3 a 6 meses antes",IF(D37&gt;=30,"1 a 3 meses antes",IF(D37&gt;=14,"2 a 4 semanas antes",IF(D37&gt;=7,"1 a 2 semanas antes",IF(D37&gt;=2,"Últimos días",IF(D37&gt;=1,"Día anterior",IF(D37&gt;=0,"Día de salida","Después del viaje")))))))))</f>
        <v/>
      </c>
      <c r="B37" s="22" t="inlineStr">
        <is>
          <t>Revisá el equipaje permitido (de mano y despachado) y lo que no se puede llevar</t>
        </is>
      </c>
      <c r="C37" s="23" t="inlineStr">
        <is>
          <t>Avión</t>
        </is>
      </c>
      <c r="D37" s="15" t="n">
        <v>14</v>
      </c>
      <c r="E37" s="13">
        <f>IF(OR(B37="",D37="",'Datos del viaje'!$B$11=""),"",'Datos del viaje'!$B$11-D37)</f>
        <v/>
      </c>
      <c r="F37" s="15" t="n"/>
      <c r="G37" s="24">
        <f>IF(I37=0,"",IF(F37="Hecho","Hecho",IF(E37="","",IF(E37&lt;'Datos del viaje'!$B$18,"Atrasada",IF(E37-'Datos del viaje'!$B$18&lt;='Datos del viaje'!$B$15,"Pronto","Al día")))))</f>
        <v/>
      </c>
      <c r="H37" s="23" t="n"/>
      <c r="I37">
        <f>IF(B37="",0,IFERROR(INDEX('Datos del viaje'!$E$5:$E$16,MATCH(C37,'Datos del viaje'!$D$5:$D$16,0)),0))</f>
        <v/>
      </c>
      <c r="J37">
        <f>IF(OR(I37=0,F37="Hecho",E37=""),"",E37+ROW()/100000)</f>
        <v/>
      </c>
    </row>
    <row r="38">
      <c r="A38" s="21">
        <f>IF(D38="","",IF(D38&gt;=180,"6 meses o más antes",IF(D38&gt;=90,"3 a 6 meses antes",IF(D38&gt;=30,"1 a 3 meses antes",IF(D38&gt;=14,"2 a 4 semanas antes",IF(D38&gt;=7,"1 a 2 semanas antes",IF(D38&gt;=2,"Últimos días",IF(D38&gt;=1,"Día anterior",IF(D38&gt;=0,"Día de salida","Después del viaje")))))))))</f>
        <v/>
      </c>
      <c r="B38" s="22" t="inlineStr">
        <is>
          <t>Comprá protector solar y repelente</t>
        </is>
      </c>
      <c r="C38" s="23" t="inlineStr">
        <is>
          <t>Clima cálido</t>
        </is>
      </c>
      <c r="D38" s="15" t="n">
        <v>14</v>
      </c>
      <c r="E38" s="13">
        <f>IF(OR(B38="",D38="",'Datos del viaje'!$B$11=""),"",'Datos del viaje'!$B$11-D38)</f>
        <v/>
      </c>
      <c r="F38" s="15" t="n"/>
      <c r="G38" s="24">
        <f>IF(I38=0,"",IF(F38="Hecho","Hecho",IF(E38="","",IF(E38&lt;'Datos del viaje'!$B$18,"Atrasada",IF(E38-'Datos del viaje'!$B$18&lt;='Datos del viaje'!$B$15,"Pronto","Al día")))))</f>
        <v/>
      </c>
      <c r="H38" s="23" t="n"/>
      <c r="I38">
        <f>IF(B38="",0,IFERROR(INDEX('Datos del viaje'!$E$5:$E$16,MATCH(C38,'Datos del viaje'!$D$5:$D$16,0)),0))</f>
        <v/>
      </c>
      <c r="J38">
        <f>IF(OR(I38=0,F38="Hecho",E38=""),"",E38+ROW()/100000)</f>
        <v/>
      </c>
    </row>
    <row r="39">
      <c r="A39" s="21">
        <f>IF(D39="","",IF(D39&gt;=180,"6 meses o más antes",IF(D39&gt;=90,"3 a 6 meses antes",IF(D39&gt;=30,"1 a 3 meses antes",IF(D39&gt;=14,"2 a 4 semanas antes",IF(D39&gt;=7,"1 a 2 semanas antes",IF(D39&gt;=2,"Últimos días",IF(D39&gt;=1,"Día anterior",IF(D39&gt;=0,"Día de salida","Después del viaje")))))))))</f>
        <v/>
      </c>
      <c r="B39" s="22" t="inlineStr">
        <is>
          <t>Revisá el auto: neumáticos, aceite, frenos, luces y auxilio</t>
        </is>
      </c>
      <c r="C39" s="23" t="inlineStr">
        <is>
          <t>Auto</t>
        </is>
      </c>
      <c r="D39" s="15" t="n">
        <v>14</v>
      </c>
      <c r="E39" s="13">
        <f>IF(OR(B39="",D39="",'Datos del viaje'!$B$11=""),"",'Datos del viaje'!$B$11-D39)</f>
        <v/>
      </c>
      <c r="F39" s="15" t="n"/>
      <c r="G39" s="24">
        <f>IF(I39=0,"",IF(F39="Hecho","Hecho",IF(E39="","",IF(E39&lt;'Datos del viaje'!$B$18,"Atrasada",IF(E39-'Datos del viaje'!$B$18&lt;='Datos del viaje'!$B$15,"Pronto","Al día")))))</f>
        <v/>
      </c>
      <c r="H39" s="23" t="n"/>
      <c r="I39">
        <f>IF(B39="",0,IFERROR(INDEX('Datos del viaje'!$E$5:$E$16,MATCH(C39,'Datos del viaje'!$D$5:$D$16,0)),0))</f>
        <v/>
      </c>
      <c r="J39">
        <f>IF(OR(I39=0,F39="Hecho",E39=""),"",E39+ROW()/100000)</f>
        <v/>
      </c>
    </row>
    <row r="40">
      <c r="A40" s="21">
        <f>IF(D40="","",IF(D40&gt;=180,"6 meses o más antes",IF(D40&gt;=90,"3 a 6 meses antes",IF(D40&gt;=30,"1 a 3 meses antes",IF(D40&gt;=14,"2 a 4 semanas antes",IF(D40&gt;=7,"1 a 2 semanas antes",IF(D40&gt;=2,"Últimos días",IF(D40&gt;=1,"Día anterior",IF(D40&gt;=0,"Día de salida","Después del viaje")))))))))</f>
        <v/>
      </c>
      <c r="B40" s="22" t="inlineStr">
        <is>
          <t>Armá un bolso chico con snacks, juguetes y muda de ropa para el trayecto</t>
        </is>
      </c>
      <c r="C40" s="23" t="inlineStr">
        <is>
          <t>Con chicos</t>
        </is>
      </c>
      <c r="D40" s="15" t="n">
        <v>14</v>
      </c>
      <c r="E40" s="13">
        <f>IF(OR(B40="",D40="",'Datos del viaje'!$B$11=""),"",'Datos del viaje'!$B$11-D40)</f>
        <v/>
      </c>
      <c r="F40" s="15" t="n"/>
      <c r="G40" s="24">
        <f>IF(I40=0,"",IF(F40="Hecho","Hecho",IF(E40="","",IF(E40&lt;'Datos del viaje'!$B$18,"Atrasada",IF(E40-'Datos del viaje'!$B$18&lt;='Datos del viaje'!$B$15,"Pronto","Al día")))))</f>
        <v/>
      </c>
      <c r="H40" s="23" t="n"/>
      <c r="I40">
        <f>IF(B40="",0,IFERROR(INDEX('Datos del viaje'!$E$5:$E$16,MATCH(C40,'Datos del viaje'!$D$5:$D$16,0)),0))</f>
        <v/>
      </c>
      <c r="J40">
        <f>IF(OR(I40=0,F40="Hecho",E40=""),"",E40+ROW()/100000)</f>
        <v/>
      </c>
    </row>
    <row r="41">
      <c r="A41" s="21">
        <f>IF(D41="","",IF(D41&gt;=180,"6 meses o más antes",IF(D41&gt;=90,"3 a 6 meses antes",IF(D41&gt;=30,"1 a 3 meses antes",IF(D41&gt;=14,"2 a 4 semanas antes",IF(D41&gt;=7,"1 a 2 semanas antes",IF(D41&gt;=2,"Últimos días",IF(D41&gt;=1,"Día anterior",IF(D41&gt;=0,"Día de salida","Después del viaje")))))))))</f>
        <v/>
      </c>
      <c r="B41" s="22" t="inlineStr">
        <is>
          <t>Pedile a alguien que riegue las plantas y mire la casa</t>
        </is>
      </c>
      <c r="C41" s="23" t="inlineStr">
        <is>
          <t>Siempre</t>
        </is>
      </c>
      <c r="D41" s="15" t="n">
        <v>14</v>
      </c>
      <c r="E41" s="13">
        <f>IF(OR(B41="",D41="",'Datos del viaje'!$B$11=""),"",'Datos del viaje'!$B$11-D41)</f>
        <v/>
      </c>
      <c r="F41" s="15" t="n"/>
      <c r="G41" s="24">
        <f>IF(I41=0,"",IF(F41="Hecho","Hecho",IF(E41="","",IF(E41&lt;'Datos del viaje'!$B$18,"Atrasada",IF(E41-'Datos del viaje'!$B$18&lt;='Datos del viaje'!$B$15,"Pronto","Al día")))))</f>
        <v/>
      </c>
      <c r="H41" s="23" t="n"/>
      <c r="I41">
        <f>IF(B41="",0,IFERROR(INDEX('Datos del viaje'!$E$5:$E$16,MATCH(C41,'Datos del viaje'!$D$5:$D$16,0)),0))</f>
        <v/>
      </c>
      <c r="J41">
        <f>IF(OR(I41=0,F41="Hecho",E41=""),"",E41+ROW()/100000)</f>
        <v/>
      </c>
    </row>
    <row r="42">
      <c r="A42" s="21">
        <f>IF(D42="","",IF(D42&gt;=180,"6 meses o más antes",IF(D42&gt;=90,"3 a 6 meses antes",IF(D42&gt;=30,"1 a 3 meses antes",IF(D42&gt;=14,"2 a 4 semanas antes",IF(D42&gt;=7,"1 a 2 semanas antes",IF(D42&gt;=2,"Últimos días",IF(D42&gt;=1,"Día anterior",IF(D42&gt;=0,"Día de salida","Después del viaje")))))))))</f>
        <v/>
      </c>
      <c r="B42" s="22" t="inlineStr">
        <is>
          <t>Pagá las cuentas que vencen mientras no estás; programá débitos si hace falta</t>
        </is>
      </c>
      <c r="C42" s="23" t="inlineStr">
        <is>
          <t>Siempre</t>
        </is>
      </c>
      <c r="D42" s="15" t="n">
        <v>10</v>
      </c>
      <c r="E42" s="13">
        <f>IF(OR(B42="",D42="",'Datos del viaje'!$B$11=""),"",'Datos del viaje'!$B$11-D42)</f>
        <v/>
      </c>
      <c r="F42" s="15" t="n"/>
      <c r="G42" s="24">
        <f>IF(I42=0,"",IF(F42="Hecho","Hecho",IF(E42="","",IF(E42&lt;'Datos del viaje'!$B$18,"Atrasada",IF(E42-'Datos del viaje'!$B$18&lt;='Datos del viaje'!$B$15,"Pronto","Al día")))))</f>
        <v/>
      </c>
      <c r="H42" s="23" t="n"/>
      <c r="I42">
        <f>IF(B42="",0,IFERROR(INDEX('Datos del viaje'!$E$5:$E$16,MATCH(C42,'Datos del viaje'!$D$5:$D$16,0)),0))</f>
        <v/>
      </c>
      <c r="J42">
        <f>IF(OR(I42=0,F42="Hecho",E42=""),"",E42+ROW()/100000)</f>
        <v/>
      </c>
    </row>
    <row r="43">
      <c r="A43" s="21">
        <f>IF(D43="","",IF(D43&gt;=180,"6 meses o más antes",IF(D43&gt;=90,"3 a 6 meses antes",IF(D43&gt;=30,"1 a 3 meses antes",IF(D43&gt;=14,"2 a 4 semanas antes",IF(D43&gt;=7,"1 a 2 semanas antes",IF(D43&gt;=2,"Últimos días",IF(D43&gt;=1,"Día anterior",IF(D43&gt;=0,"Día de salida","Después del viaje")))))))))</f>
        <v/>
      </c>
      <c r="B43" s="22" t="inlineStr">
        <is>
          <t>Guardá el teléfono de tu embajada o consulado y el número de emergencias local</t>
        </is>
      </c>
      <c r="C43" s="23" t="inlineStr">
        <is>
          <t>Exterior</t>
        </is>
      </c>
      <c r="D43" s="15" t="n">
        <v>10</v>
      </c>
      <c r="E43" s="13">
        <f>IF(OR(B43="",D43="",'Datos del viaje'!$B$11=""),"",'Datos del viaje'!$B$11-D43)</f>
        <v/>
      </c>
      <c r="F43" s="15" t="n"/>
      <c r="G43" s="24">
        <f>IF(I43=0,"",IF(F43="Hecho","Hecho",IF(E43="","",IF(E43&lt;'Datos del viaje'!$B$18,"Atrasada",IF(E43-'Datos del viaje'!$B$18&lt;='Datos del viaje'!$B$15,"Pronto","Al día")))))</f>
        <v/>
      </c>
      <c r="H43" s="23" t="n"/>
      <c r="I43">
        <f>IF(B43="",0,IFERROR(INDEX('Datos del viaje'!$E$5:$E$16,MATCH(C43,'Datos del viaje'!$D$5:$D$16,0)),0))</f>
        <v/>
      </c>
      <c r="J43">
        <f>IF(OR(I43=0,F43="Hecho",E43=""),"",E43+ROW()/100000)</f>
        <v/>
      </c>
    </row>
    <row r="44">
      <c r="A44" s="21">
        <f>IF(D44="","",IF(D44&gt;=180,"6 meses o más antes",IF(D44&gt;=90,"3 a 6 meses antes",IF(D44&gt;=30,"1 a 3 meses antes",IF(D44&gt;=14,"2 a 4 semanas antes",IF(D44&gt;=7,"1 a 2 semanas antes",IF(D44&gt;=2,"Últimos días",IF(D44&gt;=1,"Día anterior",IF(D44&gt;=0,"Día de salida","Después del viaje")))))))))</f>
        <v/>
      </c>
      <c r="B44" s="22" t="inlineStr">
        <is>
          <t>Revisá en la fuente oficial las reglas de aduana sobre lo que podés traer</t>
        </is>
      </c>
      <c r="C44" s="23" t="inlineStr">
        <is>
          <t>Exterior</t>
        </is>
      </c>
      <c r="D44" s="15" t="n">
        <v>10</v>
      </c>
      <c r="E44" s="13">
        <f>IF(OR(B44="",D44="",'Datos del viaje'!$B$11=""),"",'Datos del viaje'!$B$11-D44)</f>
        <v/>
      </c>
      <c r="F44" s="15" t="n"/>
      <c r="G44" s="24">
        <f>IF(I44=0,"",IF(F44="Hecho","Hecho",IF(E44="","",IF(E44&lt;'Datos del viaje'!$B$18,"Atrasada",IF(E44-'Datos del viaje'!$B$18&lt;='Datos del viaje'!$B$15,"Pronto","Al día")))))</f>
        <v/>
      </c>
      <c r="H44" s="23" t="n"/>
      <c r="I44">
        <f>IF(B44="",0,IFERROR(INDEX('Datos del viaje'!$E$5:$E$16,MATCH(C44,'Datos del viaje'!$D$5:$D$16,0)),0))</f>
        <v/>
      </c>
      <c r="J44">
        <f>IF(OR(I44=0,F44="Hecho",E44=""),"",E44+ROW()/100000)</f>
        <v/>
      </c>
    </row>
    <row r="45" ht="30" customHeight="1">
      <c r="A45" s="21">
        <f>IF(D45="","",IF(D45&gt;=180,"6 meses o más antes",IF(D45&gt;=90,"3 a 6 meses antes",IF(D45&gt;=30,"1 a 3 meses antes",IF(D45&gt;=14,"2 a 4 semanas antes",IF(D45&gt;=7,"1 a 2 semanas antes",IF(D45&gt;=2,"Últimos días",IF(D45&gt;=1,"Día anterior",IF(D45&gt;=0,"Día de salida","Después del viaje")))))))))</f>
        <v/>
      </c>
      <c r="B45" s="22" t="inlineStr">
        <is>
          <t>Juntá la documentación y el seguro del vehículo; revisá qué elementos de seguridad se exigen en el recorrido</t>
        </is>
      </c>
      <c r="C45" s="23" t="inlineStr">
        <is>
          <t>Auto</t>
        </is>
      </c>
      <c r="D45" s="15" t="n">
        <v>10</v>
      </c>
      <c r="E45" s="13">
        <f>IF(OR(B45="",D45="",'Datos del viaje'!$B$11=""),"",'Datos del viaje'!$B$11-D45)</f>
        <v/>
      </c>
      <c r="F45" s="15" t="n"/>
      <c r="G45" s="24">
        <f>IF(I45=0,"",IF(F45="Hecho","Hecho",IF(E45="","",IF(E45&lt;'Datos del viaje'!$B$18,"Atrasada",IF(E45-'Datos del viaje'!$B$18&lt;='Datos del viaje'!$B$15,"Pronto","Al día")))))</f>
        <v/>
      </c>
      <c r="H45" s="23" t="n"/>
      <c r="I45">
        <f>IF(B45="",0,IFERROR(INDEX('Datos del viaje'!$E$5:$E$16,MATCH(C45,'Datos del viaje'!$D$5:$D$16,0)),0))</f>
        <v/>
      </c>
      <c r="J45">
        <f>IF(OR(I45=0,F45="Hecho",E45=""),"",E45+ROW()/100000)</f>
        <v/>
      </c>
    </row>
    <row r="46">
      <c r="A46" s="21">
        <f>IF(D46="","",IF(D46&gt;=180,"6 meses o más antes",IF(D46&gt;=90,"3 a 6 meses antes",IF(D46&gt;=30,"1 a 3 meses antes",IF(D46&gt;=14,"2 a 4 semanas antes",IF(D46&gt;=7,"1 a 2 semanas antes",IF(D46&gt;=2,"Últimos días",IF(D46&gt;=1,"Día anterior",IF(D46&gt;=0,"Día de salida","Después del viaje")))))))))</f>
        <v/>
      </c>
      <c r="B46" s="22" t="inlineStr">
        <is>
          <t>Pedile a alguien que pase por tu casa cada tanto</t>
        </is>
      </c>
      <c r="C46" s="23" t="inlineStr">
        <is>
          <t>Viaje largo (8+ días)</t>
        </is>
      </c>
      <c r="D46" s="15" t="n">
        <v>10</v>
      </c>
      <c r="E46" s="13">
        <f>IF(OR(B46="",D46="",'Datos del viaje'!$B$11=""),"",'Datos del viaje'!$B$11-D46)</f>
        <v/>
      </c>
      <c r="F46" s="15" t="n"/>
      <c r="G46" s="24">
        <f>IF(I46=0,"",IF(F46="Hecho","Hecho",IF(E46="","",IF(E46&lt;'Datos del viaje'!$B$18,"Atrasada",IF(E46-'Datos del viaje'!$B$18&lt;='Datos del viaje'!$B$15,"Pronto","Al día")))))</f>
        <v/>
      </c>
      <c r="H46" s="23" t="n"/>
      <c r="I46">
        <f>IF(B46="",0,IFERROR(INDEX('Datos del viaje'!$E$5:$E$16,MATCH(C46,'Datos del viaje'!$D$5:$D$16,0)),0))</f>
        <v/>
      </c>
      <c r="J46">
        <f>IF(OR(I46=0,F46="Hecho",E46=""),"",E46+ROW()/100000)</f>
        <v/>
      </c>
    </row>
    <row r="47" ht="30" customHeight="1">
      <c r="A47" s="21">
        <f>IF(D47="","",IF(D47&gt;=180,"6 meses o más antes",IF(D47&gt;=90,"3 a 6 meses antes",IF(D47&gt;=30,"1 a 3 meses antes",IF(D47&gt;=14,"2 a 4 semanas antes",IF(D47&gt;=7,"1 a 2 semanas antes",IF(D47&gt;=2,"Últimos días",IF(D47&gt;=1,"Día anterior",IF(D47&gt;=0,"Día de salida","Después del viaje")))))))))</f>
        <v/>
      </c>
      <c r="B47" s="22" t="inlineStr">
        <is>
          <t>Hacé copias en papel y digitales de pasaportes, pasajes, seguro y reservas; compartilas con alguien de confianza</t>
        </is>
      </c>
      <c r="C47" s="23" t="inlineStr">
        <is>
          <t>Siempre</t>
        </is>
      </c>
      <c r="D47" s="15" t="n">
        <v>7</v>
      </c>
      <c r="E47" s="13">
        <f>IF(OR(B47="",D47="",'Datos del viaje'!$B$11=""),"",'Datos del viaje'!$B$11-D47)</f>
        <v/>
      </c>
      <c r="F47" s="15" t="n"/>
      <c r="G47" s="24">
        <f>IF(I47=0,"",IF(F47="Hecho","Hecho",IF(E47="","",IF(E47&lt;'Datos del viaje'!$B$18,"Atrasada",IF(E47-'Datos del viaje'!$B$18&lt;='Datos del viaje'!$B$15,"Pronto","Al día")))))</f>
        <v/>
      </c>
      <c r="H47" s="23" t="n"/>
      <c r="I47">
        <f>IF(B47="",0,IFERROR(INDEX('Datos del viaje'!$E$5:$E$16,MATCH(C47,'Datos del viaje'!$D$5:$D$16,0)),0))</f>
        <v/>
      </c>
      <c r="J47">
        <f>IF(OR(I47=0,F47="Hecho",E47=""),"",E47+ROW()/100000)</f>
        <v/>
      </c>
    </row>
    <row r="48">
      <c r="A48" s="21">
        <f>IF(D48="","",IF(D48&gt;=180,"6 meses o más antes",IF(D48&gt;=90,"3 a 6 meses antes",IF(D48&gt;=30,"1 a 3 meses antes",IF(D48&gt;=14,"2 a 4 semanas antes",IF(D48&gt;=7,"1 a 2 semanas antes",IF(D48&gt;=2,"Últimos días",IF(D48&gt;=1,"Día anterior",IF(D48&gt;=0,"Día de salida","Después del viaje")))))))))</f>
        <v/>
      </c>
      <c r="B48" s="22" t="inlineStr">
        <is>
          <t>Delegá tareas del trabajo y programá el mensaje de ausencia</t>
        </is>
      </c>
      <c r="C48" s="23" t="inlineStr">
        <is>
          <t>Siempre</t>
        </is>
      </c>
      <c r="D48" s="15" t="n">
        <v>7</v>
      </c>
      <c r="E48" s="13">
        <f>IF(OR(B48="",D48="",'Datos del viaje'!$B$11=""),"",'Datos del viaje'!$B$11-D48)</f>
        <v/>
      </c>
      <c r="F48" s="15" t="n"/>
      <c r="G48" s="24">
        <f>IF(I48=0,"",IF(F48="Hecho","Hecho",IF(E48="","",IF(E48&lt;'Datos del viaje'!$B$18,"Atrasada",IF(E48-'Datos del viaje'!$B$18&lt;='Datos del viaje'!$B$15,"Pronto","Al día")))))</f>
        <v/>
      </c>
      <c r="H48" s="23" t="n"/>
      <c r="I48">
        <f>IF(B48="",0,IFERROR(INDEX('Datos del viaje'!$E$5:$E$16,MATCH(C48,'Datos del viaje'!$D$5:$D$16,0)),0))</f>
        <v/>
      </c>
      <c r="J48">
        <f>IF(OR(I48=0,F48="Hecho",E48=""),"",E48+ROW()/100000)</f>
        <v/>
      </c>
    </row>
    <row r="49">
      <c r="A49" s="21">
        <f>IF(D49="","",IF(D49&gt;=180,"6 meses o más antes",IF(D49&gt;=90,"3 a 6 meses antes",IF(D49&gt;=30,"1 a 3 meses antes",IF(D49&gt;=14,"2 a 4 semanas antes",IF(D49&gt;=7,"1 a 2 semanas antes",IF(D49&gt;=2,"Últimos días",IF(D49&gt;=1,"Día anterior",IF(D49&gt;=0,"Día de salida","Después del viaje")))))))))</f>
        <v/>
      </c>
      <c r="B49" s="22" t="inlineStr">
        <is>
          <t>Volvé a revisar las alertas oficiales para viajeros del destino</t>
        </is>
      </c>
      <c r="C49" s="23" t="inlineStr">
        <is>
          <t>Exterior</t>
        </is>
      </c>
      <c r="D49" s="15" t="n">
        <v>7</v>
      </c>
      <c r="E49" s="13">
        <f>IF(OR(B49="",D49="",'Datos del viaje'!$B$11=""),"",'Datos del viaje'!$B$11-D49)</f>
        <v/>
      </c>
      <c r="F49" s="15" t="n"/>
      <c r="G49" s="24">
        <f>IF(I49=0,"",IF(F49="Hecho","Hecho",IF(E49="","",IF(E49&lt;'Datos del viaje'!$B$18,"Atrasada",IF(E49-'Datos del viaje'!$B$18&lt;='Datos del viaje'!$B$15,"Pronto","Al día")))))</f>
        <v/>
      </c>
      <c r="H49" s="23" t="n"/>
      <c r="I49">
        <f>IF(B49="",0,IFERROR(INDEX('Datos del viaje'!$E$5:$E$16,MATCH(C49,'Datos del viaje'!$D$5:$D$16,0)),0))</f>
        <v/>
      </c>
      <c r="J49">
        <f>IF(OR(I49=0,F49="Hecho",E49=""),"",E49+ROW()/100000)</f>
        <v/>
      </c>
    </row>
    <row r="50">
      <c r="A50" s="21">
        <f>IF(D50="","",IF(D50&gt;=180,"6 meses o más antes",IF(D50&gt;=90,"3 a 6 meses antes",IF(D50&gt;=30,"1 a 3 meses antes",IF(D50&gt;=14,"2 a 4 semanas antes",IF(D50&gt;=7,"1 a 2 semanas antes",IF(D50&gt;=2,"Últimos días",IF(D50&gt;=1,"Día anterior",IF(D50&gt;=0,"Día de salida","Después del viaje")))))))))</f>
        <v/>
      </c>
      <c r="B50" s="22" t="inlineStr">
        <is>
          <t>Descargá mapas sin conexión, pasajes, reservas y una app de traducción</t>
        </is>
      </c>
      <c r="C50" s="23" t="inlineStr">
        <is>
          <t>Siempre</t>
        </is>
      </c>
      <c r="D50" s="15" t="n">
        <v>5</v>
      </c>
      <c r="E50" s="13">
        <f>IF(OR(B50="",D50="",'Datos del viaje'!$B$11=""),"",'Datos del viaje'!$B$11-D50)</f>
        <v/>
      </c>
      <c r="F50" s="15" t="n"/>
      <c r="G50" s="24">
        <f>IF(I50=0,"",IF(F50="Hecho","Hecho",IF(E50="","",IF(E50&lt;'Datos del viaje'!$B$18,"Atrasada",IF(E50-'Datos del viaje'!$B$18&lt;='Datos del viaje'!$B$15,"Pronto","Al día")))))</f>
        <v/>
      </c>
      <c r="H50" s="23" t="n"/>
      <c r="I50">
        <f>IF(B50="",0,IFERROR(INDEX('Datos del viaje'!$E$5:$E$16,MATCH(C50,'Datos del viaje'!$D$5:$D$16,0)),0))</f>
        <v/>
      </c>
      <c r="J50">
        <f>IF(OR(I50=0,F50="Hecho",E50=""),"",E50+ROW()/100000)</f>
        <v/>
      </c>
    </row>
    <row r="51">
      <c r="A51" s="21">
        <f>IF(D51="","",IF(D51&gt;=180,"6 meses o más antes",IF(D51&gt;=90,"3 a 6 meses antes",IF(D51&gt;=30,"1 a 3 meses antes",IF(D51&gt;=14,"2 a 4 semanas antes",IF(D51&gt;=7,"1 a 2 semanas antes",IF(D51&gt;=2,"Últimos días",IF(D51&gt;=1,"Día anterior",IF(D51&gt;=0,"Día de salida","Después del viaje")))))))))</f>
        <v/>
      </c>
      <c r="B51" s="22" t="inlineStr">
        <is>
          <t>Compartí tu itinerario con un contacto de confianza</t>
        </is>
      </c>
      <c r="C51" s="23" t="inlineStr">
        <is>
          <t>Siempre</t>
        </is>
      </c>
      <c r="D51" s="15" t="n">
        <v>5</v>
      </c>
      <c r="E51" s="13">
        <f>IF(OR(B51="",D51="",'Datos del viaje'!$B$11=""),"",'Datos del viaje'!$B$11-D51)</f>
        <v/>
      </c>
      <c r="F51" s="15" t="n"/>
      <c r="G51" s="24">
        <f>IF(I51=0,"",IF(F51="Hecho","Hecho",IF(E51="","",IF(E51&lt;'Datos del viaje'!$B$18,"Atrasada",IF(E51-'Datos del viaje'!$B$18&lt;='Datos del viaje'!$B$15,"Pronto","Al día")))))</f>
        <v/>
      </c>
      <c r="H51" s="23" t="n"/>
      <c r="I51">
        <f>IF(B51="",0,IFERROR(INDEX('Datos del viaje'!$E$5:$E$16,MATCH(C51,'Datos del viaje'!$D$5:$D$16,0)),0))</f>
        <v/>
      </c>
      <c r="J51">
        <f>IF(OR(I51=0,F51="Hecho",E51=""),"",E51+ROW()/100000)</f>
        <v/>
      </c>
    </row>
    <row r="52">
      <c r="A52" s="21">
        <f>IF(D52="","",IF(D52&gt;=180,"6 meses o más antes",IF(D52&gt;=90,"3 a 6 meses antes",IF(D52&gt;=30,"1 a 3 meses antes",IF(D52&gt;=14,"2 a 4 semanas antes",IF(D52&gt;=7,"1 a 2 semanas antes",IF(D52&gt;=2,"Últimos días",IF(D52&gt;=1,"Día anterior",IF(D52&gt;=0,"Día de salida","Después del viaje")))))))))</f>
        <v/>
      </c>
      <c r="B52" s="22" t="inlineStr">
        <is>
          <t>Mirá el pronóstico del tiempo y ajustá lo que llevás</t>
        </is>
      </c>
      <c r="C52" s="23" t="inlineStr">
        <is>
          <t>Siempre</t>
        </is>
      </c>
      <c r="D52" s="15" t="n">
        <v>3</v>
      </c>
      <c r="E52" s="13">
        <f>IF(OR(B52="",D52="",'Datos del viaje'!$B$11=""),"",'Datos del viaje'!$B$11-D52)</f>
        <v/>
      </c>
      <c r="F52" s="15" t="n"/>
      <c r="G52" s="24">
        <f>IF(I52=0,"",IF(F52="Hecho","Hecho",IF(E52="","",IF(E52&lt;'Datos del viaje'!$B$18,"Atrasada",IF(E52-'Datos del viaje'!$B$18&lt;='Datos del viaje'!$B$15,"Pronto","Al día")))))</f>
        <v/>
      </c>
      <c r="H52" s="23" t="n"/>
      <c r="I52">
        <f>IF(B52="",0,IFERROR(INDEX('Datos del viaje'!$E$5:$E$16,MATCH(C52,'Datos del viaje'!$D$5:$D$16,0)),0))</f>
        <v/>
      </c>
      <c r="J52">
        <f>IF(OR(I52=0,F52="Hecho",E52=""),"",E52+ROW()/100000)</f>
        <v/>
      </c>
    </row>
    <row r="53">
      <c r="A53" s="21">
        <f>IF(D53="","",IF(D53&gt;=180,"6 meses o más antes",IF(D53&gt;=90,"3 a 6 meses antes",IF(D53&gt;=30,"1 a 3 meses antes",IF(D53&gt;=14,"2 a 4 semanas antes",IF(D53&gt;=7,"1 a 2 semanas antes",IF(D53&gt;=2,"Últimos días",IF(D53&gt;=1,"Día anterior",IF(D53&gt;=0,"Día de salida","Después del viaje")))))))))</f>
        <v/>
      </c>
      <c r="B53" s="22" t="inlineStr">
        <is>
          <t>Reconfirmá vuelos, hotel y traslados (los horarios cambian)</t>
        </is>
      </c>
      <c r="C53" s="23" t="inlineStr">
        <is>
          <t>Siempre</t>
        </is>
      </c>
      <c r="D53" s="15" t="n">
        <v>3</v>
      </c>
      <c r="E53" s="13">
        <f>IF(OR(B53="",D53="",'Datos del viaje'!$B$11=""),"",'Datos del viaje'!$B$11-D53)</f>
        <v/>
      </c>
      <c r="F53" s="15" t="n"/>
      <c r="G53" s="24">
        <f>IF(I53=0,"",IF(F53="Hecho","Hecho",IF(E53="","",IF(E53&lt;'Datos del viaje'!$B$18,"Atrasada",IF(E53-'Datos del viaje'!$B$18&lt;='Datos del viaje'!$B$15,"Pronto","Al día")))))</f>
        <v/>
      </c>
      <c r="H53" s="23" t="n"/>
      <c r="I53">
        <f>IF(B53="",0,IFERROR(INDEX('Datos del viaje'!$E$5:$E$16,MATCH(C53,'Datos del viaje'!$D$5:$D$16,0)),0))</f>
        <v/>
      </c>
      <c r="J53">
        <f>IF(OR(I53=0,F53="Hecho",E53=""),"",E53+ROW()/100000)</f>
        <v/>
      </c>
    </row>
    <row r="54">
      <c r="A54" s="21">
        <f>IF(D54="","",IF(D54&gt;=180,"6 meses o más antes",IF(D54&gt;=90,"3 a 6 meses antes",IF(D54&gt;=30,"1 a 3 meses antes",IF(D54&gt;=14,"2 a 4 semanas antes",IF(D54&gt;=7,"1 a 2 semanas antes",IF(D54&gt;=2,"Últimos días",IF(D54&gt;=1,"Día anterior",IF(D54&gt;=0,"Día de salida","Después del viaje")))))))))</f>
        <v/>
      </c>
      <c r="B54" s="22" t="inlineStr">
        <is>
          <t>Armá los líquidos dentro de los límites de la aerolínea y pesá las valijas</t>
        </is>
      </c>
      <c r="C54" s="23" t="inlineStr">
        <is>
          <t>Avión</t>
        </is>
      </c>
      <c r="D54" s="15" t="n">
        <v>3</v>
      </c>
      <c r="E54" s="13">
        <f>IF(OR(B54="",D54="",'Datos del viaje'!$B$11=""),"",'Datos del viaje'!$B$11-D54)</f>
        <v/>
      </c>
      <c r="F54" s="15" t="n"/>
      <c r="G54" s="24">
        <f>IF(I54=0,"",IF(F54="Hecho","Hecho",IF(E54="","",IF(E54&lt;'Datos del viaje'!$B$18,"Atrasada",IF(E54-'Datos del viaje'!$B$18&lt;='Datos del viaje'!$B$15,"Pronto","Al día")))))</f>
        <v/>
      </c>
      <c r="H54" s="23" t="n"/>
      <c r="I54">
        <f>IF(B54="",0,IFERROR(INDEX('Datos del viaje'!$E$5:$E$16,MATCH(C54,'Datos del viaje'!$D$5:$D$16,0)),0))</f>
        <v/>
      </c>
      <c r="J54">
        <f>IF(OR(I54=0,F54="Hecho",E54=""),"",E54+ROW()/100000)</f>
        <v/>
      </c>
    </row>
    <row r="55" ht="30" customHeight="1">
      <c r="A55" s="21">
        <f>IF(D55="","",IF(D55&gt;=180,"6 meses o más antes",IF(D55&gt;=90,"3 a 6 meses antes",IF(D55&gt;=30,"1 a 3 meses antes",IF(D55&gt;=14,"2 a 4 semanas antes",IF(D55&gt;=7,"1 a 2 semanas antes",IF(D55&gt;=2,"Últimos días",IF(D55&gt;=1,"Día anterior",IF(D55&gt;=0,"Día de salida","Después del viaje")))))))))</f>
        <v/>
      </c>
      <c r="B55" s="22" t="inlineStr">
        <is>
          <t>Armá el bolso de mano de los chicos: snacks, remedios, toallitas y el juguete preferido</t>
        </is>
      </c>
      <c r="C55" s="23" t="inlineStr">
        <is>
          <t>Con chicos</t>
        </is>
      </c>
      <c r="D55" s="15" t="n">
        <v>3</v>
      </c>
      <c r="E55" s="13">
        <f>IF(OR(B55="",D55="",'Datos del viaje'!$B$11=""),"",'Datos del viaje'!$B$11-D55)</f>
        <v/>
      </c>
      <c r="F55" s="15" t="n"/>
      <c r="G55" s="24">
        <f>IF(I55=0,"",IF(F55="Hecho","Hecho",IF(E55="","",IF(E55&lt;'Datos del viaje'!$B$18,"Atrasada",IF(E55-'Datos del viaje'!$B$18&lt;='Datos del viaje'!$B$15,"Pronto","Al día")))))</f>
        <v/>
      </c>
      <c r="H55" s="23" t="n"/>
      <c r="I55">
        <f>IF(B55="",0,IFERROR(INDEX('Datos del viaje'!$E$5:$E$16,MATCH(C55,'Datos del viaje'!$D$5:$D$16,0)),0))</f>
        <v/>
      </c>
      <c r="J55">
        <f>IF(OR(I55=0,F55="Hecho",E55=""),"",E55+ROW()/100000)</f>
        <v/>
      </c>
    </row>
    <row r="56" ht="30" customHeight="1">
      <c r="A56" s="21">
        <f>IF(D56="","",IF(D56&gt;=180,"6 meses o más antes",IF(D56&gt;=90,"3 a 6 meses antes",IF(D56&gt;=30,"1 a 3 meses antes",IF(D56&gt;=14,"2 a 4 semanas antes",IF(D56&gt;=7,"1 a 2 semanas antes",IF(D56&gt;=2,"Últimos días",IF(D56&gt;=1,"Día anterior",IF(D56&gt;=0,"Día de salida","Después del viaje")))))))))</f>
        <v/>
      </c>
      <c r="B56" s="22" t="inlineStr">
        <is>
          <t>Poné comida, platos, correa, bolsitas, medicación y los papeles del veterinario</t>
        </is>
      </c>
      <c r="C56" s="23" t="inlineStr">
        <is>
          <t>Mascotas</t>
        </is>
      </c>
      <c r="D56" s="15" t="n">
        <v>3</v>
      </c>
      <c r="E56" s="13">
        <f>IF(OR(B56="",D56="",'Datos del viaje'!$B$11=""),"",'Datos del viaje'!$B$11-D56)</f>
        <v/>
      </c>
      <c r="F56" s="15" t="n"/>
      <c r="G56" s="24">
        <f>IF(I56=0,"",IF(F56="Hecho","Hecho",IF(E56="","",IF(E56&lt;'Datos del viaje'!$B$18,"Atrasada",IF(E56-'Datos del viaje'!$B$18&lt;='Datos del viaje'!$B$15,"Pronto","Al día")))))</f>
        <v/>
      </c>
      <c r="H56" s="23" t="n"/>
      <c r="I56">
        <f>IF(B56="",0,IFERROR(INDEX('Datos del viaje'!$E$5:$E$16,MATCH(C56,'Datos del viaje'!$D$5:$D$16,0)),0))</f>
        <v/>
      </c>
      <c r="J56">
        <f>IF(OR(I56=0,F56="Hecho",E56=""),"",E56+ROW()/100000)</f>
        <v/>
      </c>
    </row>
    <row r="57" ht="30" customHeight="1">
      <c r="A57" s="21">
        <f>IF(D57="","",IF(D57&gt;=180,"6 meses o más antes",IF(D57&gt;=90,"3 a 6 meses antes",IF(D57&gt;=30,"1 a 3 meses antes",IF(D57&gt;=14,"2 a 4 semanas antes",IF(D57&gt;=7,"1 a 2 semanas antes",IF(D57&gt;=2,"Últimos días",IF(D57&gt;=1,"Día anterior",IF(D57&gt;=0,"Día de salida","Después del viaje")))))))))</f>
        <v/>
      </c>
      <c r="B57" s="22" t="inlineStr">
        <is>
          <t>Hacé el check-in online (suele abrir 24 a 48 horas antes: confirmalo con la aerolínea)</t>
        </is>
      </c>
      <c r="C57" s="23" t="inlineStr">
        <is>
          <t>Avión</t>
        </is>
      </c>
      <c r="D57" s="15" t="n">
        <v>2</v>
      </c>
      <c r="E57" s="13">
        <f>IF(OR(B57="",D57="",'Datos del viaje'!$B$11=""),"",'Datos del viaje'!$B$11-D57)</f>
        <v/>
      </c>
      <c r="F57" s="15" t="n"/>
      <c r="G57" s="24">
        <f>IF(I57=0,"",IF(F57="Hecho","Hecho",IF(E57="","",IF(E57&lt;'Datos del viaje'!$B$18,"Atrasada",IF(E57-'Datos del viaje'!$B$18&lt;='Datos del viaje'!$B$15,"Pronto","Al día")))))</f>
        <v/>
      </c>
      <c r="H57" s="23" t="n"/>
      <c r="I57">
        <f>IF(B57="",0,IFERROR(INDEX('Datos del viaje'!$E$5:$E$16,MATCH(C57,'Datos del viaje'!$D$5:$D$16,0)),0))</f>
        <v/>
      </c>
      <c r="J57">
        <f>IF(OR(I57=0,F57="Hecho",E57=""),"",E57+ROW()/100000)</f>
        <v/>
      </c>
    </row>
    <row r="58">
      <c r="A58" s="21">
        <f>IF(D58="","",IF(D58&gt;=180,"6 meses o más antes",IF(D58&gt;=90,"3 a 6 meses antes",IF(D58&gt;=30,"1 a 3 meses antes",IF(D58&gt;=14,"2 a 4 semanas antes",IF(D58&gt;=7,"1 a 2 semanas antes",IF(D58&gt;=2,"Últimos días",IF(D58&gt;=1,"Día anterior",IF(D58&gt;=0,"Día de salida","Después del viaje")))))))))</f>
        <v/>
      </c>
      <c r="B58" s="22" t="inlineStr">
        <is>
          <t>Cargá celulares y baterías externas; guardá pasajes y reservas sin conexión</t>
        </is>
      </c>
      <c r="C58" s="23" t="inlineStr">
        <is>
          <t>Siempre</t>
        </is>
      </c>
      <c r="D58" s="15" t="n">
        <v>1</v>
      </c>
      <c r="E58" s="13">
        <f>IF(OR(B58="",D58="",'Datos del viaje'!$B$11=""),"",'Datos del viaje'!$B$11-D58)</f>
        <v/>
      </c>
      <c r="F58" s="15" t="n"/>
      <c r="G58" s="24">
        <f>IF(I58=0,"",IF(F58="Hecho","Hecho",IF(E58="","",IF(E58&lt;'Datos del viaje'!$B$18,"Atrasada",IF(E58-'Datos del viaje'!$B$18&lt;='Datos del viaje'!$B$15,"Pronto","Al día")))))</f>
        <v/>
      </c>
      <c r="H58" s="23" t="n"/>
      <c r="I58">
        <f>IF(B58="",0,IFERROR(INDEX('Datos del viaje'!$E$5:$E$16,MATCH(C58,'Datos del viaje'!$D$5:$D$16,0)),0))</f>
        <v/>
      </c>
      <c r="J58">
        <f>IF(OR(I58=0,F58="Hecho",E58=""),"",E58+ROW()/100000)</f>
        <v/>
      </c>
    </row>
    <row r="59">
      <c r="A59" s="21">
        <f>IF(D59="","",IF(D59&gt;=180,"6 meses o más antes",IF(D59&gt;=90,"3 a 6 meses antes",IF(D59&gt;=30,"1 a 3 meses antes",IF(D59&gt;=14,"2 a 4 semanas antes",IF(D59&gt;=7,"1 a 2 semanas antes",IF(D59&gt;=2,"Últimos días",IF(D59&gt;=1,"Día anterior",IF(D59&gt;=0,"Día de salida","Después del viaje")))))))))</f>
        <v/>
      </c>
      <c r="B59" s="22" t="inlineStr">
        <is>
          <t>Vaciá la heladera, sacá la basura y desenchufá lo que puedas</t>
        </is>
      </c>
      <c r="C59" s="23" t="inlineStr">
        <is>
          <t>Siempre</t>
        </is>
      </c>
      <c r="D59" s="15" t="n">
        <v>1</v>
      </c>
      <c r="E59" s="13">
        <f>IF(OR(B59="",D59="",'Datos del viaje'!$B$11=""),"",'Datos del viaje'!$B$11-D59)</f>
        <v/>
      </c>
      <c r="F59" s="15" t="n"/>
      <c r="G59" s="24">
        <f>IF(I59=0,"",IF(F59="Hecho","Hecho",IF(E59="","",IF(E59&lt;'Datos del viaje'!$B$18,"Atrasada",IF(E59-'Datos del viaje'!$B$18&lt;='Datos del viaje'!$B$15,"Pronto","Al día")))))</f>
        <v/>
      </c>
      <c r="H59" s="23" t="n"/>
      <c r="I59">
        <f>IF(B59="",0,IFERROR(INDEX('Datos del viaje'!$E$5:$E$16,MATCH(C59,'Datos del viaje'!$D$5:$D$16,0)),0))</f>
        <v/>
      </c>
      <c r="J59">
        <f>IF(OR(I59=0,F59="Hecho",E59=""),"",E59+ROW()/100000)</f>
        <v/>
      </c>
    </row>
    <row r="60" ht="30" customHeight="1">
      <c r="A60" s="21">
        <f>IF(D60="","",IF(D60&gt;=180,"6 meses o más antes",IF(D60&gt;=90,"3 a 6 meses antes",IF(D60&gt;=30,"1 a 3 meses antes",IF(D60&gt;=14,"2 a 4 semanas antes",IF(D60&gt;=7,"1 a 2 semanas antes",IF(D60&gt;=2,"Últimos días",IF(D60&gt;=1,"Día anterior",IF(D60&gt;=0,"Día de salida","Después del viaje")))))))))</f>
        <v/>
      </c>
      <c r="B60" s="22" t="inlineStr">
        <is>
          <t>Cargá combustible, revisá la presión de los neumáticos y el tránsito en la ruta</t>
        </is>
      </c>
      <c r="C60" s="23" t="inlineStr">
        <is>
          <t>Auto</t>
        </is>
      </c>
      <c r="D60" s="15" t="n">
        <v>1</v>
      </c>
      <c r="E60" s="13">
        <f>IF(OR(B60="",D60="",'Datos del viaje'!$B$11=""),"",'Datos del viaje'!$B$11-D60)</f>
        <v/>
      </c>
      <c r="F60" s="15" t="n"/>
      <c r="G60" s="24">
        <f>IF(I60=0,"",IF(F60="Hecho","Hecho",IF(E60="","",IF(E60&lt;'Datos del viaje'!$B$18,"Atrasada",IF(E60-'Datos del viaje'!$B$18&lt;='Datos del viaje'!$B$15,"Pronto","Al día")))))</f>
        <v/>
      </c>
      <c r="H60" s="23" t="n"/>
      <c r="I60">
        <f>IF(B60="",0,IFERROR(INDEX('Datos del viaje'!$E$5:$E$16,MATCH(C60,'Datos del viaje'!$D$5:$D$16,0)),0))</f>
        <v/>
      </c>
      <c r="J60">
        <f>IF(OR(I60=0,F60="Hecho",E60=""),"",E60+ROW()/100000)</f>
        <v/>
      </c>
    </row>
    <row r="61" ht="30" customHeight="1">
      <c r="A61" s="21">
        <f>IF(D61="","",IF(D61&gt;=180,"6 meses o más antes",IF(D61&gt;=90,"3 a 6 meses antes",IF(D61&gt;=30,"1 a 3 meses antes",IF(D61&gt;=14,"2 a 4 semanas antes",IF(D61&gt;=7,"1 a 2 semanas antes",IF(D61&gt;=2,"Últimos días",IF(D61&gt;=1,"Día anterior",IF(D61&gt;=0,"Día de salida","Después del viaje")))))))))</f>
        <v/>
      </c>
      <c r="B61" s="22" t="inlineStr">
        <is>
          <t>Control final: documentos, billetera, celular, llaves, medicación, ventanas y puertas cerradas</t>
        </is>
      </c>
      <c r="C61" s="23" t="inlineStr">
        <is>
          <t>Siempre</t>
        </is>
      </c>
      <c r="D61" s="15" t="n">
        <v>0</v>
      </c>
      <c r="E61" s="13">
        <f>IF(OR(B61="",D61="",'Datos del viaje'!$B$11=""),"",'Datos del viaje'!$B$11-D61)</f>
        <v/>
      </c>
      <c r="F61" s="15" t="n"/>
      <c r="G61" s="24">
        <f>IF(I61=0,"",IF(F61="Hecho","Hecho",IF(E61="","",IF(E61&lt;'Datos del viaje'!$B$18,"Atrasada",IF(E61-'Datos del viaje'!$B$18&lt;='Datos del viaje'!$B$15,"Pronto","Al día")))))</f>
        <v/>
      </c>
      <c r="H61" s="23" t="n"/>
      <c r="I61">
        <f>IF(B61="",0,IFERROR(INDEX('Datos del viaje'!$E$5:$E$16,MATCH(C61,'Datos del viaje'!$D$5:$D$16,0)),0))</f>
        <v/>
      </c>
      <c r="J61">
        <f>IF(OR(I61=0,F61="Hecho",E61=""),"",E61+ROW()/100000)</f>
        <v/>
      </c>
    </row>
    <row r="62">
      <c r="A62" s="21">
        <f>IF(D62="","",IF(D62&gt;=180,"6 meses o más antes",IF(D62&gt;=90,"3 a 6 meses antes",IF(D62&gt;=30,"1 a 3 meses antes",IF(D62&gt;=14,"2 a 4 semanas antes",IF(D62&gt;=7,"1 a 2 semanas antes",IF(D62&gt;=2,"Últimos días",IF(D62&gt;=1,"Día anterior",IF(D62&gt;=0,"Día de salida","Después del viaje")))))))))</f>
        <v/>
      </c>
      <c r="B62" s="22" t="inlineStr">
        <is>
          <t>Salí para el aeropuerto con el margen que recomienda la aerolínea</t>
        </is>
      </c>
      <c r="C62" s="23" t="inlineStr">
        <is>
          <t>Avión</t>
        </is>
      </c>
      <c r="D62" s="15" t="n">
        <v>0</v>
      </c>
      <c r="E62" s="13">
        <f>IF(OR(B62="",D62="",'Datos del viaje'!$B$11=""),"",'Datos del viaje'!$B$11-D62)</f>
        <v/>
      </c>
      <c r="F62" s="15" t="n"/>
      <c r="G62" s="24">
        <f>IF(I62=0,"",IF(F62="Hecho","Hecho",IF(E62="","",IF(E62&lt;'Datos del viaje'!$B$18,"Atrasada",IF(E62-'Datos del viaje'!$B$18&lt;='Datos del viaje'!$B$15,"Pronto","Al día")))))</f>
        <v/>
      </c>
      <c r="H62" s="23" t="n"/>
      <c r="I62">
        <f>IF(B62="",0,IFERROR(INDEX('Datos del viaje'!$E$5:$E$16,MATCH(C62,'Datos del viaje'!$D$5:$D$16,0)),0))</f>
        <v/>
      </c>
      <c r="J62">
        <f>IF(OR(I62=0,F62="Hecho",E62=""),"",E62+ROW()/100000)</f>
        <v/>
      </c>
    </row>
    <row r="63">
      <c r="A63" s="21">
        <f>IF(D63="","",IF(D63&gt;=180,"6 meses o más antes",IF(D63&gt;=90,"3 a 6 meses antes",IF(D63&gt;=30,"1 a 3 meses antes",IF(D63&gt;=14,"2 a 4 semanas antes",IF(D63&gt;=7,"1 a 2 semanas antes",IF(D63&gt;=2,"Últimos días",IF(D63&gt;=1,"Día anterior",IF(D63&gt;=0,"Día de salida","Después del viaje")))))))))</f>
        <v/>
      </c>
      <c r="B63" s="22" t="inlineStr">
        <is>
          <t>Llegá temprano a la terminal</t>
        </is>
      </c>
      <c r="C63" s="23" t="inlineStr">
        <is>
          <t>Tren o micro</t>
        </is>
      </c>
      <c r="D63" s="15" t="n">
        <v>0</v>
      </c>
      <c r="E63" s="13">
        <f>IF(OR(B63="",D63="",'Datos del viaje'!$B$11=""),"",'Datos del viaje'!$B$11-D63)</f>
        <v/>
      </c>
      <c r="F63" s="15" t="n"/>
      <c r="G63" s="24">
        <f>IF(I63=0,"",IF(F63="Hecho","Hecho",IF(E63="","",IF(E63&lt;'Datos del viaje'!$B$18,"Atrasada",IF(E63-'Datos del viaje'!$B$18&lt;='Datos del viaje'!$B$15,"Pronto","Al día")))))</f>
        <v/>
      </c>
      <c r="H63" s="23" t="n"/>
      <c r="I63">
        <f>IF(B63="",0,IFERROR(INDEX('Datos del viaje'!$E$5:$E$16,MATCH(C63,'Datos del viaje'!$D$5:$D$16,0)),0))</f>
        <v/>
      </c>
      <c r="J63">
        <f>IF(OR(I63=0,F63="Hecho",E63=""),"",E63+ROW()/100000)</f>
        <v/>
      </c>
    </row>
    <row r="64">
      <c r="A64" s="21">
        <f>IF(D64="","",IF(D64&gt;=180,"6 meses o más antes",IF(D64&gt;=90,"3 a 6 meses antes",IF(D64&gt;=30,"1 a 3 meses antes",IF(D64&gt;=14,"2 a 4 semanas antes",IF(D64&gt;=7,"1 a 2 semanas antes",IF(D64&gt;=2,"Últimos días",IF(D64&gt;=1,"Día anterior",IF(D64&gt;=0,"Día de salida","Después del viaje")))))))))</f>
        <v/>
      </c>
      <c r="B64" s="22" t="inlineStr">
        <is>
          <t>Dale de comer y paseá a la mascota antes de salir</t>
        </is>
      </c>
      <c r="C64" s="23" t="inlineStr">
        <is>
          <t>Mascotas</t>
        </is>
      </c>
      <c r="D64" s="15" t="n">
        <v>0</v>
      </c>
      <c r="E64" s="13">
        <f>IF(OR(B64="",D64="",'Datos del viaje'!$B$11=""),"",'Datos del viaje'!$B$11-D64)</f>
        <v/>
      </c>
      <c r="F64" s="15" t="n"/>
      <c r="G64" s="24">
        <f>IF(I64=0,"",IF(F64="Hecho","Hecho",IF(E64="","",IF(E64&lt;'Datos del viaje'!$B$18,"Atrasada",IF(E64-'Datos del viaje'!$B$18&lt;='Datos del viaje'!$B$15,"Pronto","Al día")))))</f>
        <v/>
      </c>
      <c r="H64" s="23" t="n"/>
      <c r="I64">
        <f>IF(B64="",0,IFERROR(INDEX('Datos del viaje'!$E$5:$E$16,MATCH(C64,'Datos del viaje'!$D$5:$D$16,0)),0))</f>
        <v/>
      </c>
      <c r="J64">
        <f>IF(OR(I64=0,F64="Hecho",E64=""),"",E64+ROW()/100000)</f>
        <v/>
      </c>
    </row>
    <row r="65">
      <c r="A65" s="21">
        <f>IF(D65="","",IF(D65&gt;=180,"6 meses o más antes",IF(D65&gt;=90,"3 a 6 meses antes",IF(D65&gt;=30,"1 a 3 meses antes",IF(D65&gt;=14,"2 a 4 semanas antes",IF(D65&gt;=7,"1 a 2 semanas antes",IF(D65&gt;=2,"Últimos días",IF(D65&gt;=1,"Día anterior",IF(D65&gt;=0,"Día de salida","Después del viaje")))))))))</f>
        <v/>
      </c>
      <c r="B65" s="22" t="inlineStr">
        <is>
          <t>Desarmá las valijas, lavá la ropa y reponé la heladera</t>
        </is>
      </c>
      <c r="C65" s="23" t="inlineStr">
        <is>
          <t>Siempre</t>
        </is>
      </c>
      <c r="D65" s="15" t="n">
        <v>-1</v>
      </c>
      <c r="E65" s="13">
        <f>IF(OR(B65="",D65="",'Datos del viaje'!$B$11=""),"",'Datos del viaje'!$B$11-D65)</f>
        <v/>
      </c>
      <c r="F65" s="15" t="n"/>
      <c r="G65" s="24">
        <f>IF(I65=0,"",IF(F65="Hecho","Hecho",IF(E65="","",IF(E65&lt;'Datos del viaje'!$B$18,"Atrasada",IF(E65-'Datos del viaje'!$B$18&lt;='Datos del viaje'!$B$15,"Pronto","Al día")))))</f>
        <v/>
      </c>
      <c r="H65" s="23" t="n"/>
      <c r="I65">
        <f>IF(B65="",0,IFERROR(INDEX('Datos del viaje'!$E$5:$E$16,MATCH(C65,'Datos del viaje'!$D$5:$D$16,0)),0))</f>
        <v/>
      </c>
      <c r="J65">
        <f>IF(OR(I65=0,F65="Hecho",E65=""),"",E65+ROW()/100000)</f>
        <v/>
      </c>
    </row>
    <row r="66">
      <c r="A66" s="21">
        <f>IF(D66="","",IF(D66&gt;=180,"6 meses o más antes",IF(D66&gt;=90,"3 a 6 meses antes",IF(D66&gt;=30,"1 a 3 meses antes",IF(D66&gt;=14,"2 a 4 semanas antes",IF(D66&gt;=7,"1 a 2 semanas antes",IF(D66&gt;=2,"Últimos días",IF(D66&gt;=1,"Día anterior",IF(D66&gt;=0,"Día de salida","Después del viaje")))))))))</f>
        <v/>
      </c>
      <c r="B66" s="22" t="inlineStr">
        <is>
          <t>Cargá los últimos gastos y compará con tu presupuesto</t>
        </is>
      </c>
      <c r="C66" s="23" t="inlineStr">
        <is>
          <t>Siempre</t>
        </is>
      </c>
      <c r="D66" s="15" t="n">
        <v>-2</v>
      </c>
      <c r="E66" s="13">
        <f>IF(OR(B66="",D66="",'Datos del viaje'!$B$11=""),"",'Datos del viaje'!$B$11-D66)</f>
        <v/>
      </c>
      <c r="F66" s="15" t="n"/>
      <c r="G66" s="24">
        <f>IF(I66=0,"",IF(F66="Hecho","Hecho",IF(E66="","",IF(E66&lt;'Datos del viaje'!$B$18,"Atrasada",IF(E66-'Datos del viaje'!$B$18&lt;='Datos del viaje'!$B$15,"Pronto","Al día")))))</f>
        <v/>
      </c>
      <c r="H66" s="23" t="n"/>
      <c r="I66">
        <f>IF(B66="",0,IFERROR(INDEX('Datos del viaje'!$E$5:$E$16,MATCH(C66,'Datos del viaje'!$D$5:$D$16,0)),0))</f>
        <v/>
      </c>
      <c r="J66">
        <f>IF(OR(I66=0,F66="Hecho",E66=""),"",E66+ROW()/100000)</f>
        <v/>
      </c>
    </row>
    <row r="67">
      <c r="A67" s="21">
        <f>IF(D67="","",IF(D67&gt;=180,"6 meses o más antes",IF(D67&gt;=90,"3 a 6 meses antes",IF(D67&gt;=30,"1 a 3 meses antes",IF(D67&gt;=14,"2 a 4 semanas antes",IF(D67&gt;=7,"1 a 2 semanas antes",IF(D67&gt;=2,"Últimos días",IF(D67&gt;=1,"Día anterior",IF(D67&gt;=0,"Día de salida","Después del viaje")))))))))</f>
        <v/>
      </c>
      <c r="B67" s="22" t="inlineStr">
        <is>
          <t>Hacé copia de seguridad de las fotos y videos</t>
        </is>
      </c>
      <c r="C67" s="23" t="inlineStr">
        <is>
          <t>Siempre</t>
        </is>
      </c>
      <c r="D67" s="15" t="n">
        <v>-3</v>
      </c>
      <c r="E67" s="13">
        <f>IF(OR(B67="",D67="",'Datos del viaje'!$B$11=""),"",'Datos del viaje'!$B$11-D67)</f>
        <v/>
      </c>
      <c r="F67" s="15" t="n"/>
      <c r="G67" s="24">
        <f>IF(I67=0,"",IF(F67="Hecho","Hecho",IF(E67="","",IF(E67&lt;'Datos del viaje'!$B$18,"Atrasada",IF(E67-'Datos del viaje'!$B$18&lt;='Datos del viaje'!$B$15,"Pronto","Al día")))))</f>
        <v/>
      </c>
      <c r="H67" s="23" t="n"/>
      <c r="I67">
        <f>IF(B67="",0,IFERROR(INDEX('Datos del viaje'!$E$5:$E$16,MATCH(C67,'Datos del viaje'!$D$5:$D$16,0)),0))</f>
        <v/>
      </c>
      <c r="J67">
        <f>IF(OR(I67=0,F67="Hecho",E67=""),"",E67+ROW()/100000)</f>
        <v/>
      </c>
    </row>
    <row r="68">
      <c r="A68" s="21">
        <f>IF(D68="","",IF(D68&gt;=180,"6 meses o más antes",IF(D68&gt;=90,"3 a 6 meses antes",IF(D68&gt;=30,"1 a 3 meses antes",IF(D68&gt;=14,"2 a 4 semanas antes",IF(D68&gt;=7,"1 a 2 semanas antes",IF(D68&gt;=2,"Últimos días",IF(D68&gt;=1,"Día anterior",IF(D68&gt;=0,"Día de salida","Después del viaje")))))))))</f>
        <v/>
      </c>
      <c r="B68" s="22" t="inlineStr">
        <is>
          <t>Presentá el reclamo al seguro, si corresponde, con tus comprobantes</t>
        </is>
      </c>
      <c r="C68" s="23" t="inlineStr">
        <is>
          <t>Exterior</t>
        </is>
      </c>
      <c r="D68" s="15" t="n">
        <v>-7</v>
      </c>
      <c r="E68" s="13">
        <f>IF(OR(B68="",D68="",'Datos del viaje'!$B$11=""),"",'Datos del viaje'!$B$11-D68)</f>
        <v/>
      </c>
      <c r="F68" s="15" t="n"/>
      <c r="G68" s="24">
        <f>IF(I68=0,"",IF(F68="Hecho","Hecho",IF(E68="","",IF(E68&lt;'Datos del viaje'!$B$18,"Atrasada",IF(E68-'Datos del viaje'!$B$18&lt;='Datos del viaje'!$B$15,"Pronto","Al día")))))</f>
        <v/>
      </c>
      <c r="H68" s="23" t="n"/>
      <c r="I68">
        <f>IF(B68="",0,IFERROR(INDEX('Datos del viaje'!$E$5:$E$16,MATCH(C68,'Datos del viaje'!$D$5:$D$16,0)),0))</f>
        <v/>
      </c>
      <c r="J68">
        <f>IF(OR(I68=0,F68="Hecho",E68=""),"",E68+ROW()/100000)</f>
        <v/>
      </c>
    </row>
    <row r="69">
      <c r="A69" s="21">
        <f>IF(D69="","",IF(D69&gt;=180,"6 meses o más antes",IF(D69&gt;=90,"3 a 6 meses antes",IF(D69&gt;=30,"1 a 3 meses antes",IF(D69&gt;=14,"2 a 4 semanas antes",IF(D69&gt;=7,"1 a 2 semanas antes",IF(D69&gt;=2,"Últimos días",IF(D69&gt;=1,"Día anterior",IF(D69&gt;=0,"Día de salida","Después del viaje")))))))))</f>
        <v/>
      </c>
      <c r="B69" s="22" t="n"/>
      <c r="C69" s="23" t="n"/>
      <c r="D69" s="15" t="n"/>
      <c r="E69" s="13">
        <f>IF(OR(B69="",D69="",'Datos del viaje'!$B$11=""),"",'Datos del viaje'!$B$11-D69)</f>
        <v/>
      </c>
      <c r="F69" s="15" t="n"/>
      <c r="G69" s="24">
        <f>IF(I69=0,"",IF(F69="Hecho","Hecho",IF(E69="","",IF(E69&lt;'Datos del viaje'!$B$18,"Atrasada",IF(E69-'Datos del viaje'!$B$18&lt;='Datos del viaje'!$B$15,"Pronto","Al día")))))</f>
        <v/>
      </c>
      <c r="H69" s="23" t="n"/>
      <c r="I69">
        <f>IF(B69="",0,IFERROR(INDEX('Datos del viaje'!$E$5:$E$16,MATCH(C69,'Datos del viaje'!$D$5:$D$16,0)),0))</f>
        <v/>
      </c>
      <c r="J69">
        <f>IF(OR(I69=0,F69="Hecho",E69=""),"",E69+ROW()/100000)</f>
        <v/>
      </c>
    </row>
    <row r="70">
      <c r="A70" s="21">
        <f>IF(D70="","",IF(D70&gt;=180,"6 meses o más antes",IF(D70&gt;=90,"3 a 6 meses antes",IF(D70&gt;=30,"1 a 3 meses antes",IF(D70&gt;=14,"2 a 4 semanas antes",IF(D70&gt;=7,"1 a 2 semanas antes",IF(D70&gt;=2,"Últimos días",IF(D70&gt;=1,"Día anterior",IF(D70&gt;=0,"Día de salida","Después del viaje")))))))))</f>
        <v/>
      </c>
      <c r="B70" s="22" t="n"/>
      <c r="C70" s="23" t="n"/>
      <c r="D70" s="15" t="n"/>
      <c r="E70" s="13">
        <f>IF(OR(B70="",D70="",'Datos del viaje'!$B$11=""),"",'Datos del viaje'!$B$11-D70)</f>
        <v/>
      </c>
      <c r="F70" s="15" t="n"/>
      <c r="G70" s="24">
        <f>IF(I70=0,"",IF(F70="Hecho","Hecho",IF(E70="","",IF(E70&lt;'Datos del viaje'!$B$18,"Atrasada",IF(E70-'Datos del viaje'!$B$18&lt;='Datos del viaje'!$B$15,"Pronto","Al día")))))</f>
        <v/>
      </c>
      <c r="H70" s="23" t="n"/>
      <c r="I70">
        <f>IF(B70="",0,IFERROR(INDEX('Datos del viaje'!$E$5:$E$16,MATCH(C70,'Datos del viaje'!$D$5:$D$16,0)),0))</f>
        <v/>
      </c>
      <c r="J70">
        <f>IF(OR(I70=0,F70="Hecho",E70=""),"",E70+ROW()/100000)</f>
        <v/>
      </c>
    </row>
    <row r="71">
      <c r="A71" s="21">
        <f>IF(D71="","",IF(D71&gt;=180,"6 meses o más antes",IF(D71&gt;=90,"3 a 6 meses antes",IF(D71&gt;=30,"1 a 3 meses antes",IF(D71&gt;=14,"2 a 4 semanas antes",IF(D71&gt;=7,"1 a 2 semanas antes",IF(D71&gt;=2,"Últimos días",IF(D71&gt;=1,"Día anterior",IF(D71&gt;=0,"Día de salida","Después del viaje")))))))))</f>
        <v/>
      </c>
      <c r="B71" s="22" t="n"/>
      <c r="C71" s="23" t="n"/>
      <c r="D71" s="15" t="n"/>
      <c r="E71" s="13">
        <f>IF(OR(B71="",D71="",'Datos del viaje'!$B$11=""),"",'Datos del viaje'!$B$11-D71)</f>
        <v/>
      </c>
      <c r="F71" s="15" t="n"/>
      <c r="G71" s="24">
        <f>IF(I71=0,"",IF(F71="Hecho","Hecho",IF(E71="","",IF(E71&lt;'Datos del viaje'!$B$18,"Atrasada",IF(E71-'Datos del viaje'!$B$18&lt;='Datos del viaje'!$B$15,"Pronto","Al día")))))</f>
        <v/>
      </c>
      <c r="H71" s="23" t="n"/>
      <c r="I71">
        <f>IF(B71="",0,IFERROR(INDEX('Datos del viaje'!$E$5:$E$16,MATCH(C71,'Datos del viaje'!$D$5:$D$16,0)),0))</f>
        <v/>
      </c>
      <c r="J71">
        <f>IF(OR(I71=0,F71="Hecho",E71=""),"",E71+ROW()/100000)</f>
        <v/>
      </c>
    </row>
    <row r="72">
      <c r="A72" s="21">
        <f>IF(D72="","",IF(D72&gt;=180,"6 meses o más antes",IF(D72&gt;=90,"3 a 6 meses antes",IF(D72&gt;=30,"1 a 3 meses antes",IF(D72&gt;=14,"2 a 4 semanas antes",IF(D72&gt;=7,"1 a 2 semanas antes",IF(D72&gt;=2,"Últimos días",IF(D72&gt;=1,"Día anterior",IF(D72&gt;=0,"Día de salida","Después del viaje")))))))))</f>
        <v/>
      </c>
      <c r="B72" s="22" t="n"/>
      <c r="C72" s="23" t="n"/>
      <c r="D72" s="15" t="n"/>
      <c r="E72" s="13">
        <f>IF(OR(B72="",D72="",'Datos del viaje'!$B$11=""),"",'Datos del viaje'!$B$11-D72)</f>
        <v/>
      </c>
      <c r="F72" s="15" t="n"/>
      <c r="G72" s="24">
        <f>IF(I72=0,"",IF(F72="Hecho","Hecho",IF(E72="","",IF(E72&lt;'Datos del viaje'!$B$18,"Atrasada",IF(E72-'Datos del viaje'!$B$18&lt;='Datos del viaje'!$B$15,"Pronto","Al día")))))</f>
        <v/>
      </c>
      <c r="H72" s="23" t="n"/>
      <c r="I72">
        <f>IF(B72="",0,IFERROR(INDEX('Datos del viaje'!$E$5:$E$16,MATCH(C72,'Datos del viaje'!$D$5:$D$16,0)),0))</f>
        <v/>
      </c>
      <c r="J72">
        <f>IF(OR(I72=0,F72="Hecho",E72=""),"",E72+ROW()/100000)</f>
        <v/>
      </c>
    </row>
    <row r="73">
      <c r="A73" s="21">
        <f>IF(D73="","",IF(D73&gt;=180,"6 meses o más antes",IF(D73&gt;=90,"3 a 6 meses antes",IF(D73&gt;=30,"1 a 3 meses antes",IF(D73&gt;=14,"2 a 4 semanas antes",IF(D73&gt;=7,"1 a 2 semanas antes",IF(D73&gt;=2,"Últimos días",IF(D73&gt;=1,"Día anterior",IF(D73&gt;=0,"Día de salida","Después del viaje")))))))))</f>
        <v/>
      </c>
      <c r="B73" s="22" t="n"/>
      <c r="C73" s="23" t="n"/>
      <c r="D73" s="15" t="n"/>
      <c r="E73" s="13">
        <f>IF(OR(B73="",D73="",'Datos del viaje'!$B$11=""),"",'Datos del viaje'!$B$11-D73)</f>
        <v/>
      </c>
      <c r="F73" s="15" t="n"/>
      <c r="G73" s="24">
        <f>IF(I73=0,"",IF(F73="Hecho","Hecho",IF(E73="","",IF(E73&lt;'Datos del viaje'!$B$18,"Atrasada",IF(E73-'Datos del viaje'!$B$18&lt;='Datos del viaje'!$B$15,"Pronto","Al día")))))</f>
        <v/>
      </c>
      <c r="H73" s="23" t="n"/>
      <c r="I73">
        <f>IF(B73="",0,IFERROR(INDEX('Datos del viaje'!$E$5:$E$16,MATCH(C73,'Datos del viaje'!$D$5:$D$16,0)),0))</f>
        <v/>
      </c>
      <c r="J73">
        <f>IF(OR(I73=0,F73="Hecho",E73=""),"",E73+ROW()/100000)</f>
        <v/>
      </c>
    </row>
    <row r="74">
      <c r="A74" s="21">
        <f>IF(D74="","",IF(D74&gt;=180,"6 meses o más antes",IF(D74&gt;=90,"3 a 6 meses antes",IF(D74&gt;=30,"1 a 3 meses antes",IF(D74&gt;=14,"2 a 4 semanas antes",IF(D74&gt;=7,"1 a 2 semanas antes",IF(D74&gt;=2,"Últimos días",IF(D74&gt;=1,"Día anterior",IF(D74&gt;=0,"Día de salida","Después del viaje")))))))))</f>
        <v/>
      </c>
      <c r="B74" s="22" t="n"/>
      <c r="C74" s="23" t="n"/>
      <c r="D74" s="15" t="n"/>
      <c r="E74" s="13">
        <f>IF(OR(B74="",D74="",'Datos del viaje'!$B$11=""),"",'Datos del viaje'!$B$11-D74)</f>
        <v/>
      </c>
      <c r="F74" s="15" t="n"/>
      <c r="G74" s="24">
        <f>IF(I74=0,"",IF(F74="Hecho","Hecho",IF(E74="","",IF(E74&lt;'Datos del viaje'!$B$18,"Atrasada",IF(E74-'Datos del viaje'!$B$18&lt;='Datos del viaje'!$B$15,"Pronto","Al día")))))</f>
        <v/>
      </c>
      <c r="H74" s="23" t="n"/>
      <c r="I74">
        <f>IF(B74="",0,IFERROR(INDEX('Datos del viaje'!$E$5:$E$16,MATCH(C74,'Datos del viaje'!$D$5:$D$16,0)),0))</f>
        <v/>
      </c>
      <c r="J74">
        <f>IF(OR(I74=0,F74="Hecho",E74=""),"",E74+ROW()/100000)</f>
        <v/>
      </c>
    </row>
    <row r="75">
      <c r="A75" s="21">
        <f>IF(D75="","",IF(D75&gt;=180,"6 meses o más antes",IF(D75&gt;=90,"3 a 6 meses antes",IF(D75&gt;=30,"1 a 3 meses antes",IF(D75&gt;=14,"2 a 4 semanas antes",IF(D75&gt;=7,"1 a 2 semanas antes",IF(D75&gt;=2,"Últimos días",IF(D75&gt;=1,"Día anterior",IF(D75&gt;=0,"Día de salida","Después del viaje")))))))))</f>
        <v/>
      </c>
      <c r="B75" s="22" t="n"/>
      <c r="C75" s="23" t="n"/>
      <c r="D75" s="15" t="n"/>
      <c r="E75" s="13">
        <f>IF(OR(B75="",D75="",'Datos del viaje'!$B$11=""),"",'Datos del viaje'!$B$11-D75)</f>
        <v/>
      </c>
      <c r="F75" s="15" t="n"/>
      <c r="G75" s="24">
        <f>IF(I75=0,"",IF(F75="Hecho","Hecho",IF(E75="","",IF(E75&lt;'Datos del viaje'!$B$18,"Atrasada",IF(E75-'Datos del viaje'!$B$18&lt;='Datos del viaje'!$B$15,"Pronto","Al día")))))</f>
        <v/>
      </c>
      <c r="H75" s="23" t="n"/>
      <c r="I75">
        <f>IF(B75="",0,IFERROR(INDEX('Datos del viaje'!$E$5:$E$16,MATCH(C75,'Datos del viaje'!$D$5:$D$16,0)),0))</f>
        <v/>
      </c>
      <c r="J75">
        <f>IF(OR(I75=0,F75="Hecho",E75=""),"",E75+ROW()/100000)</f>
        <v/>
      </c>
    </row>
    <row r="76">
      <c r="A76" s="21">
        <f>IF(D76="","",IF(D76&gt;=180,"6 meses o más antes",IF(D76&gt;=90,"3 a 6 meses antes",IF(D76&gt;=30,"1 a 3 meses antes",IF(D76&gt;=14,"2 a 4 semanas antes",IF(D76&gt;=7,"1 a 2 semanas antes",IF(D76&gt;=2,"Últimos días",IF(D76&gt;=1,"Día anterior",IF(D76&gt;=0,"Día de salida","Después del viaje")))))))))</f>
        <v/>
      </c>
      <c r="B76" s="22" t="n"/>
      <c r="C76" s="23" t="n"/>
      <c r="D76" s="15" t="n"/>
      <c r="E76" s="13">
        <f>IF(OR(B76="",D76="",'Datos del viaje'!$B$11=""),"",'Datos del viaje'!$B$11-D76)</f>
        <v/>
      </c>
      <c r="F76" s="15" t="n"/>
      <c r="G76" s="24">
        <f>IF(I76=0,"",IF(F76="Hecho","Hecho",IF(E76="","",IF(E76&lt;'Datos del viaje'!$B$18,"Atrasada",IF(E76-'Datos del viaje'!$B$18&lt;='Datos del viaje'!$B$15,"Pronto","Al día")))))</f>
        <v/>
      </c>
      <c r="H76" s="23" t="n"/>
      <c r="I76">
        <f>IF(B76="",0,IFERROR(INDEX('Datos del viaje'!$E$5:$E$16,MATCH(C76,'Datos del viaje'!$D$5:$D$16,0)),0))</f>
        <v/>
      </c>
      <c r="J76">
        <f>IF(OR(I76=0,F76="Hecho",E76=""),"",E76+ROW()/100000)</f>
        <v/>
      </c>
    </row>
    <row r="77">
      <c r="A77" s="21">
        <f>IF(D77="","",IF(D77&gt;=180,"6 meses o más antes",IF(D77&gt;=90,"3 a 6 meses antes",IF(D77&gt;=30,"1 a 3 meses antes",IF(D77&gt;=14,"2 a 4 semanas antes",IF(D77&gt;=7,"1 a 2 semanas antes",IF(D77&gt;=2,"Últimos días",IF(D77&gt;=1,"Día anterior",IF(D77&gt;=0,"Día de salida","Después del viaje")))))))))</f>
        <v/>
      </c>
      <c r="B77" s="22" t="n"/>
      <c r="C77" s="23" t="n"/>
      <c r="D77" s="15" t="n"/>
      <c r="E77" s="13">
        <f>IF(OR(B77="",D77="",'Datos del viaje'!$B$11=""),"",'Datos del viaje'!$B$11-D77)</f>
        <v/>
      </c>
      <c r="F77" s="15" t="n"/>
      <c r="G77" s="24">
        <f>IF(I77=0,"",IF(F77="Hecho","Hecho",IF(E77="","",IF(E77&lt;'Datos del viaje'!$B$18,"Atrasada",IF(E77-'Datos del viaje'!$B$18&lt;='Datos del viaje'!$B$15,"Pronto","Al día")))))</f>
        <v/>
      </c>
      <c r="H77" s="23" t="n"/>
      <c r="I77">
        <f>IF(B77="",0,IFERROR(INDEX('Datos del viaje'!$E$5:$E$16,MATCH(C77,'Datos del viaje'!$D$5:$D$16,0)),0))</f>
        <v/>
      </c>
      <c r="J77">
        <f>IF(OR(I77=0,F77="Hecho",E77=""),"",E77+ROW()/100000)</f>
        <v/>
      </c>
    </row>
    <row r="78">
      <c r="A78" s="21">
        <f>IF(D78="","",IF(D78&gt;=180,"6 meses o más antes",IF(D78&gt;=90,"3 a 6 meses antes",IF(D78&gt;=30,"1 a 3 meses antes",IF(D78&gt;=14,"2 a 4 semanas antes",IF(D78&gt;=7,"1 a 2 semanas antes",IF(D78&gt;=2,"Últimos días",IF(D78&gt;=1,"Día anterior",IF(D78&gt;=0,"Día de salida","Después del viaje")))))))))</f>
        <v/>
      </c>
      <c r="B78" s="22" t="n"/>
      <c r="C78" s="23" t="n"/>
      <c r="D78" s="15" t="n"/>
      <c r="E78" s="13">
        <f>IF(OR(B78="",D78="",'Datos del viaje'!$B$11=""),"",'Datos del viaje'!$B$11-D78)</f>
        <v/>
      </c>
      <c r="F78" s="15" t="n"/>
      <c r="G78" s="24">
        <f>IF(I78=0,"",IF(F78="Hecho","Hecho",IF(E78="","",IF(E78&lt;'Datos del viaje'!$B$18,"Atrasada",IF(E78-'Datos del viaje'!$B$18&lt;='Datos del viaje'!$B$15,"Pronto","Al día")))))</f>
        <v/>
      </c>
      <c r="H78" s="23" t="n"/>
      <c r="I78">
        <f>IF(B78="",0,IFERROR(INDEX('Datos del viaje'!$E$5:$E$16,MATCH(C78,'Datos del viaje'!$D$5:$D$16,0)),0))</f>
        <v/>
      </c>
      <c r="J78">
        <f>IF(OR(I78=0,F78="Hecho",E78=""),"",E78+ROW()/100000)</f>
        <v/>
      </c>
    </row>
    <row r="79">
      <c r="A79" s="21">
        <f>IF(D79="","",IF(D79&gt;=180,"6 meses o más antes",IF(D79&gt;=90,"3 a 6 meses antes",IF(D79&gt;=30,"1 a 3 meses antes",IF(D79&gt;=14,"2 a 4 semanas antes",IF(D79&gt;=7,"1 a 2 semanas antes",IF(D79&gt;=2,"Últimos días",IF(D79&gt;=1,"Día anterior",IF(D79&gt;=0,"Día de salida","Después del viaje")))))))))</f>
        <v/>
      </c>
      <c r="B79" s="22" t="n"/>
      <c r="C79" s="23" t="n"/>
      <c r="D79" s="15" t="n"/>
      <c r="E79" s="13">
        <f>IF(OR(B79="",D79="",'Datos del viaje'!$B$11=""),"",'Datos del viaje'!$B$11-D79)</f>
        <v/>
      </c>
      <c r="F79" s="15" t="n"/>
      <c r="G79" s="24">
        <f>IF(I79=0,"",IF(F79="Hecho","Hecho",IF(E79="","",IF(E79&lt;'Datos del viaje'!$B$18,"Atrasada",IF(E79-'Datos del viaje'!$B$18&lt;='Datos del viaje'!$B$15,"Pronto","Al día")))))</f>
        <v/>
      </c>
      <c r="H79" s="23" t="n"/>
      <c r="I79">
        <f>IF(B79="",0,IFERROR(INDEX('Datos del viaje'!$E$5:$E$16,MATCH(C79,'Datos del viaje'!$D$5:$D$16,0)),0))</f>
        <v/>
      </c>
      <c r="J79">
        <f>IF(OR(I79=0,F79="Hecho",E79=""),"",E79+ROW()/100000)</f>
        <v/>
      </c>
    </row>
    <row r="80">
      <c r="A80" s="21">
        <f>IF(D80="","",IF(D80&gt;=180,"6 meses o más antes",IF(D80&gt;=90,"3 a 6 meses antes",IF(D80&gt;=30,"1 a 3 meses antes",IF(D80&gt;=14,"2 a 4 semanas antes",IF(D80&gt;=7,"1 a 2 semanas antes",IF(D80&gt;=2,"Últimos días",IF(D80&gt;=1,"Día anterior",IF(D80&gt;=0,"Día de salida","Después del viaje")))))))))</f>
        <v/>
      </c>
      <c r="B80" s="22" t="n"/>
      <c r="C80" s="23" t="n"/>
      <c r="D80" s="15" t="n"/>
      <c r="E80" s="13">
        <f>IF(OR(B80="",D80="",'Datos del viaje'!$B$11=""),"",'Datos del viaje'!$B$11-D80)</f>
        <v/>
      </c>
      <c r="F80" s="15" t="n"/>
      <c r="G80" s="24">
        <f>IF(I80=0,"",IF(F80="Hecho","Hecho",IF(E80="","",IF(E80&lt;'Datos del viaje'!$B$18,"Atrasada",IF(E80-'Datos del viaje'!$B$18&lt;='Datos del viaje'!$B$15,"Pronto","Al día")))))</f>
        <v/>
      </c>
      <c r="H80" s="23" t="n"/>
      <c r="I80">
        <f>IF(B80="",0,IFERROR(INDEX('Datos del viaje'!$E$5:$E$16,MATCH(C80,'Datos del viaje'!$D$5:$D$16,0)),0))</f>
        <v/>
      </c>
      <c r="J80">
        <f>IF(OR(I80=0,F80="Hecho",E80=""),"",E80+ROW()/100000)</f>
        <v/>
      </c>
    </row>
  </sheetData>
  <autoFilter ref="A4:H80"/>
  <conditionalFormatting sqref="A5:H80">
    <cfRule type="expression" priority="1" dxfId="2">
      <formula>AND($B5&lt;&gt;"",$I5=0)</formula>
    </cfRule>
  </conditionalFormatting>
  <conditionalFormatting sqref="G5:G80">
    <cfRule type="expression" priority="2" dxfId="3">
      <formula>$G5="Atrasada"</formula>
    </cfRule>
    <cfRule type="expression" priority="3" dxfId="4">
      <formula>$G5="Pronto"</formula>
    </cfRule>
    <cfRule type="expression" priority="4" dxfId="5">
      <formula>$G5="Hecho"</formula>
    </cfRule>
  </conditionalFormatting>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showDropDown="0" showInputMessage="0" showErrorMessage="0" allowBlank="1" type="list">
      <formula1>='Datos del viaje'!$D$5:$D$16</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showDropDown="0" showInputMessage="0" showErrorMessage="0" allowBlank="1" type="list">
      <formula1>"Hecho"</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showDropDown="0" showInputMessage="0" showErrorMessage="0" allowBlank="1" type="whole" operator="between">
      <formula1>-365</formula1>
      <formula2>1000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I8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56" customWidth="1" min="2" max="2"/>
    <col width="18" customWidth="1" min="3" max="3"/>
    <col width="10" customWidth="1" min="4" max="4"/>
    <col width="8" customWidth="1" min="5" max="5"/>
    <col width="9" customWidth="1" min="6" max="6"/>
    <col hidden="1" width="4" customWidth="1" min="7" max="7"/>
    <col width="9" customWidth="1" min="8" max="8"/>
    <col hidden="1" width="4" customWidth="1" min="9" max="9"/>
  </cols>
  <sheetData>
    <row r="1" ht="28" customHeight="1">
      <c r="A1" s="1" t="inlineStr">
        <is>
          <t>Equipaje</t>
        </is>
      </c>
    </row>
    <row r="2">
      <c r="A2" s="2" t="inlineStr">
        <is>
          <t>Las cantidades son para todos los viajeros. Cambiá cualquier cantidad o sumá tus ítems en las filas vacías.</t>
        </is>
      </c>
    </row>
    <row r="4" ht="32" customHeight="1">
      <c r="A4" s="7" t="inlineStr">
        <is>
          <t>Categoría</t>
        </is>
      </c>
      <c r="B4" s="7" t="inlineStr">
        <is>
          <t>Ítem</t>
        </is>
      </c>
      <c r="C4" s="7" t="inlineStr">
        <is>
          <t>Aplica cuando</t>
        </is>
      </c>
      <c r="D4" s="7" t="inlineStr">
        <is>
          <t>Por</t>
        </is>
      </c>
      <c r="E4" s="7" t="inlineStr">
        <is>
          <t>Cant.</t>
        </is>
      </c>
      <c r="F4" s="7" t="inlineStr">
        <is>
          <t>Total</t>
        </is>
      </c>
      <c r="G4" s="7" t="inlineStr"/>
      <c r="H4" s="7" t="inlineStr">
        <is>
          <t>¿Guardado?</t>
        </is>
      </c>
      <c r="I4" s="7" t="inlineStr"/>
    </row>
    <row r="5">
      <c r="A5" s="23" t="inlineStr">
        <is>
          <t>Documentos y dinero</t>
        </is>
      </c>
      <c r="B5" s="23" t="inlineStr">
        <is>
          <t>Pasaporte</t>
        </is>
      </c>
      <c r="C5" s="23" t="inlineStr">
        <is>
          <t>Exterior</t>
        </is>
      </c>
      <c r="D5" s="15" t="inlineStr">
        <is>
          <t>Persona</t>
        </is>
      </c>
      <c r="E5" s="15" t="n">
        <v>1</v>
      </c>
      <c r="F5" s="16">
        <f>IF(G5=1,IF(D5="Persona",E5*'Datos del viaje'!$B$10,E5),"")</f>
        <v/>
      </c>
      <c r="G5">
        <f>IF(B5="",0,IFERROR(INDEX('Datos del viaje'!$E$5:$E$16,MATCH(C5,'Datos del viaje'!$D$5:$D$16,0)),0))</f>
        <v/>
      </c>
      <c r="H5" s="15" t="n"/>
      <c r="I5">
        <f>IF(G5=1,SUM(G$5:G5),"")</f>
        <v/>
      </c>
    </row>
    <row r="6">
      <c r="A6" s="23" t="inlineStr">
        <is>
          <t>Documentos y dinero</t>
        </is>
      </c>
      <c r="B6" s="23" t="inlineStr">
        <is>
          <t>Documento de identidad o licencia de conducir</t>
        </is>
      </c>
      <c r="C6" s="23" t="inlineStr">
        <is>
          <t>Siempre</t>
        </is>
      </c>
      <c r="D6" s="15" t="inlineStr">
        <is>
          <t>Persona</t>
        </is>
      </c>
      <c r="E6" s="15" t="n">
        <v>1</v>
      </c>
      <c r="F6" s="16">
        <f>IF(G6=1,IF(D6="Persona",E6*'Datos del viaje'!$B$10,E6),"")</f>
        <v/>
      </c>
      <c r="G6">
        <f>IF(B6="",0,IFERROR(INDEX('Datos del viaje'!$E$5:$E$16,MATCH(C6,'Datos del viaje'!$D$5:$D$16,0)),0))</f>
        <v/>
      </c>
      <c r="H6" s="15" t="n"/>
      <c r="I6">
        <f>IF(G6=1,SUM(G$5:G6),"")</f>
        <v/>
      </c>
    </row>
    <row r="7">
      <c r="A7" s="23" t="inlineStr">
        <is>
          <t>Documentos y dinero</t>
        </is>
      </c>
      <c r="B7" s="23" t="inlineStr">
        <is>
          <t>Visa o permiso de ingreso (impreso y en el celular)</t>
        </is>
      </c>
      <c r="C7" s="23" t="inlineStr">
        <is>
          <t>Con visa</t>
        </is>
      </c>
      <c r="D7" s="15" t="inlineStr">
        <is>
          <t>Persona</t>
        </is>
      </c>
      <c r="E7" s="15" t="n">
        <v>1</v>
      </c>
      <c r="F7" s="16">
        <f>IF(G7=1,IF(D7="Persona",E7*'Datos del viaje'!$B$10,E7),"")</f>
        <v/>
      </c>
      <c r="G7">
        <f>IF(B7="",0,IFERROR(INDEX('Datos del viaje'!$E$5:$E$16,MATCH(C7,'Datos del viaje'!$D$5:$D$16,0)),0))</f>
        <v/>
      </c>
      <c r="H7" s="15" t="n"/>
      <c r="I7">
        <f>IF(G7=1,SUM(G$5:G7),"")</f>
        <v/>
      </c>
    </row>
    <row r="8">
      <c r="A8" s="23" t="inlineStr">
        <is>
          <t>Documentos y dinero</t>
        </is>
      </c>
      <c r="B8" s="23" t="inlineStr">
        <is>
          <t>Pasajes, tarjetas de embarque y confirmaciones de reservas</t>
        </is>
      </c>
      <c r="C8" s="23" t="inlineStr">
        <is>
          <t>Siempre</t>
        </is>
      </c>
      <c r="D8" s="15" t="inlineStr">
        <is>
          <t>Viaje</t>
        </is>
      </c>
      <c r="E8" s="15" t="n">
        <v>1</v>
      </c>
      <c r="F8" s="16">
        <f>IF(G8=1,IF(D8="Persona",E8*'Datos del viaje'!$B$10,E8),"")</f>
        <v/>
      </c>
      <c r="G8">
        <f>IF(B8="",0,IFERROR(INDEX('Datos del viaje'!$E$5:$E$16,MATCH(C8,'Datos del viaje'!$D$5:$D$16,0)),0))</f>
        <v/>
      </c>
      <c r="H8" s="15" t="n"/>
      <c r="I8">
        <f>IF(G8=1,SUM(G$5:G8),"")</f>
        <v/>
      </c>
    </row>
    <row r="9">
      <c r="A9" s="23" t="inlineStr">
        <is>
          <t>Documentos y dinero</t>
        </is>
      </c>
      <c r="B9" s="23" t="inlineStr">
        <is>
          <t>Póliza del seguro de viaje y teléfono de emergencias</t>
        </is>
      </c>
      <c r="C9" s="23" t="inlineStr">
        <is>
          <t>Exterior</t>
        </is>
      </c>
      <c r="D9" s="15" t="inlineStr">
        <is>
          <t>Viaje</t>
        </is>
      </c>
      <c r="E9" s="15" t="n">
        <v>1</v>
      </c>
      <c r="F9" s="16">
        <f>IF(G9=1,IF(D9="Persona",E9*'Datos del viaje'!$B$10,E9),"")</f>
        <v/>
      </c>
      <c r="G9">
        <f>IF(B9="",0,IFERROR(INDEX('Datos del viaje'!$E$5:$E$16,MATCH(C9,'Datos del viaje'!$D$5:$D$16,0)),0))</f>
        <v/>
      </c>
      <c r="H9" s="15" t="n"/>
      <c r="I9">
        <f>IF(G9=1,SUM(G$5:G9),"")</f>
        <v/>
      </c>
    </row>
    <row r="10">
      <c r="A10" s="23" t="inlineStr">
        <is>
          <t>Documentos y dinero</t>
        </is>
      </c>
      <c r="B10" s="23" t="inlineStr">
        <is>
          <t>Credencial de cobertura médica</t>
        </is>
      </c>
      <c r="C10" s="23" t="inlineStr">
        <is>
          <t>Siempre</t>
        </is>
      </c>
      <c r="D10" s="15" t="inlineStr">
        <is>
          <t>Persona</t>
        </is>
      </c>
      <c r="E10" s="15" t="n">
        <v>1</v>
      </c>
      <c r="F10" s="16">
        <f>IF(G10=1,IF(D10="Persona",E10*'Datos del viaje'!$B$10,E10),"")</f>
        <v/>
      </c>
      <c r="G10">
        <f>IF(B10="",0,IFERROR(INDEX('Datos del viaje'!$E$5:$E$16,MATCH(C10,'Datos del viaje'!$D$5:$D$16,0)),0))</f>
        <v/>
      </c>
      <c r="H10" s="15" t="n"/>
      <c r="I10">
        <f>IF(G10=1,SUM(G$5:G10),"")</f>
        <v/>
      </c>
    </row>
    <row r="11">
      <c r="A11" s="23" t="inlineStr">
        <is>
          <t>Documentos y dinero</t>
        </is>
      </c>
      <c r="B11" s="23" t="inlineStr">
        <is>
          <t>Tarjetas de pago (llevá dos, guardadas por separado)</t>
        </is>
      </c>
      <c r="C11" s="23" t="inlineStr">
        <is>
          <t>Siempre</t>
        </is>
      </c>
      <c r="D11" s="15" t="inlineStr">
        <is>
          <t>Viaje</t>
        </is>
      </c>
      <c r="E11" s="15" t="n">
        <v>2</v>
      </c>
      <c r="F11" s="16">
        <f>IF(G11=1,IF(D11="Persona",E11*'Datos del viaje'!$B$10,E11),"")</f>
        <v/>
      </c>
      <c r="G11">
        <f>IF(B11="",0,IFERROR(INDEX('Datos del viaje'!$E$5:$E$16,MATCH(C11,'Datos del viaje'!$D$5:$D$16,0)),0))</f>
        <v/>
      </c>
      <c r="H11" s="15" t="n"/>
      <c r="I11">
        <f>IF(G11=1,SUM(G$5:G11),"")</f>
        <v/>
      </c>
    </row>
    <row r="12">
      <c r="A12" s="23" t="inlineStr">
        <is>
          <t>Documentos y dinero</t>
        </is>
      </c>
      <c r="B12" s="23" t="inlineStr">
        <is>
          <t>Algo de efectivo</t>
        </is>
      </c>
      <c r="C12" s="23" t="inlineStr">
        <is>
          <t>Siempre</t>
        </is>
      </c>
      <c r="D12" s="15" t="inlineStr">
        <is>
          <t>Viaje</t>
        </is>
      </c>
      <c r="E12" s="15" t="n">
        <v>1</v>
      </c>
      <c r="F12" s="16">
        <f>IF(G12=1,IF(D12="Persona",E12*'Datos del viaje'!$B$10,E12),"")</f>
        <v/>
      </c>
      <c r="G12">
        <f>IF(B12="",0,IFERROR(INDEX('Datos del viaje'!$E$5:$E$16,MATCH(C12,'Datos del viaje'!$D$5:$D$16,0)),0))</f>
        <v/>
      </c>
      <c r="H12" s="15" t="n"/>
      <c r="I12">
        <f>IF(G12=1,SUM(G$5:G12),"")</f>
        <v/>
      </c>
    </row>
    <row r="13">
      <c r="A13" s="23" t="inlineStr">
        <is>
          <t>Documentos y dinero</t>
        </is>
      </c>
      <c r="B13" s="23" t="inlineStr">
        <is>
          <t>Moneda local</t>
        </is>
      </c>
      <c r="C13" s="23" t="inlineStr">
        <is>
          <t>Exterior</t>
        </is>
      </c>
      <c r="D13" s="15" t="inlineStr">
        <is>
          <t>Viaje</t>
        </is>
      </c>
      <c r="E13" s="15" t="n">
        <v>1</v>
      </c>
      <c r="F13" s="16">
        <f>IF(G13=1,IF(D13="Persona",E13*'Datos del viaje'!$B$10,E13),"")</f>
        <v/>
      </c>
      <c r="G13">
        <f>IF(B13="",0,IFERROR(INDEX('Datos del viaje'!$E$5:$E$16,MATCH(C13,'Datos del viaje'!$D$5:$D$16,0)),0))</f>
        <v/>
      </c>
      <c r="H13" s="15" t="n"/>
      <c r="I13">
        <f>IF(G13=1,SUM(G$5:G13),"")</f>
        <v/>
      </c>
    </row>
    <row r="14">
      <c r="A14" s="23" t="inlineStr">
        <is>
          <t>Documentos y dinero</t>
        </is>
      </c>
      <c r="B14" s="23" t="inlineStr">
        <is>
          <t>Copias de documentos (papel y digitales)</t>
        </is>
      </c>
      <c r="C14" s="23" t="inlineStr">
        <is>
          <t>Siempre</t>
        </is>
      </c>
      <c r="D14" s="15" t="inlineStr">
        <is>
          <t>Viaje</t>
        </is>
      </c>
      <c r="E14" s="15" t="n">
        <v>1</v>
      </c>
      <c r="F14" s="16">
        <f>IF(G14=1,IF(D14="Persona",E14*'Datos del viaje'!$B$10,E14),"")</f>
        <v/>
      </c>
      <c r="G14">
        <f>IF(B14="",0,IFERROR(INDEX('Datos del viaje'!$E$5:$E$16,MATCH(C14,'Datos del viaje'!$D$5:$D$16,0)),0))</f>
        <v/>
      </c>
      <c r="H14" s="15" t="n"/>
      <c r="I14">
        <f>IF(G14=1,SUM(G$5:G14),"")</f>
        <v/>
      </c>
    </row>
    <row r="15">
      <c r="A15" s="23" t="inlineStr">
        <is>
          <t>Documentos y dinero</t>
        </is>
      </c>
      <c r="B15" s="23" t="inlineStr">
        <is>
          <t>Direcciones de los alojamientos</t>
        </is>
      </c>
      <c r="C15" s="23" t="inlineStr">
        <is>
          <t>Siempre</t>
        </is>
      </c>
      <c r="D15" s="15" t="inlineStr">
        <is>
          <t>Viaje</t>
        </is>
      </c>
      <c r="E15" s="15" t="n">
        <v>1</v>
      </c>
      <c r="F15" s="16">
        <f>IF(G15=1,IF(D15="Persona",E15*'Datos del viaje'!$B$10,E15),"")</f>
        <v/>
      </c>
      <c r="G15">
        <f>IF(B15="",0,IFERROR(INDEX('Datos del viaje'!$E$5:$E$16,MATCH(C15,'Datos del viaje'!$D$5:$D$16,0)),0))</f>
        <v/>
      </c>
      <c r="H15" s="15" t="n"/>
      <c r="I15">
        <f>IF(G15=1,SUM(G$5:G15),"")</f>
        <v/>
      </c>
    </row>
    <row r="16">
      <c r="A16" s="23" t="inlineStr">
        <is>
          <t>Documentos y dinero</t>
        </is>
      </c>
      <c r="B16" s="23" t="inlineStr">
        <is>
          <t>Licencia de conducir, documentación y seguro del vehículo</t>
        </is>
      </c>
      <c r="C16" s="23" t="inlineStr">
        <is>
          <t>Auto</t>
        </is>
      </c>
      <c r="D16" s="15" t="inlineStr">
        <is>
          <t>Viaje</t>
        </is>
      </c>
      <c r="E16" s="15" t="n">
        <v>1</v>
      </c>
      <c r="F16" s="16">
        <f>IF(G16=1,IF(D16="Persona",E16*'Datos del viaje'!$B$10,E16),"")</f>
        <v/>
      </c>
      <c r="G16">
        <f>IF(B16="",0,IFERROR(INDEX('Datos del viaje'!$E$5:$E$16,MATCH(C16,'Datos del viaje'!$D$5:$D$16,0)),0))</f>
        <v/>
      </c>
      <c r="H16" s="15" t="n"/>
      <c r="I16">
        <f>IF(G16=1,SUM(G$5:G16),"")</f>
        <v/>
      </c>
    </row>
    <row r="17">
      <c r="A17" s="23" t="inlineStr">
        <is>
          <t>Ropa</t>
        </is>
      </c>
      <c r="B17" s="23" t="inlineStr">
        <is>
          <t>Ropa interior</t>
        </is>
      </c>
      <c r="C17" s="23" t="inlineStr">
        <is>
          <t>Siempre</t>
        </is>
      </c>
      <c r="D17" s="15" t="inlineStr">
        <is>
          <t>Persona</t>
        </is>
      </c>
      <c r="E17" s="15">
        <f>MIN('Datos del viaje'!$B$12+1,8)</f>
        <v/>
      </c>
      <c r="F17" s="16">
        <f>IF(G17=1,IF(D17="Persona",E17*'Datos del viaje'!$B$10,E17),"")</f>
        <v/>
      </c>
      <c r="G17">
        <f>IF(B17="",0,IFERROR(INDEX('Datos del viaje'!$E$5:$E$16,MATCH(C17,'Datos del viaje'!$D$5:$D$16,0)),0))</f>
        <v/>
      </c>
      <c r="H17" s="15" t="n"/>
      <c r="I17">
        <f>IF(G17=1,SUM(G$5:G17),"")</f>
        <v/>
      </c>
    </row>
    <row r="18">
      <c r="A18" s="23" t="inlineStr">
        <is>
          <t>Ropa</t>
        </is>
      </c>
      <c r="B18" s="23" t="inlineStr">
        <is>
          <t>Medias</t>
        </is>
      </c>
      <c r="C18" s="23" t="inlineStr">
        <is>
          <t>Siempre</t>
        </is>
      </c>
      <c r="D18" s="15" t="inlineStr">
        <is>
          <t>Persona</t>
        </is>
      </c>
      <c r="E18" s="15">
        <f>MIN('Datos del viaje'!$B$12+1,8)</f>
        <v/>
      </c>
      <c r="F18" s="16">
        <f>IF(G18=1,IF(D18="Persona",E18*'Datos del viaje'!$B$10,E18),"")</f>
        <v/>
      </c>
      <c r="G18">
        <f>IF(B18="",0,IFERROR(INDEX('Datos del viaje'!$E$5:$E$16,MATCH(C18,'Datos del viaje'!$D$5:$D$16,0)),0))</f>
        <v/>
      </c>
      <c r="H18" s="15" t="n"/>
      <c r="I18">
        <f>IF(G18=1,SUM(G$5:G18),"")</f>
        <v/>
      </c>
    </row>
    <row r="19">
      <c r="A19" s="23" t="inlineStr">
        <is>
          <t>Ropa</t>
        </is>
      </c>
      <c r="B19" s="23" t="inlineStr">
        <is>
          <t>Remeras o tops</t>
        </is>
      </c>
      <c r="C19" s="23" t="inlineStr">
        <is>
          <t>Siempre</t>
        </is>
      </c>
      <c r="D19" s="15" t="inlineStr">
        <is>
          <t>Persona</t>
        </is>
      </c>
      <c r="E19" s="15">
        <f>MAX(2,MIN('Datos del viaje'!$B$12,7))</f>
        <v/>
      </c>
      <c r="F19" s="16">
        <f>IF(G19=1,IF(D19="Persona",E19*'Datos del viaje'!$B$10,E19),"")</f>
        <v/>
      </c>
      <c r="G19">
        <f>IF(B19="",0,IFERROR(INDEX('Datos del viaje'!$E$5:$E$16,MATCH(C19,'Datos del viaje'!$D$5:$D$16,0)),0))</f>
        <v/>
      </c>
      <c r="H19" s="15" t="n"/>
      <c r="I19">
        <f>IF(G19=1,SUM(G$5:G19),"")</f>
        <v/>
      </c>
    </row>
    <row r="20">
      <c r="A20" s="23" t="inlineStr">
        <is>
          <t>Ropa</t>
        </is>
      </c>
      <c r="B20" s="23" t="inlineStr">
        <is>
          <t>Pantalones, polleras o shorts</t>
        </is>
      </c>
      <c r="C20" s="23" t="inlineStr">
        <is>
          <t>Siempre</t>
        </is>
      </c>
      <c r="D20" s="15" t="inlineStr">
        <is>
          <t>Persona</t>
        </is>
      </c>
      <c r="E20" s="15">
        <f>MAX(2,MIN(ROUNDUP('Datos del viaje'!$B$12/3,0),4))</f>
        <v/>
      </c>
      <c r="F20" s="16">
        <f>IF(G20=1,IF(D20="Persona",E20*'Datos del viaje'!$B$10,E20),"")</f>
        <v/>
      </c>
      <c r="G20">
        <f>IF(B20="",0,IFERROR(INDEX('Datos del viaje'!$E$5:$E$16,MATCH(C20,'Datos del viaje'!$D$5:$D$16,0)),0))</f>
        <v/>
      </c>
      <c r="H20" s="15" t="n"/>
      <c r="I20">
        <f>IF(G20=1,SUM(G$5:G20),"")</f>
        <v/>
      </c>
    </row>
    <row r="21">
      <c r="A21" s="23" t="inlineStr">
        <is>
          <t>Ropa</t>
        </is>
      </c>
      <c r="B21" s="23" t="inlineStr">
        <is>
          <t>Ropa para dormir</t>
        </is>
      </c>
      <c r="C21" s="23" t="inlineStr">
        <is>
          <t>Siempre</t>
        </is>
      </c>
      <c r="D21" s="15" t="inlineStr">
        <is>
          <t>Persona</t>
        </is>
      </c>
      <c r="E21" s="15" t="n">
        <v>1</v>
      </c>
      <c r="F21" s="16">
        <f>IF(G21=1,IF(D21="Persona",E21*'Datos del viaje'!$B$10,E21),"")</f>
        <v/>
      </c>
      <c r="G21">
        <f>IF(B21="",0,IFERROR(INDEX('Datos del viaje'!$E$5:$E$16,MATCH(C21,'Datos del viaje'!$D$5:$D$16,0)),0))</f>
        <v/>
      </c>
      <c r="H21" s="15" t="n"/>
      <c r="I21">
        <f>IF(G21=1,SUM(G$5:G21),"")</f>
        <v/>
      </c>
    </row>
    <row r="22">
      <c r="A22" s="23" t="inlineStr">
        <is>
          <t>Ropa</t>
        </is>
      </c>
      <c r="B22" s="23" t="inlineStr">
        <is>
          <t>Calzado cómodo para caminar</t>
        </is>
      </c>
      <c r="C22" s="23" t="inlineStr">
        <is>
          <t>Siempre</t>
        </is>
      </c>
      <c r="D22" s="15" t="inlineStr">
        <is>
          <t>Persona</t>
        </is>
      </c>
      <c r="E22" s="15" t="n">
        <v>1</v>
      </c>
      <c r="F22" s="16">
        <f>IF(G22=1,IF(D22="Persona",E22*'Datos del viaje'!$B$10,E22),"")</f>
        <v/>
      </c>
      <c r="G22">
        <f>IF(B22="",0,IFERROR(INDEX('Datos del viaje'!$E$5:$E$16,MATCH(C22,'Datos del viaje'!$D$5:$D$16,0)),0))</f>
        <v/>
      </c>
      <c r="H22" s="15" t="n"/>
      <c r="I22">
        <f>IF(G22=1,SUM(G$5:G22),"")</f>
        <v/>
      </c>
    </row>
    <row r="23">
      <c r="A23" s="23" t="inlineStr">
        <is>
          <t>Ropa</t>
        </is>
      </c>
      <c r="B23" s="23" t="inlineStr">
        <is>
          <t>Campera liviana o buzo</t>
        </is>
      </c>
      <c r="C23" s="23" t="inlineStr">
        <is>
          <t>Siempre</t>
        </is>
      </c>
      <c r="D23" s="15" t="inlineStr">
        <is>
          <t>Persona</t>
        </is>
      </c>
      <c r="E23" s="15" t="n">
        <v>1</v>
      </c>
      <c r="F23" s="16">
        <f>IF(G23=1,IF(D23="Persona",E23*'Datos del viaje'!$B$10,E23),"")</f>
        <v/>
      </c>
      <c r="G23">
        <f>IF(B23="",0,IFERROR(INDEX('Datos del viaje'!$E$5:$E$16,MATCH(C23,'Datos del viaje'!$D$5:$D$16,0)),0))</f>
        <v/>
      </c>
      <c r="H23" s="15" t="n"/>
      <c r="I23">
        <f>IF(G23=1,SUM(G$5:G23),"")</f>
        <v/>
      </c>
    </row>
    <row r="24">
      <c r="A24" s="23" t="inlineStr">
        <is>
          <t>Ropa</t>
        </is>
      </c>
      <c r="B24" s="23" t="inlineStr">
        <is>
          <t>Paraguas compacto o piloto</t>
        </is>
      </c>
      <c r="C24" s="23" t="inlineStr">
        <is>
          <t>Siempre</t>
        </is>
      </c>
      <c r="D24" s="15" t="inlineStr">
        <is>
          <t>Viaje</t>
        </is>
      </c>
      <c r="E24" s="15" t="n">
        <v>1</v>
      </c>
      <c r="F24" s="16">
        <f>IF(G24=1,IF(D24="Persona",E24*'Datos del viaje'!$B$10,E24),"")</f>
        <v/>
      </c>
      <c r="G24">
        <f>IF(B24="",0,IFERROR(INDEX('Datos del viaje'!$E$5:$E$16,MATCH(C24,'Datos del viaje'!$D$5:$D$16,0)),0))</f>
        <v/>
      </c>
      <c r="H24" s="15" t="n"/>
      <c r="I24">
        <f>IF(G24=1,SUM(G$5:G24),"")</f>
        <v/>
      </c>
    </row>
    <row r="25">
      <c r="A25" s="23" t="inlineStr">
        <is>
          <t>Ropa</t>
        </is>
      </c>
      <c r="B25" s="23" t="inlineStr">
        <is>
          <t>Traje de baño</t>
        </is>
      </c>
      <c r="C25" s="23" t="inlineStr">
        <is>
          <t>Clima cálido</t>
        </is>
      </c>
      <c r="D25" s="15" t="inlineStr">
        <is>
          <t>Persona</t>
        </is>
      </c>
      <c r="E25" s="15" t="n">
        <v>1</v>
      </c>
      <c r="F25" s="16">
        <f>IF(G25=1,IF(D25="Persona",E25*'Datos del viaje'!$B$10,E25),"")</f>
        <v/>
      </c>
      <c r="G25">
        <f>IF(B25="",0,IFERROR(INDEX('Datos del viaje'!$E$5:$E$16,MATCH(C25,'Datos del viaje'!$D$5:$D$16,0)),0))</f>
        <v/>
      </c>
      <c r="H25" s="15" t="n"/>
      <c r="I25">
        <f>IF(G25=1,SUM(G$5:G25),"")</f>
        <v/>
      </c>
    </row>
    <row r="26">
      <c r="A26" s="23" t="inlineStr">
        <is>
          <t>Ropa</t>
        </is>
      </c>
      <c r="B26" s="23" t="inlineStr">
        <is>
          <t>Sandalias</t>
        </is>
      </c>
      <c r="C26" s="23" t="inlineStr">
        <is>
          <t>Clima cálido</t>
        </is>
      </c>
      <c r="D26" s="15" t="inlineStr">
        <is>
          <t>Persona</t>
        </is>
      </c>
      <c r="E26" s="15" t="n">
        <v>1</v>
      </c>
      <c r="F26" s="16">
        <f>IF(G26=1,IF(D26="Persona",E26*'Datos del viaje'!$B$10,E26),"")</f>
        <v/>
      </c>
      <c r="G26">
        <f>IF(B26="",0,IFERROR(INDEX('Datos del viaje'!$E$5:$E$16,MATCH(C26,'Datos del viaje'!$D$5:$D$16,0)),0))</f>
        <v/>
      </c>
      <c r="H26" s="15" t="n"/>
      <c r="I26">
        <f>IF(G26=1,SUM(G$5:G26),"")</f>
        <v/>
      </c>
    </row>
    <row r="27">
      <c r="A27" s="23" t="inlineStr">
        <is>
          <t>Ropa</t>
        </is>
      </c>
      <c r="B27" s="23" t="inlineStr">
        <is>
          <t>Gorra o sombrero y lentes de sol</t>
        </is>
      </c>
      <c r="C27" s="23" t="inlineStr">
        <is>
          <t>Clima cálido</t>
        </is>
      </c>
      <c r="D27" s="15" t="inlineStr">
        <is>
          <t>Persona</t>
        </is>
      </c>
      <c r="E27" s="15" t="n">
        <v>1</v>
      </c>
      <c r="F27" s="16">
        <f>IF(G27=1,IF(D27="Persona",E27*'Datos del viaje'!$B$10,E27),"")</f>
        <v/>
      </c>
      <c r="G27">
        <f>IF(B27="",0,IFERROR(INDEX('Datos del viaje'!$E$5:$E$16,MATCH(C27,'Datos del viaje'!$D$5:$D$16,0)),0))</f>
        <v/>
      </c>
      <c r="H27" s="15" t="n"/>
      <c r="I27">
        <f>IF(G27=1,SUM(G$5:G27),"")</f>
        <v/>
      </c>
    </row>
    <row r="28">
      <c r="A28" s="23" t="inlineStr">
        <is>
          <t>Ropa</t>
        </is>
      </c>
      <c r="B28" s="23" t="inlineStr">
        <is>
          <t>Abrigo</t>
        </is>
      </c>
      <c r="C28" s="23" t="inlineStr">
        <is>
          <t>Clima frío</t>
        </is>
      </c>
      <c r="D28" s="15" t="inlineStr">
        <is>
          <t>Persona</t>
        </is>
      </c>
      <c r="E28" s="15" t="n">
        <v>1</v>
      </c>
      <c r="F28" s="16">
        <f>IF(G28=1,IF(D28="Persona",E28*'Datos del viaje'!$B$10,E28),"")</f>
        <v/>
      </c>
      <c r="G28">
        <f>IF(B28="",0,IFERROR(INDEX('Datos del viaje'!$E$5:$E$16,MATCH(C28,'Datos del viaje'!$D$5:$D$16,0)),0))</f>
        <v/>
      </c>
      <c r="H28" s="15" t="n"/>
      <c r="I28">
        <f>IF(G28=1,SUM(G$5:G28),"")</f>
        <v/>
      </c>
    </row>
    <row r="29">
      <c r="A29" s="23" t="inlineStr">
        <is>
          <t>Ropa</t>
        </is>
      </c>
      <c r="B29" s="23" t="inlineStr">
        <is>
          <t>Capas térmicas</t>
        </is>
      </c>
      <c r="C29" s="23" t="inlineStr">
        <is>
          <t>Clima frío</t>
        </is>
      </c>
      <c r="D29" s="15" t="inlineStr">
        <is>
          <t>Persona</t>
        </is>
      </c>
      <c r="E29" s="15" t="n">
        <v>2</v>
      </c>
      <c r="F29" s="16">
        <f>IF(G29=1,IF(D29="Persona",E29*'Datos del viaje'!$B$10,E29),"")</f>
        <v/>
      </c>
      <c r="G29">
        <f>IF(B29="",0,IFERROR(INDEX('Datos del viaje'!$E$5:$E$16,MATCH(C29,'Datos del viaje'!$D$5:$D$16,0)),0))</f>
        <v/>
      </c>
      <c r="H29" s="15" t="n"/>
      <c r="I29">
        <f>IF(G29=1,SUM(G$5:G29),"")</f>
        <v/>
      </c>
    </row>
    <row r="30">
      <c r="A30" s="23" t="inlineStr">
        <is>
          <t>Ropa</t>
        </is>
      </c>
      <c r="B30" s="23" t="inlineStr">
        <is>
          <t>Guantes, bufanda y gorro</t>
        </is>
      </c>
      <c r="C30" s="23" t="inlineStr">
        <is>
          <t>Clima frío</t>
        </is>
      </c>
      <c r="D30" s="15" t="inlineStr">
        <is>
          <t>Persona</t>
        </is>
      </c>
      <c r="E30" s="15" t="n">
        <v>1</v>
      </c>
      <c r="F30" s="16">
        <f>IF(G30=1,IF(D30="Persona",E30*'Datos del viaje'!$B$10,E30),"")</f>
        <v/>
      </c>
      <c r="G30">
        <f>IF(B30="",0,IFERROR(INDEX('Datos del viaje'!$E$5:$E$16,MATCH(C30,'Datos del viaje'!$D$5:$D$16,0)),0))</f>
        <v/>
      </c>
      <c r="H30" s="15" t="n"/>
      <c r="I30">
        <f>IF(G30=1,SUM(G$5:G30),"")</f>
        <v/>
      </c>
    </row>
    <row r="31">
      <c r="A31" s="23" t="inlineStr">
        <is>
          <t>Ropa</t>
        </is>
      </c>
      <c r="B31" s="23" t="inlineStr">
        <is>
          <t>Botas abrigadas</t>
        </is>
      </c>
      <c r="C31" s="23" t="inlineStr">
        <is>
          <t>Clima frío</t>
        </is>
      </c>
      <c r="D31" s="15" t="inlineStr">
        <is>
          <t>Persona</t>
        </is>
      </c>
      <c r="E31" s="15" t="n">
        <v>1</v>
      </c>
      <c r="F31" s="16">
        <f>IF(G31=1,IF(D31="Persona",E31*'Datos del viaje'!$B$10,E31),"")</f>
        <v/>
      </c>
      <c r="G31">
        <f>IF(B31="",0,IFERROR(INDEX('Datos del viaje'!$E$5:$E$16,MATCH(C31,'Datos del viaje'!$D$5:$D$16,0)),0))</f>
        <v/>
      </c>
      <c r="H31" s="15" t="n"/>
      <c r="I31">
        <f>IF(G31=1,SUM(G$5:G31),"")</f>
        <v/>
      </c>
    </row>
    <row r="32">
      <c r="A32" s="23" t="inlineStr">
        <is>
          <t>Ropa</t>
        </is>
      </c>
      <c r="B32" s="23" t="inlineStr">
        <is>
          <t>Bolsa para ropa sucia</t>
        </is>
      </c>
      <c r="C32" s="23" t="inlineStr">
        <is>
          <t>Viaje largo (8+ días)</t>
        </is>
      </c>
      <c r="D32" s="15" t="inlineStr">
        <is>
          <t>Viaje</t>
        </is>
      </c>
      <c r="E32" s="15" t="n">
        <v>1</v>
      </c>
      <c r="F32" s="16">
        <f>IF(G32=1,IF(D32="Persona",E32*'Datos del viaje'!$B$10,E32),"")</f>
        <v/>
      </c>
      <c r="G32">
        <f>IF(B32="",0,IFERROR(INDEX('Datos del viaje'!$E$5:$E$16,MATCH(C32,'Datos del viaje'!$D$5:$D$16,0)),0))</f>
        <v/>
      </c>
      <c r="H32" s="15" t="n"/>
      <c r="I32">
        <f>IF(G32=1,SUM(G$5:G32),"")</f>
        <v/>
      </c>
    </row>
    <row r="33">
      <c r="A33" s="23" t="inlineStr">
        <is>
          <t>Higiene personal</t>
        </is>
      </c>
      <c r="B33" s="23" t="inlineStr">
        <is>
          <t>Cepillo y pasta dental</t>
        </is>
      </c>
      <c r="C33" s="23" t="inlineStr">
        <is>
          <t>Siempre</t>
        </is>
      </c>
      <c r="D33" s="15" t="inlineStr">
        <is>
          <t>Persona</t>
        </is>
      </c>
      <c r="E33" s="15" t="n">
        <v>1</v>
      </c>
      <c r="F33" s="16">
        <f>IF(G33=1,IF(D33="Persona",E33*'Datos del viaje'!$B$10,E33),"")</f>
        <v/>
      </c>
      <c r="G33">
        <f>IF(B33="",0,IFERROR(INDEX('Datos del viaje'!$E$5:$E$16,MATCH(C33,'Datos del viaje'!$D$5:$D$16,0)),0))</f>
        <v/>
      </c>
      <c r="H33" s="15" t="n"/>
      <c r="I33">
        <f>IF(G33=1,SUM(G$5:G33),"")</f>
        <v/>
      </c>
    </row>
    <row r="34">
      <c r="A34" s="23" t="inlineStr">
        <is>
          <t>Higiene personal</t>
        </is>
      </c>
      <c r="B34" s="23" t="inlineStr">
        <is>
          <t>Shampoo, jabón y desodorante</t>
        </is>
      </c>
      <c r="C34" s="23" t="inlineStr">
        <is>
          <t>Siempre</t>
        </is>
      </c>
      <c r="D34" s="15" t="inlineStr">
        <is>
          <t>Persona</t>
        </is>
      </c>
      <c r="E34" s="15" t="n">
        <v>1</v>
      </c>
      <c r="F34" s="16">
        <f>IF(G34=1,IF(D34="Persona",E34*'Datos del viaje'!$B$10,E34),"")</f>
        <v/>
      </c>
      <c r="G34">
        <f>IF(B34="",0,IFERROR(INDEX('Datos del viaje'!$E$5:$E$16,MATCH(C34,'Datos del viaje'!$D$5:$D$16,0)),0))</f>
        <v/>
      </c>
      <c r="H34" s="15" t="n"/>
      <c r="I34">
        <f>IF(G34=1,SUM(G$5:G34),"")</f>
        <v/>
      </c>
    </row>
    <row r="35">
      <c r="A35" s="23" t="inlineStr">
        <is>
          <t>Higiene personal</t>
        </is>
      </c>
      <c r="B35" s="23" t="inlineStr">
        <is>
          <t>Cepillo o peine, afeitadora</t>
        </is>
      </c>
      <c r="C35" s="23" t="inlineStr">
        <is>
          <t>Siempre</t>
        </is>
      </c>
      <c r="D35" s="15" t="inlineStr">
        <is>
          <t>Persona</t>
        </is>
      </c>
      <c r="E35" s="15" t="n">
        <v>1</v>
      </c>
      <c r="F35" s="16">
        <f>IF(G35=1,IF(D35="Persona",E35*'Datos del viaje'!$B$10,E35),"")</f>
        <v/>
      </c>
      <c r="G35">
        <f>IF(B35="",0,IFERROR(INDEX('Datos del viaje'!$E$5:$E$16,MATCH(C35,'Datos del viaje'!$D$5:$D$16,0)),0))</f>
        <v/>
      </c>
      <c r="H35" s="15" t="n"/>
      <c r="I35">
        <f>IF(G35=1,SUM(G$5:G35),"")</f>
        <v/>
      </c>
    </row>
    <row r="36">
      <c r="A36" s="23" t="inlineStr">
        <is>
          <t>Higiene personal</t>
        </is>
      </c>
      <c r="B36" s="23" t="inlineStr">
        <is>
          <t>Anteojos o lentes de contacto y solución</t>
        </is>
      </c>
      <c r="C36" s="23" t="inlineStr">
        <is>
          <t>Siempre</t>
        </is>
      </c>
      <c r="D36" s="15" t="inlineStr">
        <is>
          <t>Persona</t>
        </is>
      </c>
      <c r="E36" s="15" t="n">
        <v>1</v>
      </c>
      <c r="F36" s="16">
        <f>IF(G36=1,IF(D36="Persona",E36*'Datos del viaje'!$B$10,E36),"")</f>
        <v/>
      </c>
      <c r="G36">
        <f>IF(B36="",0,IFERROR(INDEX('Datos del viaje'!$E$5:$E$16,MATCH(C36,'Datos del viaje'!$D$5:$D$16,0)),0))</f>
        <v/>
      </c>
      <c r="H36" s="15" t="n"/>
      <c r="I36">
        <f>IF(G36=1,SUM(G$5:G36),"")</f>
        <v/>
      </c>
    </row>
    <row r="37">
      <c r="A37" s="23" t="inlineStr">
        <is>
          <t>Higiene personal</t>
        </is>
      </c>
      <c r="B37" s="23" t="inlineStr">
        <is>
          <t>Protector solar</t>
        </is>
      </c>
      <c r="C37" s="23" t="inlineStr">
        <is>
          <t>Clima cálido</t>
        </is>
      </c>
      <c r="D37" s="15" t="inlineStr">
        <is>
          <t>Viaje</t>
        </is>
      </c>
      <c r="E37" s="15" t="n">
        <v>1</v>
      </c>
      <c r="F37" s="16">
        <f>IF(G37=1,IF(D37="Persona",E37*'Datos del viaje'!$B$10,E37),"")</f>
        <v/>
      </c>
      <c r="G37">
        <f>IF(B37="",0,IFERROR(INDEX('Datos del viaje'!$E$5:$E$16,MATCH(C37,'Datos del viaje'!$D$5:$D$16,0)),0))</f>
        <v/>
      </c>
      <c r="H37" s="15" t="n"/>
      <c r="I37">
        <f>IF(G37=1,SUM(G$5:G37),"")</f>
        <v/>
      </c>
    </row>
    <row r="38">
      <c r="A38" s="23" t="inlineStr">
        <is>
          <t>Higiene personal</t>
        </is>
      </c>
      <c r="B38" s="23" t="inlineStr">
        <is>
          <t>Repelente</t>
        </is>
      </c>
      <c r="C38" s="23" t="inlineStr">
        <is>
          <t>Clima cálido</t>
        </is>
      </c>
      <c r="D38" s="15" t="inlineStr">
        <is>
          <t>Viaje</t>
        </is>
      </c>
      <c r="E38" s="15" t="n">
        <v>1</v>
      </c>
      <c r="F38" s="16">
        <f>IF(G38=1,IF(D38="Persona",E38*'Datos del viaje'!$B$10,E38),"")</f>
        <v/>
      </c>
      <c r="G38">
        <f>IF(B38="",0,IFERROR(INDEX('Datos del viaje'!$E$5:$E$16,MATCH(C38,'Datos del viaje'!$D$5:$D$16,0)),0))</f>
        <v/>
      </c>
      <c r="H38" s="15" t="n"/>
      <c r="I38">
        <f>IF(G38=1,SUM(G$5:G38),"")</f>
        <v/>
      </c>
    </row>
    <row r="39">
      <c r="A39" s="23" t="inlineStr">
        <is>
          <t>Higiene personal</t>
        </is>
      </c>
      <c r="B39" s="23" t="inlineStr">
        <is>
          <t>Protector labial y crema hidratante</t>
        </is>
      </c>
      <c r="C39" s="23" t="inlineStr">
        <is>
          <t>Clima frío</t>
        </is>
      </c>
      <c r="D39" s="15" t="inlineStr">
        <is>
          <t>Viaje</t>
        </is>
      </c>
      <c r="E39" s="15" t="n">
        <v>1</v>
      </c>
      <c r="F39" s="16">
        <f>IF(G39=1,IF(D39="Persona",E39*'Datos del viaje'!$B$10,E39),"")</f>
        <v/>
      </c>
      <c r="G39">
        <f>IF(B39="",0,IFERROR(INDEX('Datos del viaje'!$E$5:$E$16,MATCH(C39,'Datos del viaje'!$D$5:$D$16,0)),0))</f>
        <v/>
      </c>
      <c r="H39" s="15" t="n"/>
      <c r="I39">
        <f>IF(G39=1,SUM(G$5:G39),"")</f>
        <v/>
      </c>
    </row>
    <row r="40">
      <c r="A40" s="23" t="inlineStr">
        <is>
          <t>Salud</t>
        </is>
      </c>
      <c r="B40" s="23" t="inlineStr">
        <is>
          <t>Medicación habitual y recetas</t>
        </is>
      </c>
      <c r="C40" s="23" t="inlineStr">
        <is>
          <t>Siempre</t>
        </is>
      </c>
      <c r="D40" s="15" t="inlineStr">
        <is>
          <t>Persona</t>
        </is>
      </c>
      <c r="E40" s="15" t="n">
        <v>1</v>
      </c>
      <c r="F40" s="16">
        <f>IF(G40=1,IF(D40="Persona",E40*'Datos del viaje'!$B$10,E40),"")</f>
        <v/>
      </c>
      <c r="G40">
        <f>IF(B40="",0,IFERROR(INDEX('Datos del viaje'!$E$5:$E$16,MATCH(C40,'Datos del viaje'!$D$5:$D$16,0)),0))</f>
        <v/>
      </c>
      <c r="H40" s="15" t="n"/>
      <c r="I40">
        <f>IF(G40=1,SUM(G$5:G40),"")</f>
        <v/>
      </c>
    </row>
    <row r="41">
      <c r="A41" s="23" t="inlineStr">
        <is>
          <t>Salud</t>
        </is>
      </c>
      <c r="B41" s="23" t="inlineStr">
        <is>
          <t>Botiquín básico (curitas, analgésico, antiséptico)</t>
        </is>
      </c>
      <c r="C41" s="23" t="inlineStr">
        <is>
          <t>Siempre</t>
        </is>
      </c>
      <c r="D41" s="15" t="inlineStr">
        <is>
          <t>Viaje</t>
        </is>
      </c>
      <c r="E41" s="15" t="n">
        <v>1</v>
      </c>
      <c r="F41" s="16">
        <f>IF(G41=1,IF(D41="Persona",E41*'Datos del viaje'!$B$10,E41),"")</f>
        <v/>
      </c>
      <c r="G41">
        <f>IF(B41="",0,IFERROR(INDEX('Datos del viaje'!$E$5:$E$16,MATCH(C41,'Datos del viaje'!$D$5:$D$16,0)),0))</f>
        <v/>
      </c>
      <c r="H41" s="15" t="n"/>
      <c r="I41">
        <f>IF(G41=1,SUM(G$5:G41),"")</f>
        <v/>
      </c>
    </row>
    <row r="42">
      <c r="A42" s="23" t="inlineStr">
        <is>
          <t>Salud</t>
        </is>
      </c>
      <c r="B42" s="23" t="inlineStr">
        <is>
          <t>Alcohol en gel y toallitas</t>
        </is>
      </c>
      <c r="C42" s="23" t="inlineStr">
        <is>
          <t>Siempre</t>
        </is>
      </c>
      <c r="D42" s="15" t="inlineStr">
        <is>
          <t>Viaje</t>
        </is>
      </c>
      <c r="E42" s="15" t="n">
        <v>1</v>
      </c>
      <c r="F42" s="16">
        <f>IF(G42=1,IF(D42="Persona",E42*'Datos del viaje'!$B$10,E42),"")</f>
        <v/>
      </c>
      <c r="G42">
        <f>IF(B42="",0,IFERROR(INDEX('Datos del viaje'!$E$5:$E$16,MATCH(C42,'Datos del viaje'!$D$5:$D$16,0)),0))</f>
        <v/>
      </c>
      <c r="H42" s="15" t="n"/>
      <c r="I42">
        <f>IF(G42=1,SUM(G$5:G42),"")</f>
        <v/>
      </c>
    </row>
    <row r="43">
      <c r="A43" s="23" t="inlineStr">
        <is>
          <t>Salud</t>
        </is>
      </c>
      <c r="B43" s="23" t="inlineStr">
        <is>
          <t>Remedio para el mareo, si lo necesitás</t>
        </is>
      </c>
      <c r="C43" s="23" t="inlineStr">
        <is>
          <t>Siempre</t>
        </is>
      </c>
      <c r="D43" s="15" t="inlineStr">
        <is>
          <t>Viaje</t>
        </is>
      </c>
      <c r="E43" s="15" t="n">
        <v>1</v>
      </c>
      <c r="F43" s="16">
        <f>IF(G43=1,IF(D43="Persona",E43*'Datos del viaje'!$B$10,E43),"")</f>
        <v/>
      </c>
      <c r="G43">
        <f>IF(B43="",0,IFERROR(INDEX('Datos del viaje'!$E$5:$E$16,MATCH(C43,'Datos del viaje'!$D$5:$D$16,0)),0))</f>
        <v/>
      </c>
      <c r="H43" s="15" t="n"/>
      <c r="I43">
        <f>IF(G43=1,SUM(G$5:G43),"")</f>
        <v/>
      </c>
    </row>
    <row r="44">
      <c r="A44" s="23" t="inlineStr">
        <is>
          <t>Electrónica</t>
        </is>
      </c>
      <c r="B44" s="23" t="inlineStr">
        <is>
          <t>Celular y cargador</t>
        </is>
      </c>
      <c r="C44" s="23" t="inlineStr">
        <is>
          <t>Siempre</t>
        </is>
      </c>
      <c r="D44" s="15" t="inlineStr">
        <is>
          <t>Persona</t>
        </is>
      </c>
      <c r="E44" s="15" t="n">
        <v>1</v>
      </c>
      <c r="F44" s="16">
        <f>IF(G44=1,IF(D44="Persona",E44*'Datos del viaje'!$B$10,E44),"")</f>
        <v/>
      </c>
      <c r="G44">
        <f>IF(B44="",0,IFERROR(INDEX('Datos del viaje'!$E$5:$E$16,MATCH(C44,'Datos del viaje'!$D$5:$D$16,0)),0))</f>
        <v/>
      </c>
      <c r="H44" s="15" t="n"/>
      <c r="I44">
        <f>IF(G44=1,SUM(G$5:G44),"")</f>
        <v/>
      </c>
    </row>
    <row r="45">
      <c r="A45" s="23" t="inlineStr">
        <is>
          <t>Electrónica</t>
        </is>
      </c>
      <c r="B45" s="23" t="inlineStr">
        <is>
          <t>Batería externa</t>
        </is>
      </c>
      <c r="C45" s="23" t="inlineStr">
        <is>
          <t>Siempre</t>
        </is>
      </c>
      <c r="D45" s="15" t="inlineStr">
        <is>
          <t>Persona</t>
        </is>
      </c>
      <c r="E45" s="15" t="n">
        <v>1</v>
      </c>
      <c r="F45" s="16">
        <f>IF(G45=1,IF(D45="Persona",E45*'Datos del viaje'!$B$10,E45),"")</f>
        <v/>
      </c>
      <c r="G45">
        <f>IF(B45="",0,IFERROR(INDEX('Datos del viaje'!$E$5:$E$16,MATCH(C45,'Datos del viaje'!$D$5:$D$16,0)),0))</f>
        <v/>
      </c>
      <c r="H45" s="15" t="n"/>
      <c r="I45">
        <f>IF(G45=1,SUM(G$5:G45),"")</f>
        <v/>
      </c>
    </row>
    <row r="46">
      <c r="A46" s="23" t="inlineStr">
        <is>
          <t>Electrónica</t>
        </is>
      </c>
      <c r="B46" s="23" t="inlineStr">
        <is>
          <t>Adaptador de enchufe de viaje</t>
        </is>
      </c>
      <c r="C46" s="23" t="inlineStr">
        <is>
          <t>Exterior</t>
        </is>
      </c>
      <c r="D46" s="15" t="inlineStr">
        <is>
          <t>Viaje</t>
        </is>
      </c>
      <c r="E46" s="15" t="n">
        <v>1</v>
      </c>
      <c r="F46" s="16">
        <f>IF(G46=1,IF(D46="Persona",E46*'Datos del viaje'!$B$10,E46),"")</f>
        <v/>
      </c>
      <c r="G46">
        <f>IF(B46="",0,IFERROR(INDEX('Datos del viaje'!$E$5:$E$16,MATCH(C46,'Datos del viaje'!$D$5:$D$16,0)),0))</f>
        <v/>
      </c>
      <c r="H46" s="15" t="n"/>
      <c r="I46">
        <f>IF(G46=1,SUM(G$5:G46),"")</f>
        <v/>
      </c>
    </row>
    <row r="47">
      <c r="A47" s="23" t="inlineStr">
        <is>
          <t>Electrónica</t>
        </is>
      </c>
      <c r="B47" s="23" t="inlineStr">
        <is>
          <t>Auriculares</t>
        </is>
      </c>
      <c r="C47" s="23" t="inlineStr">
        <is>
          <t>Siempre</t>
        </is>
      </c>
      <c r="D47" s="15" t="inlineStr">
        <is>
          <t>Persona</t>
        </is>
      </c>
      <c r="E47" s="15" t="n">
        <v>1</v>
      </c>
      <c r="F47" s="16">
        <f>IF(G47=1,IF(D47="Persona",E47*'Datos del viaje'!$B$10,E47),"")</f>
        <v/>
      </c>
      <c r="G47">
        <f>IF(B47="",0,IFERROR(INDEX('Datos del viaje'!$E$5:$E$16,MATCH(C47,'Datos del viaje'!$D$5:$D$16,0)),0))</f>
        <v/>
      </c>
      <c r="H47" s="15" t="n"/>
      <c r="I47">
        <f>IF(G47=1,SUM(G$5:G47),"")</f>
        <v/>
      </c>
    </row>
    <row r="48">
      <c r="A48" s="23" t="inlineStr">
        <is>
          <t>Electrónica</t>
        </is>
      </c>
      <c r="B48" s="23" t="inlineStr">
        <is>
          <t>Cámara, tablet o notebook (con cargadores)</t>
        </is>
      </c>
      <c r="C48" s="23" t="inlineStr">
        <is>
          <t>Siempre</t>
        </is>
      </c>
      <c r="D48" s="15" t="inlineStr">
        <is>
          <t>Viaje</t>
        </is>
      </c>
      <c r="E48" s="15" t="n">
        <v>1</v>
      </c>
      <c r="F48" s="16">
        <f>IF(G48=1,IF(D48="Persona",E48*'Datos del viaje'!$B$10,E48),"")</f>
        <v/>
      </c>
      <c r="G48">
        <f>IF(B48="",0,IFERROR(INDEX('Datos del viaje'!$E$5:$E$16,MATCH(C48,'Datos del viaje'!$D$5:$D$16,0)),0))</f>
        <v/>
      </c>
      <c r="H48" s="15" t="n"/>
      <c r="I48">
        <f>IF(G48=1,SUM(G$5:G48),"")</f>
        <v/>
      </c>
    </row>
    <row r="49">
      <c r="A49" s="23" t="inlineStr">
        <is>
          <t>Día de viaje</t>
        </is>
      </c>
      <c r="B49" s="23" t="inlineStr">
        <is>
          <t>Líquidos en bolsa transparente, dentro de los límites de la aerolínea</t>
        </is>
      </c>
      <c r="C49" s="23" t="inlineStr">
        <is>
          <t>Avión</t>
        </is>
      </c>
      <c r="D49" s="15" t="inlineStr">
        <is>
          <t>Viaje</t>
        </is>
      </c>
      <c r="E49" s="15" t="n">
        <v>1</v>
      </c>
      <c r="F49" s="16">
        <f>IF(G49=1,IF(D49="Persona",E49*'Datos del viaje'!$B$10,E49),"")</f>
        <v/>
      </c>
      <c r="G49">
        <f>IF(B49="",0,IFERROR(INDEX('Datos del viaje'!$E$5:$E$16,MATCH(C49,'Datos del viaje'!$D$5:$D$16,0)),0))</f>
        <v/>
      </c>
      <c r="H49" s="15" t="n"/>
      <c r="I49">
        <f>IF(G49=1,SUM(G$5:G49),"")</f>
        <v/>
      </c>
    </row>
    <row r="50">
      <c r="A50" s="23" t="inlineStr">
        <is>
          <t>Día de viaje</t>
        </is>
      </c>
      <c r="B50" s="23" t="inlineStr">
        <is>
          <t>Almohada de viaje y antifaz</t>
        </is>
      </c>
      <c r="C50" s="23" t="inlineStr">
        <is>
          <t>Avión</t>
        </is>
      </c>
      <c r="D50" s="15" t="inlineStr">
        <is>
          <t>Persona</t>
        </is>
      </c>
      <c r="E50" s="15" t="n">
        <v>1</v>
      </c>
      <c r="F50" s="16">
        <f>IF(G50=1,IF(D50="Persona",E50*'Datos del viaje'!$B$10,E50),"")</f>
        <v/>
      </c>
      <c r="G50">
        <f>IF(B50="",0,IFERROR(INDEX('Datos del viaje'!$E$5:$E$16,MATCH(C50,'Datos del viaje'!$D$5:$D$16,0)),0))</f>
        <v/>
      </c>
      <c r="H50" s="15" t="n"/>
      <c r="I50">
        <f>IF(G50=1,SUM(G$5:G50),"")</f>
        <v/>
      </c>
    </row>
    <row r="51">
      <c r="A51" s="23" t="inlineStr">
        <is>
          <t>Día de viaje</t>
        </is>
      </c>
      <c r="B51" s="23" t="inlineStr">
        <is>
          <t>Botella vacía para llenar después del control</t>
        </is>
      </c>
      <c r="C51" s="23" t="inlineStr">
        <is>
          <t>Avión</t>
        </is>
      </c>
      <c r="D51" s="15" t="inlineStr">
        <is>
          <t>Persona</t>
        </is>
      </c>
      <c r="E51" s="15" t="n">
        <v>1</v>
      </c>
      <c r="F51" s="16">
        <f>IF(G51=1,IF(D51="Persona",E51*'Datos del viaje'!$B$10,E51),"")</f>
        <v/>
      </c>
      <c r="G51">
        <f>IF(B51="",0,IFERROR(INDEX('Datos del viaje'!$E$5:$E$16,MATCH(C51,'Datos del viaje'!$D$5:$D$16,0)),0))</f>
        <v/>
      </c>
      <c r="H51" s="15" t="n"/>
      <c r="I51">
        <f>IF(G51=1,SUM(G$5:G51),"")</f>
        <v/>
      </c>
    </row>
    <row r="52">
      <c r="A52" s="23" t="inlineStr">
        <is>
          <t>Día de viaje</t>
        </is>
      </c>
      <c r="B52" s="23" t="inlineStr">
        <is>
          <t>Snacks para el trayecto</t>
        </is>
      </c>
      <c r="C52" s="23" t="inlineStr">
        <is>
          <t>Siempre</t>
        </is>
      </c>
      <c r="D52" s="15" t="inlineStr">
        <is>
          <t>Viaje</t>
        </is>
      </c>
      <c r="E52" s="15" t="n">
        <v>1</v>
      </c>
      <c r="F52" s="16">
        <f>IF(G52=1,IF(D52="Persona",E52*'Datos del viaje'!$B$10,E52),"")</f>
        <v/>
      </c>
      <c r="G52">
        <f>IF(B52="",0,IFERROR(INDEX('Datos del viaje'!$E$5:$E$16,MATCH(C52,'Datos del viaje'!$D$5:$D$16,0)),0))</f>
        <v/>
      </c>
      <c r="H52" s="15" t="n"/>
      <c r="I52">
        <f>IF(G52=1,SUM(G$5:G52),"")</f>
        <v/>
      </c>
    </row>
    <row r="53">
      <c r="A53" s="23" t="inlineStr">
        <is>
          <t>Día de viaje</t>
        </is>
      </c>
      <c r="B53" s="23" t="inlineStr">
        <is>
          <t>Libro, e-reader o series descargadas</t>
        </is>
      </c>
      <c r="C53" s="23" t="inlineStr">
        <is>
          <t>Siempre</t>
        </is>
      </c>
      <c r="D53" s="15" t="inlineStr">
        <is>
          <t>Persona</t>
        </is>
      </c>
      <c r="E53" s="15" t="n">
        <v>1</v>
      </c>
      <c r="F53" s="16">
        <f>IF(G53=1,IF(D53="Persona",E53*'Datos del viaje'!$B$10,E53),"")</f>
        <v/>
      </c>
      <c r="G53">
        <f>IF(B53="",0,IFERROR(INDEX('Datos del viaje'!$E$5:$E$16,MATCH(C53,'Datos del viaje'!$D$5:$D$16,0)),0))</f>
        <v/>
      </c>
      <c r="H53" s="15" t="n"/>
      <c r="I53">
        <f>IF(G53=1,SUM(G$5:G53),"")</f>
        <v/>
      </c>
    </row>
    <row r="54">
      <c r="A54" s="23" t="inlineStr">
        <is>
          <t>Chicos</t>
        </is>
      </c>
      <c r="B54" s="23" t="inlineStr">
        <is>
          <t>Pañales y toallitas, si hacen falta</t>
        </is>
      </c>
      <c r="C54" s="23" t="inlineStr">
        <is>
          <t>Con chicos</t>
        </is>
      </c>
      <c r="D54" s="15" t="inlineStr">
        <is>
          <t>Viaje</t>
        </is>
      </c>
      <c r="E54" s="15" t="n">
        <v>1</v>
      </c>
      <c r="F54" s="16">
        <f>IF(G54=1,IF(D54="Persona",E54*'Datos del viaje'!$B$10,E54),"")</f>
        <v/>
      </c>
      <c r="G54">
        <f>IF(B54="",0,IFERROR(INDEX('Datos del viaje'!$E$5:$E$16,MATCH(C54,'Datos del viaje'!$D$5:$D$16,0)),0))</f>
        <v/>
      </c>
      <c r="H54" s="15" t="n"/>
      <c r="I54">
        <f>IF(G54=1,SUM(G$5:G54),"")</f>
        <v/>
      </c>
    </row>
    <row r="55">
      <c r="A55" s="23" t="inlineStr">
        <is>
          <t>Chicos</t>
        </is>
      </c>
      <c r="B55" s="23" t="inlineStr">
        <is>
          <t>Mudas de ropa extra para el trayecto</t>
        </is>
      </c>
      <c r="C55" s="23" t="inlineStr">
        <is>
          <t>Con chicos</t>
        </is>
      </c>
      <c r="D55" s="15" t="inlineStr">
        <is>
          <t>Viaje</t>
        </is>
      </c>
      <c r="E55" s="15" t="n">
        <v>2</v>
      </c>
      <c r="F55" s="16">
        <f>IF(G55=1,IF(D55="Persona",E55*'Datos del viaje'!$B$10,E55),"")</f>
        <v/>
      </c>
      <c r="G55">
        <f>IF(B55="",0,IFERROR(INDEX('Datos del viaje'!$E$5:$E$16,MATCH(C55,'Datos del viaje'!$D$5:$D$16,0)),0))</f>
        <v/>
      </c>
      <c r="H55" s="15" t="n"/>
      <c r="I55">
        <f>IF(G55=1,SUM(G$5:G55),"")</f>
        <v/>
      </c>
    </row>
    <row r="56">
      <c r="A56" s="23" t="inlineStr">
        <is>
          <t>Chicos</t>
        </is>
      </c>
      <c r="B56" s="23" t="inlineStr">
        <is>
          <t>Juguete o objeto preferido</t>
        </is>
      </c>
      <c r="C56" s="23" t="inlineStr">
        <is>
          <t>Con chicos</t>
        </is>
      </c>
      <c r="D56" s="15" t="inlineStr">
        <is>
          <t>Viaje</t>
        </is>
      </c>
      <c r="E56" s="15" t="n">
        <v>1</v>
      </c>
      <c r="F56" s="16">
        <f>IF(G56=1,IF(D56="Persona",E56*'Datos del viaje'!$B$10,E56),"")</f>
        <v/>
      </c>
      <c r="G56">
        <f>IF(B56="",0,IFERROR(INDEX('Datos del viaje'!$E$5:$E$16,MATCH(C56,'Datos del viaje'!$D$5:$D$16,0)),0))</f>
        <v/>
      </c>
      <c r="H56" s="15" t="n"/>
      <c r="I56">
        <f>IF(G56=1,SUM(G$5:G56),"")</f>
        <v/>
      </c>
    </row>
    <row r="57">
      <c r="A57" s="23" t="inlineStr">
        <is>
          <t>Chicos</t>
        </is>
      </c>
      <c r="B57" s="23" t="inlineStr">
        <is>
          <t>Medicación de los chicos</t>
        </is>
      </c>
      <c r="C57" s="23" t="inlineStr">
        <is>
          <t>Con chicos</t>
        </is>
      </c>
      <c r="D57" s="15" t="inlineStr">
        <is>
          <t>Viaje</t>
        </is>
      </c>
      <c r="E57" s="15" t="n">
        <v>1</v>
      </c>
      <c r="F57" s="16">
        <f>IF(G57=1,IF(D57="Persona",E57*'Datos del viaje'!$B$10,E57),"")</f>
        <v/>
      </c>
      <c r="G57">
        <f>IF(B57="",0,IFERROR(INDEX('Datos del viaje'!$E$5:$E$16,MATCH(C57,'Datos del viaje'!$D$5:$D$16,0)),0))</f>
        <v/>
      </c>
      <c r="H57" s="15" t="n"/>
      <c r="I57">
        <f>IF(G57=1,SUM(G$5:G57),"")</f>
        <v/>
      </c>
    </row>
    <row r="58">
      <c r="A58" s="23" t="inlineStr">
        <is>
          <t>Chicos</t>
        </is>
      </c>
      <c r="B58" s="23" t="inlineStr">
        <is>
          <t>Silla o booster, cochecito o mochila portabebé</t>
        </is>
      </c>
      <c r="C58" s="23" t="inlineStr">
        <is>
          <t>Con chicos</t>
        </is>
      </c>
      <c r="D58" s="15" t="inlineStr">
        <is>
          <t>Viaje</t>
        </is>
      </c>
      <c r="E58" s="15" t="n">
        <v>1</v>
      </c>
      <c r="F58" s="16">
        <f>IF(G58=1,IF(D58="Persona",E58*'Datos del viaje'!$B$10,E58),"")</f>
        <v/>
      </c>
      <c r="G58">
        <f>IF(B58="",0,IFERROR(INDEX('Datos del viaje'!$E$5:$E$16,MATCH(C58,'Datos del viaje'!$D$5:$D$16,0)),0))</f>
        <v/>
      </c>
      <c r="H58" s="15" t="n"/>
      <c r="I58">
        <f>IF(G58=1,SUM(G$5:G58),"")</f>
        <v/>
      </c>
    </row>
    <row r="59">
      <c r="A59" s="23" t="inlineStr">
        <is>
          <t>Chicos</t>
        </is>
      </c>
      <c r="B59" s="23" t="inlineStr">
        <is>
          <t>Juegos, libros o tablet con contenido descargado</t>
        </is>
      </c>
      <c r="C59" s="23" t="inlineStr">
        <is>
          <t>Con chicos</t>
        </is>
      </c>
      <c r="D59" s="15" t="inlineStr">
        <is>
          <t>Viaje</t>
        </is>
      </c>
      <c r="E59" s="15" t="n">
        <v>1</v>
      </c>
      <c r="F59" s="16">
        <f>IF(G59=1,IF(D59="Persona",E59*'Datos del viaje'!$B$10,E59),"")</f>
        <v/>
      </c>
      <c r="G59">
        <f>IF(B59="",0,IFERROR(INDEX('Datos del viaje'!$E$5:$E$16,MATCH(C59,'Datos del viaje'!$D$5:$D$16,0)),0))</f>
        <v/>
      </c>
      <c r="H59" s="15" t="n"/>
      <c r="I59">
        <f>IF(G59=1,SUM(G$5:G59),"")</f>
        <v/>
      </c>
    </row>
    <row r="60">
      <c r="A60" s="23" t="inlineStr">
        <is>
          <t>Mascotas</t>
        </is>
      </c>
      <c r="B60" s="23" t="inlineStr">
        <is>
          <t>Comida para todos los días y un poco más</t>
        </is>
      </c>
      <c r="C60" s="23" t="inlineStr">
        <is>
          <t>Mascotas</t>
        </is>
      </c>
      <c r="D60" s="15" t="inlineStr">
        <is>
          <t>Viaje</t>
        </is>
      </c>
      <c r="E60" s="15" t="n">
        <v>1</v>
      </c>
      <c r="F60" s="16">
        <f>IF(G60=1,IF(D60="Persona",E60*'Datos del viaje'!$B$10,E60),"")</f>
        <v/>
      </c>
      <c r="G60">
        <f>IF(B60="",0,IFERROR(INDEX('Datos del viaje'!$E$5:$E$16,MATCH(C60,'Datos del viaje'!$D$5:$D$16,0)),0))</f>
        <v/>
      </c>
      <c r="H60" s="15" t="n"/>
      <c r="I60">
        <f>IF(G60=1,SUM(G$5:G60),"")</f>
        <v/>
      </c>
    </row>
    <row r="61">
      <c r="A61" s="23" t="inlineStr">
        <is>
          <t>Mascotas</t>
        </is>
      </c>
      <c r="B61" s="23" t="inlineStr">
        <is>
          <t>Platos de agua y comida</t>
        </is>
      </c>
      <c r="C61" s="23" t="inlineStr">
        <is>
          <t>Mascotas</t>
        </is>
      </c>
      <c r="D61" s="15" t="inlineStr">
        <is>
          <t>Viaje</t>
        </is>
      </c>
      <c r="E61" s="15" t="n">
        <v>1</v>
      </c>
      <c r="F61" s="16">
        <f>IF(G61=1,IF(D61="Persona",E61*'Datos del viaje'!$B$10,E61),"")</f>
        <v/>
      </c>
      <c r="G61">
        <f>IF(B61="",0,IFERROR(INDEX('Datos del viaje'!$E$5:$E$16,MATCH(C61,'Datos del viaje'!$D$5:$D$16,0)),0))</f>
        <v/>
      </c>
      <c r="H61" s="15" t="n"/>
      <c r="I61">
        <f>IF(G61=1,SUM(G$5:G61),"")</f>
        <v/>
      </c>
    </row>
    <row r="62">
      <c r="A62" s="23" t="inlineStr">
        <is>
          <t>Mascotas</t>
        </is>
      </c>
      <c r="B62" s="23" t="inlineStr">
        <is>
          <t>Correa o arnés</t>
        </is>
      </c>
      <c r="C62" s="23" t="inlineStr">
        <is>
          <t>Mascotas</t>
        </is>
      </c>
      <c r="D62" s="15" t="inlineStr">
        <is>
          <t>Viaje</t>
        </is>
      </c>
      <c r="E62" s="15" t="n">
        <v>1</v>
      </c>
      <c r="F62" s="16">
        <f>IF(G62=1,IF(D62="Persona",E62*'Datos del viaje'!$B$10,E62),"")</f>
        <v/>
      </c>
      <c r="G62">
        <f>IF(B62="",0,IFERROR(INDEX('Datos del viaje'!$E$5:$E$16,MATCH(C62,'Datos del viaje'!$D$5:$D$16,0)),0))</f>
        <v/>
      </c>
      <c r="H62" s="15" t="n"/>
      <c r="I62">
        <f>IF(G62=1,SUM(G$5:G62),"")</f>
        <v/>
      </c>
    </row>
    <row r="63">
      <c r="A63" s="23" t="inlineStr">
        <is>
          <t>Mascotas</t>
        </is>
      </c>
      <c r="B63" s="23" t="inlineStr">
        <is>
          <t>Transportadora o jaula de viaje</t>
        </is>
      </c>
      <c r="C63" s="23" t="inlineStr">
        <is>
          <t>Mascotas</t>
        </is>
      </c>
      <c r="D63" s="15" t="inlineStr">
        <is>
          <t>Viaje</t>
        </is>
      </c>
      <c r="E63" s="15" t="n">
        <v>1</v>
      </c>
      <c r="F63" s="16">
        <f>IF(G63=1,IF(D63="Persona",E63*'Datos del viaje'!$B$10,E63),"")</f>
        <v/>
      </c>
      <c r="G63">
        <f>IF(B63="",0,IFERROR(INDEX('Datos del viaje'!$E$5:$E$16,MATCH(C63,'Datos del viaje'!$D$5:$D$16,0)),0))</f>
        <v/>
      </c>
      <c r="H63" s="15" t="n"/>
      <c r="I63">
        <f>IF(G63=1,SUM(G$5:G63),"")</f>
        <v/>
      </c>
    </row>
    <row r="64">
      <c r="A64" s="23" t="inlineStr">
        <is>
          <t>Mascotas</t>
        </is>
      </c>
      <c r="B64" s="23" t="inlineStr">
        <is>
          <t>Papeles del veterinario y libreta de vacunas</t>
        </is>
      </c>
      <c r="C64" s="23" t="inlineStr">
        <is>
          <t>Mascotas</t>
        </is>
      </c>
      <c r="D64" s="15" t="inlineStr">
        <is>
          <t>Viaje</t>
        </is>
      </c>
      <c r="E64" s="15" t="n">
        <v>1</v>
      </c>
      <c r="F64" s="16">
        <f>IF(G64=1,IF(D64="Persona",E64*'Datos del viaje'!$B$10,E64),"")</f>
        <v/>
      </c>
      <c r="G64">
        <f>IF(B64="",0,IFERROR(INDEX('Datos del viaje'!$E$5:$E$16,MATCH(C64,'Datos del viaje'!$D$5:$D$16,0)),0))</f>
        <v/>
      </c>
      <c r="H64" s="15" t="n"/>
      <c r="I64">
        <f>IF(G64=1,SUM(G$5:G64),"")</f>
        <v/>
      </c>
    </row>
    <row r="65">
      <c r="A65" s="23" t="inlineStr">
        <is>
          <t>Mascotas</t>
        </is>
      </c>
      <c r="B65" s="23" t="inlineStr">
        <is>
          <t>Bolsitas y toallitas de limpieza</t>
        </is>
      </c>
      <c r="C65" s="23" t="inlineStr">
        <is>
          <t>Mascotas</t>
        </is>
      </c>
      <c r="D65" s="15" t="inlineStr">
        <is>
          <t>Viaje</t>
        </is>
      </c>
      <c r="E65" s="15" t="n">
        <v>1</v>
      </c>
      <c r="F65" s="16">
        <f>IF(G65=1,IF(D65="Persona",E65*'Datos del viaje'!$B$10,E65),"")</f>
        <v/>
      </c>
      <c r="G65">
        <f>IF(B65="",0,IFERROR(INDEX('Datos del viaje'!$E$5:$E$16,MATCH(C65,'Datos del viaje'!$D$5:$D$16,0)),0))</f>
        <v/>
      </c>
      <c r="H65" s="15" t="n"/>
      <c r="I65">
        <f>IF(G65=1,SUM(G$5:G65),"")</f>
        <v/>
      </c>
    </row>
    <row r="66">
      <c r="A66" s="23" t="inlineStr">
        <is>
          <t>Mascotas</t>
        </is>
      </c>
      <c r="B66" s="23" t="inlineStr">
        <is>
          <t>Cama o manta y un juguete</t>
        </is>
      </c>
      <c r="C66" s="23" t="inlineStr">
        <is>
          <t>Mascotas</t>
        </is>
      </c>
      <c r="D66" s="15" t="inlineStr">
        <is>
          <t>Viaje</t>
        </is>
      </c>
      <c r="E66" s="15" t="n">
        <v>1</v>
      </c>
      <c r="F66" s="16">
        <f>IF(G66=1,IF(D66="Persona",E66*'Datos del viaje'!$B$10,E66),"")</f>
        <v/>
      </c>
      <c r="G66">
        <f>IF(B66="",0,IFERROR(INDEX('Datos del viaje'!$E$5:$E$16,MATCH(C66,'Datos del viaje'!$D$5:$D$16,0)),0))</f>
        <v/>
      </c>
      <c r="H66" s="15" t="n"/>
      <c r="I66">
        <f>IF(G66=1,SUM(G$5:G66),"")</f>
        <v/>
      </c>
    </row>
    <row r="67">
      <c r="A67" s="23" t="inlineStr">
        <is>
          <t>Auto</t>
        </is>
      </c>
      <c r="B67" s="23" t="inlineStr">
        <is>
          <t>Balizas, chaleco reflectivo, rueda de auxilio y herramientas (verificá qué se exige)</t>
        </is>
      </c>
      <c r="C67" s="23" t="inlineStr">
        <is>
          <t>Auto</t>
        </is>
      </c>
      <c r="D67" s="15" t="inlineStr">
        <is>
          <t>Viaje</t>
        </is>
      </c>
      <c r="E67" s="15" t="n">
        <v>1</v>
      </c>
      <c r="F67" s="16">
        <f>IF(G67=1,IF(D67="Persona",E67*'Datos del viaje'!$B$10,E67),"")</f>
        <v/>
      </c>
      <c r="G67">
        <f>IF(B67="",0,IFERROR(INDEX('Datos del viaje'!$E$5:$E$16,MATCH(C67,'Datos del viaje'!$D$5:$D$16,0)),0))</f>
        <v/>
      </c>
      <c r="H67" s="15" t="n"/>
      <c r="I67">
        <f>IF(G67=1,SUM(G$5:G67),"")</f>
        <v/>
      </c>
    </row>
    <row r="68">
      <c r="A68" s="23" t="inlineStr">
        <is>
          <t>Auto</t>
        </is>
      </c>
      <c r="B68" s="23" t="inlineStr">
        <is>
          <t>Soporte de celular y cargador para el auto</t>
        </is>
      </c>
      <c r="C68" s="23" t="inlineStr">
        <is>
          <t>Auto</t>
        </is>
      </c>
      <c r="D68" s="15" t="inlineStr">
        <is>
          <t>Viaje</t>
        </is>
      </c>
      <c r="E68" s="15" t="n">
        <v>1</v>
      </c>
      <c r="F68" s="16">
        <f>IF(G68=1,IF(D68="Persona",E68*'Datos del viaje'!$B$10,E68),"")</f>
        <v/>
      </c>
      <c r="G68">
        <f>IF(B68="",0,IFERROR(INDEX('Datos del viaje'!$E$5:$E$16,MATCH(C68,'Datos del viaje'!$D$5:$D$16,0)),0))</f>
        <v/>
      </c>
      <c r="H68" s="15" t="n"/>
      <c r="I68">
        <f>IF(G68=1,SUM(G$5:G68),"")</f>
        <v/>
      </c>
    </row>
    <row r="69">
      <c r="A69" s="23" t="inlineStr">
        <is>
          <t>Auto</t>
        </is>
      </c>
      <c r="B69" s="23" t="inlineStr">
        <is>
          <t>Agua y snacks</t>
        </is>
      </c>
      <c r="C69" s="23" t="inlineStr">
        <is>
          <t>Auto</t>
        </is>
      </c>
      <c r="D69" s="15" t="inlineStr">
        <is>
          <t>Viaje</t>
        </is>
      </c>
      <c r="E69" s="15" t="n">
        <v>1</v>
      </c>
      <c r="F69" s="16">
        <f>IF(G69=1,IF(D69="Persona",E69*'Datos del viaje'!$B$10,E69),"")</f>
        <v/>
      </c>
      <c r="G69">
        <f>IF(B69="",0,IFERROR(INDEX('Datos del viaje'!$E$5:$E$16,MATCH(C69,'Datos del viaje'!$D$5:$D$16,0)),0))</f>
        <v/>
      </c>
      <c r="H69" s="15" t="n"/>
      <c r="I69">
        <f>IF(G69=1,SUM(G$5:G69),"")</f>
        <v/>
      </c>
    </row>
    <row r="70">
      <c r="A70" s="23" t="inlineStr">
        <is>
          <t>Extras</t>
        </is>
      </c>
      <c r="B70" s="23" t="inlineStr">
        <is>
          <t>Mochila chica para salidas del día</t>
        </is>
      </c>
      <c r="C70" s="23" t="inlineStr">
        <is>
          <t>Siempre</t>
        </is>
      </c>
      <c r="D70" s="15" t="inlineStr">
        <is>
          <t>Viaje</t>
        </is>
      </c>
      <c r="E70" s="15" t="n">
        <v>1</v>
      </c>
      <c r="F70" s="16">
        <f>IF(G70=1,IF(D70="Persona",E70*'Datos del viaje'!$B$10,E70),"")</f>
        <v/>
      </c>
      <c r="G70">
        <f>IF(B70="",0,IFERROR(INDEX('Datos del viaje'!$E$5:$E$16,MATCH(C70,'Datos del viaje'!$D$5:$D$16,0)),0))</f>
        <v/>
      </c>
      <c r="H70" s="15" t="n"/>
      <c r="I70">
        <f>IF(G70=1,SUM(G$5:G70),"")</f>
        <v/>
      </c>
    </row>
    <row r="71">
      <c r="A71" s="23" t="inlineStr">
        <is>
          <t>Extras</t>
        </is>
      </c>
      <c r="B71" s="23" t="inlineStr">
        <is>
          <t>Bolsa reutilizable</t>
        </is>
      </c>
      <c r="C71" s="23" t="inlineStr">
        <is>
          <t>Siempre</t>
        </is>
      </c>
      <c r="D71" s="15" t="inlineStr">
        <is>
          <t>Viaje</t>
        </is>
      </c>
      <c r="E71" s="15" t="n">
        <v>1</v>
      </c>
      <c r="F71" s="16">
        <f>IF(G71=1,IF(D71="Persona",E71*'Datos del viaje'!$B$10,E71),"")</f>
        <v/>
      </c>
      <c r="G71">
        <f>IF(B71="",0,IFERROR(INDEX('Datos del viaje'!$E$5:$E$16,MATCH(C71,'Datos del viaje'!$D$5:$D$16,0)),0))</f>
        <v/>
      </c>
      <c r="H71" s="15" t="n"/>
      <c r="I71">
        <f>IF(G71=1,SUM(G$5:G71),"")</f>
        <v/>
      </c>
    </row>
    <row r="72">
      <c r="A72" s="23" t="inlineStr">
        <is>
          <t>Extras</t>
        </is>
      </c>
      <c r="B72" s="23" t="inlineStr">
        <is>
          <t>Candado y etiquetas identificatorias para las valijas</t>
        </is>
      </c>
      <c r="C72" s="23" t="inlineStr">
        <is>
          <t>Siempre</t>
        </is>
      </c>
      <c r="D72" s="15" t="inlineStr">
        <is>
          <t>Viaje</t>
        </is>
      </c>
      <c r="E72" s="15" t="n">
        <v>1</v>
      </c>
      <c r="F72" s="16">
        <f>IF(G72=1,IF(D72="Persona",E72*'Datos del viaje'!$B$10,E72),"")</f>
        <v/>
      </c>
      <c r="G72">
        <f>IF(B72="",0,IFERROR(INDEX('Datos del viaje'!$E$5:$E$16,MATCH(C72,'Datos del viaje'!$D$5:$D$16,0)),0))</f>
        <v/>
      </c>
      <c r="H72" s="15" t="n"/>
      <c r="I72">
        <f>IF(G72=1,SUM(G$5:G72),"")</f>
        <v/>
      </c>
    </row>
    <row r="73">
      <c r="A73" s="23" t="inlineStr">
        <is>
          <t>Extras</t>
        </is>
      </c>
      <c r="B73" s="23" t="inlineStr">
        <is>
          <t>Lapicera y libreta chica</t>
        </is>
      </c>
      <c r="C73" s="23" t="inlineStr">
        <is>
          <t>Siempre</t>
        </is>
      </c>
      <c r="D73" s="15" t="inlineStr">
        <is>
          <t>Viaje</t>
        </is>
      </c>
      <c r="E73" s="15" t="n">
        <v>1</v>
      </c>
      <c r="F73" s="16">
        <f>IF(G73=1,IF(D73="Persona",E73*'Datos del viaje'!$B$10,E73),"")</f>
        <v/>
      </c>
      <c r="G73">
        <f>IF(B73="",0,IFERROR(INDEX('Datos del viaje'!$E$5:$E$16,MATCH(C73,'Datos del viaje'!$D$5:$D$16,0)),0))</f>
        <v/>
      </c>
      <c r="H73" s="15" t="n"/>
      <c r="I73">
        <f>IF(G73=1,SUM(G$5:G73),"")</f>
        <v/>
      </c>
    </row>
    <row r="74">
      <c r="A74" s="23" t="n"/>
      <c r="B74" s="23" t="n"/>
      <c r="C74" s="23" t="n"/>
      <c r="D74" s="15" t="n"/>
      <c r="E74" s="15" t="n"/>
      <c r="F74" s="16">
        <f>IF(G74=1,IF(D74="Persona",E74*'Datos del viaje'!$B$10,E74),"")</f>
        <v/>
      </c>
      <c r="G74">
        <f>IF(B74="",0,IFERROR(INDEX('Datos del viaje'!$E$5:$E$16,MATCH(C74,'Datos del viaje'!$D$5:$D$16,0)),0))</f>
        <v/>
      </c>
      <c r="H74" s="15" t="n"/>
      <c r="I74">
        <f>IF(G74=1,SUM(G$5:G74),"")</f>
        <v/>
      </c>
    </row>
    <row r="75">
      <c r="A75" s="23" t="n"/>
      <c r="B75" s="23" t="n"/>
      <c r="C75" s="23" t="n"/>
      <c r="D75" s="15" t="n"/>
      <c r="E75" s="15" t="n"/>
      <c r="F75" s="16">
        <f>IF(G75=1,IF(D75="Persona",E75*'Datos del viaje'!$B$10,E75),"")</f>
        <v/>
      </c>
      <c r="G75">
        <f>IF(B75="",0,IFERROR(INDEX('Datos del viaje'!$E$5:$E$16,MATCH(C75,'Datos del viaje'!$D$5:$D$16,0)),0))</f>
        <v/>
      </c>
      <c r="H75" s="15" t="n"/>
      <c r="I75">
        <f>IF(G75=1,SUM(G$5:G75),"")</f>
        <v/>
      </c>
    </row>
    <row r="76">
      <c r="A76" s="23" t="n"/>
      <c r="B76" s="23" t="n"/>
      <c r="C76" s="23" t="n"/>
      <c r="D76" s="15" t="n"/>
      <c r="E76" s="15" t="n"/>
      <c r="F76" s="16">
        <f>IF(G76=1,IF(D76="Persona",E76*'Datos del viaje'!$B$10,E76),"")</f>
        <v/>
      </c>
      <c r="G76">
        <f>IF(B76="",0,IFERROR(INDEX('Datos del viaje'!$E$5:$E$16,MATCH(C76,'Datos del viaje'!$D$5:$D$16,0)),0))</f>
        <v/>
      </c>
      <c r="H76" s="15" t="n"/>
      <c r="I76">
        <f>IF(G76=1,SUM(G$5:G76),"")</f>
        <v/>
      </c>
    </row>
    <row r="77">
      <c r="A77" s="23" t="n"/>
      <c r="B77" s="23" t="n"/>
      <c r="C77" s="23" t="n"/>
      <c r="D77" s="15" t="n"/>
      <c r="E77" s="15" t="n"/>
      <c r="F77" s="16">
        <f>IF(G77=1,IF(D77="Persona",E77*'Datos del viaje'!$B$10,E77),"")</f>
        <v/>
      </c>
      <c r="G77">
        <f>IF(B77="",0,IFERROR(INDEX('Datos del viaje'!$E$5:$E$16,MATCH(C77,'Datos del viaje'!$D$5:$D$16,0)),0))</f>
        <v/>
      </c>
      <c r="H77" s="15" t="n"/>
      <c r="I77">
        <f>IF(G77=1,SUM(G$5:G77),"")</f>
        <v/>
      </c>
    </row>
    <row r="78">
      <c r="A78" s="23" t="n"/>
      <c r="B78" s="23" t="n"/>
      <c r="C78" s="23" t="n"/>
      <c r="D78" s="15" t="n"/>
      <c r="E78" s="15" t="n"/>
      <c r="F78" s="16">
        <f>IF(G78=1,IF(D78="Persona",E78*'Datos del viaje'!$B$10,E78),"")</f>
        <v/>
      </c>
      <c r="G78">
        <f>IF(B78="",0,IFERROR(INDEX('Datos del viaje'!$E$5:$E$16,MATCH(C78,'Datos del viaje'!$D$5:$D$16,0)),0))</f>
        <v/>
      </c>
      <c r="H78" s="15" t="n"/>
      <c r="I78">
        <f>IF(G78=1,SUM(G$5:G78),"")</f>
        <v/>
      </c>
    </row>
    <row r="79">
      <c r="A79" s="23" t="n"/>
      <c r="B79" s="23" t="n"/>
      <c r="C79" s="23" t="n"/>
      <c r="D79" s="15" t="n"/>
      <c r="E79" s="15" t="n"/>
      <c r="F79" s="16">
        <f>IF(G79=1,IF(D79="Persona",E79*'Datos del viaje'!$B$10,E79),"")</f>
        <v/>
      </c>
      <c r="G79">
        <f>IF(B79="",0,IFERROR(INDEX('Datos del viaje'!$E$5:$E$16,MATCH(C79,'Datos del viaje'!$D$5:$D$16,0)),0))</f>
        <v/>
      </c>
      <c r="H79" s="15" t="n"/>
      <c r="I79">
        <f>IF(G79=1,SUM(G$5:G79),"")</f>
        <v/>
      </c>
    </row>
    <row r="80">
      <c r="A80" s="23" t="n"/>
      <c r="B80" s="23" t="n"/>
      <c r="C80" s="23" t="n"/>
      <c r="D80" s="15" t="n"/>
      <c r="E80" s="15" t="n"/>
      <c r="F80" s="16">
        <f>IF(G80=1,IF(D80="Persona",E80*'Datos del viaje'!$B$10,E80),"")</f>
        <v/>
      </c>
      <c r="G80">
        <f>IF(B80="",0,IFERROR(INDEX('Datos del viaje'!$E$5:$E$16,MATCH(C80,'Datos del viaje'!$D$5:$D$16,0)),0))</f>
        <v/>
      </c>
      <c r="H80" s="15" t="n"/>
      <c r="I80">
        <f>IF(G80=1,SUM(G$5:G80),"")</f>
        <v/>
      </c>
    </row>
    <row r="81">
      <c r="A81" s="23" t="n"/>
      <c r="B81" s="23" t="n"/>
      <c r="C81" s="23" t="n"/>
      <c r="D81" s="15" t="n"/>
      <c r="E81" s="15" t="n"/>
      <c r="F81" s="16">
        <f>IF(G81=1,IF(D81="Persona",E81*'Datos del viaje'!$B$10,E81),"")</f>
        <v/>
      </c>
      <c r="G81">
        <f>IF(B81="",0,IFERROR(INDEX('Datos del viaje'!$E$5:$E$16,MATCH(C81,'Datos del viaje'!$D$5:$D$16,0)),0))</f>
        <v/>
      </c>
      <c r="H81" s="15" t="n"/>
      <c r="I81">
        <f>IF(G81=1,SUM(G$5:G81),"")</f>
        <v/>
      </c>
    </row>
    <row r="82">
      <c r="A82" s="23" t="n"/>
      <c r="B82" s="23" t="n"/>
      <c r="C82" s="23" t="n"/>
      <c r="D82" s="15" t="n"/>
      <c r="E82" s="15" t="n"/>
      <c r="F82" s="16">
        <f>IF(G82=1,IF(D82="Persona",E82*'Datos del viaje'!$B$10,E82),"")</f>
        <v/>
      </c>
      <c r="G82">
        <f>IF(B82="",0,IFERROR(INDEX('Datos del viaje'!$E$5:$E$16,MATCH(C82,'Datos del viaje'!$D$5:$D$16,0)),0))</f>
        <v/>
      </c>
      <c r="H82" s="15" t="n"/>
      <c r="I82">
        <f>IF(G82=1,SUM(G$5:G82),"")</f>
        <v/>
      </c>
    </row>
    <row r="83">
      <c r="A83" s="23" t="n"/>
      <c r="B83" s="23" t="n"/>
      <c r="C83" s="23" t="n"/>
      <c r="D83" s="15" t="n"/>
      <c r="E83" s="15" t="n"/>
      <c r="F83" s="16">
        <f>IF(G83=1,IF(D83="Persona",E83*'Datos del viaje'!$B$10,E83),"")</f>
        <v/>
      </c>
      <c r="G83">
        <f>IF(B83="",0,IFERROR(INDEX('Datos del viaje'!$E$5:$E$16,MATCH(C83,'Datos del viaje'!$D$5:$D$16,0)),0))</f>
        <v/>
      </c>
      <c r="H83" s="15" t="n"/>
      <c r="I83">
        <f>IF(G83=1,SUM(G$5:G83),"")</f>
        <v/>
      </c>
    </row>
    <row r="84">
      <c r="A84" s="23" t="n"/>
      <c r="B84" s="23" t="n"/>
      <c r="C84" s="23" t="n"/>
      <c r="D84" s="15" t="n"/>
      <c r="E84" s="15" t="n"/>
      <c r="F84" s="16">
        <f>IF(G84=1,IF(D84="Persona",E84*'Datos del viaje'!$B$10,E84),"")</f>
        <v/>
      </c>
      <c r="G84">
        <f>IF(B84="",0,IFERROR(INDEX('Datos del viaje'!$E$5:$E$16,MATCH(C84,'Datos del viaje'!$D$5:$D$16,0)),0))</f>
        <v/>
      </c>
      <c r="H84" s="15" t="n"/>
      <c r="I84">
        <f>IF(G84=1,SUM(G$5:G84),"")</f>
        <v/>
      </c>
    </row>
    <row r="85">
      <c r="A85" s="23" t="n"/>
      <c r="B85" s="23" t="n"/>
      <c r="C85" s="23" t="n"/>
      <c r="D85" s="15" t="n"/>
      <c r="E85" s="15" t="n"/>
      <c r="F85" s="16">
        <f>IF(G85=1,IF(D85="Persona",E85*'Datos del viaje'!$B$10,E85),"")</f>
        <v/>
      </c>
      <c r="G85">
        <f>IF(B85="",0,IFERROR(INDEX('Datos del viaje'!$E$5:$E$16,MATCH(C85,'Datos del viaje'!$D$5:$D$16,0)),0))</f>
        <v/>
      </c>
      <c r="H85" s="15" t="n"/>
      <c r="I85">
        <f>IF(G85=1,SUM(G$5:G85),"")</f>
        <v/>
      </c>
    </row>
  </sheetData>
  <autoFilter ref="A4:H85"/>
  <conditionalFormatting sqref="A5:H85">
    <cfRule type="expression" priority="1" dxfId="2">
      <formula>AND($B5&lt;&gt;"",$G5=0)</formula>
    </cfRule>
  </conditionalFormatting>
  <conditionalFormatting sqref="H5:H85">
    <cfRule type="expression" priority="2" dxfId="5">
      <formula>$H5="✓"</formula>
    </cfRule>
  </conditionalFormatting>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"Persona,Viaje"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showDropDown="0" showInputMessage="0" showErrorMessage="0" allowBlank="1" type="list">
      <formula1>"✓"</formula1>
    </dataValidation>
    <dataValidation sqref="C5:C85" showDropDown="0" showInputMessage="0" showErrorMessage="0" allowBlank="1" type="list">
      <formula1>='Datos del viaje'!$D$5:$D$16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E85"/>
  <sheetViews>
    <sheetView showGridLines="0" workbookViewId="0">
      <selection activeCell="A1" sqref="A1"/>
    </sheetView>
  </sheetViews>
  <sheetFormatPr baseColWidth="8" defaultRowHeight="15"/>
  <cols>
    <col width="5" customWidth="1" min="1" max="1"/>
    <col width="22" customWidth="1" min="2" max="2"/>
    <col width="62" customWidth="1" min="3" max="3"/>
    <col width="8" customWidth="1" min="4" max="4"/>
    <col hidden="1" width="3" customWidth="1" min="5" max="5"/>
  </cols>
  <sheetData>
    <row r="1" ht="28" customHeight="1">
      <c r="A1" s="1">
        <f>'Datos del viaje'!$B$5&amp;" · lista de equipaje"</f>
        <v/>
      </c>
    </row>
    <row r="2">
      <c r="A2" s="2" t="inlineStr">
        <is>
          <t>Solo los ítems que aplican a este viaje. Imprimí esta hoja.</t>
        </is>
      </c>
    </row>
    <row r="4" ht="32" customHeight="1">
      <c r="A4" s="7" t="inlineStr"/>
      <c r="B4" s="7" t="inlineStr">
        <is>
          <t>Categoría</t>
        </is>
      </c>
      <c r="C4" s="7" t="inlineStr">
        <is>
          <t>Ítem</t>
        </is>
      </c>
      <c r="D4" s="7" t="inlineStr">
        <is>
          <t>Cant.</t>
        </is>
      </c>
    </row>
    <row r="5">
      <c r="A5" s="25">
        <f>IF(E5="","","☐")</f>
        <v/>
      </c>
      <c r="B5" s="26">
        <f>IF(E5="","",INDEX('Equipaje'!$A$5:$A$85,E5))</f>
        <v/>
      </c>
      <c r="C5" s="26">
        <f>IF(E5="","",INDEX('Equipaje'!$B$5:$B$85,E5))</f>
        <v/>
      </c>
      <c r="D5" s="27">
        <f>IF(E5="","",INDEX('Equipaje'!$F$5:$F$85,E5))</f>
        <v/>
      </c>
      <c r="E5">
        <f>IFERROR(MATCH(1,'Equipaje'!$I$5:$I$85,0),"")</f>
        <v/>
      </c>
    </row>
    <row r="6">
      <c r="A6" s="25">
        <f>IF(E6="","","☐")</f>
        <v/>
      </c>
      <c r="B6" s="26">
        <f>IF(E6="","",INDEX('Equipaje'!$A$5:$A$85,E6))</f>
        <v/>
      </c>
      <c r="C6" s="26">
        <f>IF(E6="","",INDEX('Equipaje'!$B$5:$B$85,E6))</f>
        <v/>
      </c>
      <c r="D6" s="27">
        <f>IF(E6="","",INDEX('Equipaje'!$F$5:$F$85,E6))</f>
        <v/>
      </c>
      <c r="E6">
        <f>IFERROR(MATCH(2,'Equipaje'!$I$5:$I$85,0),"")</f>
        <v/>
      </c>
    </row>
    <row r="7">
      <c r="A7" s="25">
        <f>IF(E7="","","☐")</f>
        <v/>
      </c>
      <c r="B7" s="26">
        <f>IF(E7="","",INDEX('Equipaje'!$A$5:$A$85,E7))</f>
        <v/>
      </c>
      <c r="C7" s="26">
        <f>IF(E7="","",INDEX('Equipaje'!$B$5:$B$85,E7))</f>
        <v/>
      </c>
      <c r="D7" s="27">
        <f>IF(E7="","",INDEX('Equipaje'!$F$5:$F$85,E7))</f>
        <v/>
      </c>
      <c r="E7">
        <f>IFERROR(MATCH(3,'Equipaje'!$I$5:$I$85,0),"")</f>
        <v/>
      </c>
    </row>
    <row r="8">
      <c r="A8" s="25">
        <f>IF(E8="","","☐")</f>
        <v/>
      </c>
      <c r="B8" s="26">
        <f>IF(E8="","",INDEX('Equipaje'!$A$5:$A$85,E8))</f>
        <v/>
      </c>
      <c r="C8" s="26">
        <f>IF(E8="","",INDEX('Equipaje'!$B$5:$B$85,E8))</f>
        <v/>
      </c>
      <c r="D8" s="27">
        <f>IF(E8="","",INDEX('Equipaje'!$F$5:$F$85,E8))</f>
        <v/>
      </c>
      <c r="E8">
        <f>IFERROR(MATCH(4,'Equipaje'!$I$5:$I$85,0),"")</f>
        <v/>
      </c>
    </row>
    <row r="9">
      <c r="A9" s="25">
        <f>IF(E9="","","☐")</f>
        <v/>
      </c>
      <c r="B9" s="26">
        <f>IF(E9="","",INDEX('Equipaje'!$A$5:$A$85,E9))</f>
        <v/>
      </c>
      <c r="C9" s="26">
        <f>IF(E9="","",INDEX('Equipaje'!$B$5:$B$85,E9))</f>
        <v/>
      </c>
      <c r="D9" s="27">
        <f>IF(E9="","",INDEX('Equipaje'!$F$5:$F$85,E9))</f>
        <v/>
      </c>
      <c r="E9">
        <f>IFERROR(MATCH(5,'Equipaje'!$I$5:$I$85,0),"")</f>
        <v/>
      </c>
    </row>
    <row r="10">
      <c r="A10" s="25">
        <f>IF(E10="","","☐")</f>
        <v/>
      </c>
      <c r="B10" s="26">
        <f>IF(E10="","",INDEX('Equipaje'!$A$5:$A$85,E10))</f>
        <v/>
      </c>
      <c r="C10" s="26">
        <f>IF(E10="","",INDEX('Equipaje'!$B$5:$B$85,E10))</f>
        <v/>
      </c>
      <c r="D10" s="27">
        <f>IF(E10="","",INDEX('Equipaje'!$F$5:$F$85,E10))</f>
        <v/>
      </c>
      <c r="E10">
        <f>IFERROR(MATCH(6,'Equipaje'!$I$5:$I$85,0),"")</f>
        <v/>
      </c>
    </row>
    <row r="11">
      <c r="A11" s="25">
        <f>IF(E11="","","☐")</f>
        <v/>
      </c>
      <c r="B11" s="26">
        <f>IF(E11="","",INDEX('Equipaje'!$A$5:$A$85,E11))</f>
        <v/>
      </c>
      <c r="C11" s="26">
        <f>IF(E11="","",INDEX('Equipaje'!$B$5:$B$85,E11))</f>
        <v/>
      </c>
      <c r="D11" s="27">
        <f>IF(E11="","",INDEX('Equipaje'!$F$5:$F$85,E11))</f>
        <v/>
      </c>
      <c r="E11">
        <f>IFERROR(MATCH(7,'Equipaje'!$I$5:$I$85,0),"")</f>
        <v/>
      </c>
    </row>
    <row r="12">
      <c r="A12" s="25">
        <f>IF(E12="","","☐")</f>
        <v/>
      </c>
      <c r="B12" s="26">
        <f>IF(E12="","",INDEX('Equipaje'!$A$5:$A$85,E12))</f>
        <v/>
      </c>
      <c r="C12" s="26">
        <f>IF(E12="","",INDEX('Equipaje'!$B$5:$B$85,E12))</f>
        <v/>
      </c>
      <c r="D12" s="27">
        <f>IF(E12="","",INDEX('Equipaje'!$F$5:$F$85,E12))</f>
        <v/>
      </c>
      <c r="E12">
        <f>IFERROR(MATCH(8,'Equipaje'!$I$5:$I$85,0),"")</f>
        <v/>
      </c>
    </row>
    <row r="13">
      <c r="A13" s="25">
        <f>IF(E13="","","☐")</f>
        <v/>
      </c>
      <c r="B13" s="26">
        <f>IF(E13="","",INDEX('Equipaje'!$A$5:$A$85,E13))</f>
        <v/>
      </c>
      <c r="C13" s="26">
        <f>IF(E13="","",INDEX('Equipaje'!$B$5:$B$85,E13))</f>
        <v/>
      </c>
      <c r="D13" s="27">
        <f>IF(E13="","",INDEX('Equipaje'!$F$5:$F$85,E13))</f>
        <v/>
      </c>
      <c r="E13">
        <f>IFERROR(MATCH(9,'Equipaje'!$I$5:$I$85,0),"")</f>
        <v/>
      </c>
    </row>
    <row r="14">
      <c r="A14" s="25">
        <f>IF(E14="","","☐")</f>
        <v/>
      </c>
      <c r="B14" s="26">
        <f>IF(E14="","",INDEX('Equipaje'!$A$5:$A$85,E14))</f>
        <v/>
      </c>
      <c r="C14" s="26">
        <f>IF(E14="","",INDEX('Equipaje'!$B$5:$B$85,E14))</f>
        <v/>
      </c>
      <c r="D14" s="27">
        <f>IF(E14="","",INDEX('Equipaje'!$F$5:$F$85,E14))</f>
        <v/>
      </c>
      <c r="E14">
        <f>IFERROR(MATCH(10,'Equipaje'!$I$5:$I$85,0),"")</f>
        <v/>
      </c>
    </row>
    <row r="15">
      <c r="A15" s="25">
        <f>IF(E15="","","☐")</f>
        <v/>
      </c>
      <c r="B15" s="26">
        <f>IF(E15="","",INDEX('Equipaje'!$A$5:$A$85,E15))</f>
        <v/>
      </c>
      <c r="C15" s="26">
        <f>IF(E15="","",INDEX('Equipaje'!$B$5:$B$85,E15))</f>
        <v/>
      </c>
      <c r="D15" s="27">
        <f>IF(E15="","",INDEX('Equipaje'!$F$5:$F$85,E15))</f>
        <v/>
      </c>
      <c r="E15">
        <f>IFERROR(MATCH(11,'Equipaje'!$I$5:$I$85,0),"")</f>
        <v/>
      </c>
    </row>
    <row r="16">
      <c r="A16" s="25">
        <f>IF(E16="","","☐")</f>
        <v/>
      </c>
      <c r="B16" s="26">
        <f>IF(E16="","",INDEX('Equipaje'!$A$5:$A$85,E16))</f>
        <v/>
      </c>
      <c r="C16" s="26">
        <f>IF(E16="","",INDEX('Equipaje'!$B$5:$B$85,E16))</f>
        <v/>
      </c>
      <c r="D16" s="27">
        <f>IF(E16="","",INDEX('Equipaje'!$F$5:$F$85,E16))</f>
        <v/>
      </c>
      <c r="E16">
        <f>IFERROR(MATCH(12,'Equipaje'!$I$5:$I$85,0),"")</f>
        <v/>
      </c>
    </row>
    <row r="17">
      <c r="A17" s="25">
        <f>IF(E17="","","☐")</f>
        <v/>
      </c>
      <c r="B17" s="26">
        <f>IF(E17="","",INDEX('Equipaje'!$A$5:$A$85,E17))</f>
        <v/>
      </c>
      <c r="C17" s="26">
        <f>IF(E17="","",INDEX('Equipaje'!$B$5:$B$85,E17))</f>
        <v/>
      </c>
      <c r="D17" s="27">
        <f>IF(E17="","",INDEX('Equipaje'!$F$5:$F$85,E17))</f>
        <v/>
      </c>
      <c r="E17">
        <f>IFERROR(MATCH(13,'Equipaje'!$I$5:$I$85,0),"")</f>
        <v/>
      </c>
    </row>
    <row r="18">
      <c r="A18" s="25">
        <f>IF(E18="","","☐")</f>
        <v/>
      </c>
      <c r="B18" s="26">
        <f>IF(E18="","",INDEX('Equipaje'!$A$5:$A$85,E18))</f>
        <v/>
      </c>
      <c r="C18" s="26">
        <f>IF(E18="","",INDEX('Equipaje'!$B$5:$B$85,E18))</f>
        <v/>
      </c>
      <c r="D18" s="27">
        <f>IF(E18="","",INDEX('Equipaje'!$F$5:$F$85,E18))</f>
        <v/>
      </c>
      <c r="E18">
        <f>IFERROR(MATCH(14,'Equipaje'!$I$5:$I$85,0),"")</f>
        <v/>
      </c>
    </row>
    <row r="19">
      <c r="A19" s="25">
        <f>IF(E19="","","☐")</f>
        <v/>
      </c>
      <c r="B19" s="26">
        <f>IF(E19="","",INDEX('Equipaje'!$A$5:$A$85,E19))</f>
        <v/>
      </c>
      <c r="C19" s="26">
        <f>IF(E19="","",INDEX('Equipaje'!$B$5:$B$85,E19))</f>
        <v/>
      </c>
      <c r="D19" s="27">
        <f>IF(E19="","",INDEX('Equipaje'!$F$5:$F$85,E19))</f>
        <v/>
      </c>
      <c r="E19">
        <f>IFERROR(MATCH(15,'Equipaje'!$I$5:$I$85,0),"")</f>
        <v/>
      </c>
    </row>
    <row r="20">
      <c r="A20" s="25">
        <f>IF(E20="","","☐")</f>
        <v/>
      </c>
      <c r="B20" s="26">
        <f>IF(E20="","",INDEX('Equipaje'!$A$5:$A$85,E20))</f>
        <v/>
      </c>
      <c r="C20" s="26">
        <f>IF(E20="","",INDEX('Equipaje'!$B$5:$B$85,E20))</f>
        <v/>
      </c>
      <c r="D20" s="27">
        <f>IF(E20="","",INDEX('Equipaje'!$F$5:$F$85,E20))</f>
        <v/>
      </c>
      <c r="E20">
        <f>IFERROR(MATCH(16,'Equipaje'!$I$5:$I$85,0),"")</f>
        <v/>
      </c>
    </row>
    <row r="21">
      <c r="A21" s="25">
        <f>IF(E21="","","☐")</f>
        <v/>
      </c>
      <c r="B21" s="26">
        <f>IF(E21="","",INDEX('Equipaje'!$A$5:$A$85,E21))</f>
        <v/>
      </c>
      <c r="C21" s="26">
        <f>IF(E21="","",INDEX('Equipaje'!$B$5:$B$85,E21))</f>
        <v/>
      </c>
      <c r="D21" s="27">
        <f>IF(E21="","",INDEX('Equipaje'!$F$5:$F$85,E21))</f>
        <v/>
      </c>
      <c r="E21">
        <f>IFERROR(MATCH(17,'Equipaje'!$I$5:$I$85,0),"")</f>
        <v/>
      </c>
    </row>
    <row r="22">
      <c r="A22" s="25">
        <f>IF(E22="","","☐")</f>
        <v/>
      </c>
      <c r="B22" s="26">
        <f>IF(E22="","",INDEX('Equipaje'!$A$5:$A$85,E22))</f>
        <v/>
      </c>
      <c r="C22" s="26">
        <f>IF(E22="","",INDEX('Equipaje'!$B$5:$B$85,E22))</f>
        <v/>
      </c>
      <c r="D22" s="27">
        <f>IF(E22="","",INDEX('Equipaje'!$F$5:$F$85,E22))</f>
        <v/>
      </c>
      <c r="E22">
        <f>IFERROR(MATCH(18,'Equipaje'!$I$5:$I$85,0),"")</f>
        <v/>
      </c>
    </row>
    <row r="23">
      <c r="A23" s="25">
        <f>IF(E23="","","☐")</f>
        <v/>
      </c>
      <c r="B23" s="26">
        <f>IF(E23="","",INDEX('Equipaje'!$A$5:$A$85,E23))</f>
        <v/>
      </c>
      <c r="C23" s="26">
        <f>IF(E23="","",INDEX('Equipaje'!$B$5:$B$85,E23))</f>
        <v/>
      </c>
      <c r="D23" s="27">
        <f>IF(E23="","",INDEX('Equipaje'!$F$5:$F$85,E23))</f>
        <v/>
      </c>
      <c r="E23">
        <f>IFERROR(MATCH(19,'Equipaje'!$I$5:$I$85,0),"")</f>
        <v/>
      </c>
    </row>
    <row r="24">
      <c r="A24" s="25">
        <f>IF(E24="","","☐")</f>
        <v/>
      </c>
      <c r="B24" s="26">
        <f>IF(E24="","",INDEX('Equipaje'!$A$5:$A$85,E24))</f>
        <v/>
      </c>
      <c r="C24" s="26">
        <f>IF(E24="","",INDEX('Equipaje'!$B$5:$B$85,E24))</f>
        <v/>
      </c>
      <c r="D24" s="27">
        <f>IF(E24="","",INDEX('Equipaje'!$F$5:$F$85,E24))</f>
        <v/>
      </c>
      <c r="E24">
        <f>IFERROR(MATCH(20,'Equipaje'!$I$5:$I$85,0),"")</f>
        <v/>
      </c>
    </row>
    <row r="25">
      <c r="A25" s="25">
        <f>IF(E25="","","☐")</f>
        <v/>
      </c>
      <c r="B25" s="26">
        <f>IF(E25="","",INDEX('Equipaje'!$A$5:$A$85,E25))</f>
        <v/>
      </c>
      <c r="C25" s="26">
        <f>IF(E25="","",INDEX('Equipaje'!$B$5:$B$85,E25))</f>
        <v/>
      </c>
      <c r="D25" s="27">
        <f>IF(E25="","",INDEX('Equipaje'!$F$5:$F$85,E25))</f>
        <v/>
      </c>
      <c r="E25">
        <f>IFERROR(MATCH(21,'Equipaje'!$I$5:$I$85,0),"")</f>
        <v/>
      </c>
    </row>
    <row r="26">
      <c r="A26" s="25">
        <f>IF(E26="","","☐")</f>
        <v/>
      </c>
      <c r="B26" s="26">
        <f>IF(E26="","",INDEX('Equipaje'!$A$5:$A$85,E26))</f>
        <v/>
      </c>
      <c r="C26" s="26">
        <f>IF(E26="","",INDEX('Equipaje'!$B$5:$B$85,E26))</f>
        <v/>
      </c>
      <c r="D26" s="27">
        <f>IF(E26="","",INDEX('Equipaje'!$F$5:$F$85,E26))</f>
        <v/>
      </c>
      <c r="E26">
        <f>IFERROR(MATCH(22,'Equipaje'!$I$5:$I$85,0),"")</f>
        <v/>
      </c>
    </row>
    <row r="27">
      <c r="A27" s="25">
        <f>IF(E27="","","☐")</f>
        <v/>
      </c>
      <c r="B27" s="26">
        <f>IF(E27="","",INDEX('Equipaje'!$A$5:$A$85,E27))</f>
        <v/>
      </c>
      <c r="C27" s="26">
        <f>IF(E27="","",INDEX('Equipaje'!$B$5:$B$85,E27))</f>
        <v/>
      </c>
      <c r="D27" s="27">
        <f>IF(E27="","",INDEX('Equipaje'!$F$5:$F$85,E27))</f>
        <v/>
      </c>
      <c r="E27">
        <f>IFERROR(MATCH(23,'Equipaje'!$I$5:$I$85,0),"")</f>
        <v/>
      </c>
    </row>
    <row r="28">
      <c r="A28" s="25">
        <f>IF(E28="","","☐")</f>
        <v/>
      </c>
      <c r="B28" s="26">
        <f>IF(E28="","",INDEX('Equipaje'!$A$5:$A$85,E28))</f>
        <v/>
      </c>
      <c r="C28" s="26">
        <f>IF(E28="","",INDEX('Equipaje'!$B$5:$B$85,E28))</f>
        <v/>
      </c>
      <c r="D28" s="27">
        <f>IF(E28="","",INDEX('Equipaje'!$F$5:$F$85,E28))</f>
        <v/>
      </c>
      <c r="E28">
        <f>IFERROR(MATCH(24,'Equipaje'!$I$5:$I$85,0),"")</f>
        <v/>
      </c>
    </row>
    <row r="29">
      <c r="A29" s="25">
        <f>IF(E29="","","☐")</f>
        <v/>
      </c>
      <c r="B29" s="26">
        <f>IF(E29="","",INDEX('Equipaje'!$A$5:$A$85,E29))</f>
        <v/>
      </c>
      <c r="C29" s="26">
        <f>IF(E29="","",INDEX('Equipaje'!$B$5:$B$85,E29))</f>
        <v/>
      </c>
      <c r="D29" s="27">
        <f>IF(E29="","",INDEX('Equipaje'!$F$5:$F$85,E29))</f>
        <v/>
      </c>
      <c r="E29">
        <f>IFERROR(MATCH(25,'Equipaje'!$I$5:$I$85,0),"")</f>
        <v/>
      </c>
    </row>
    <row r="30">
      <c r="A30" s="25">
        <f>IF(E30="","","☐")</f>
        <v/>
      </c>
      <c r="B30" s="26">
        <f>IF(E30="","",INDEX('Equipaje'!$A$5:$A$85,E30))</f>
        <v/>
      </c>
      <c r="C30" s="26">
        <f>IF(E30="","",INDEX('Equipaje'!$B$5:$B$85,E30))</f>
        <v/>
      </c>
      <c r="D30" s="27">
        <f>IF(E30="","",INDEX('Equipaje'!$F$5:$F$85,E30))</f>
        <v/>
      </c>
      <c r="E30">
        <f>IFERROR(MATCH(26,'Equipaje'!$I$5:$I$85,0),"")</f>
        <v/>
      </c>
    </row>
    <row r="31">
      <c r="A31" s="25">
        <f>IF(E31="","","☐")</f>
        <v/>
      </c>
      <c r="B31" s="26">
        <f>IF(E31="","",INDEX('Equipaje'!$A$5:$A$85,E31))</f>
        <v/>
      </c>
      <c r="C31" s="26">
        <f>IF(E31="","",INDEX('Equipaje'!$B$5:$B$85,E31))</f>
        <v/>
      </c>
      <c r="D31" s="27">
        <f>IF(E31="","",INDEX('Equipaje'!$F$5:$F$85,E31))</f>
        <v/>
      </c>
      <c r="E31">
        <f>IFERROR(MATCH(27,'Equipaje'!$I$5:$I$85,0),"")</f>
        <v/>
      </c>
    </row>
    <row r="32">
      <c r="A32" s="25">
        <f>IF(E32="","","☐")</f>
        <v/>
      </c>
      <c r="B32" s="26">
        <f>IF(E32="","",INDEX('Equipaje'!$A$5:$A$85,E32))</f>
        <v/>
      </c>
      <c r="C32" s="26">
        <f>IF(E32="","",INDEX('Equipaje'!$B$5:$B$85,E32))</f>
        <v/>
      </c>
      <c r="D32" s="27">
        <f>IF(E32="","",INDEX('Equipaje'!$F$5:$F$85,E32))</f>
        <v/>
      </c>
      <c r="E32">
        <f>IFERROR(MATCH(28,'Equipaje'!$I$5:$I$85,0),"")</f>
        <v/>
      </c>
    </row>
    <row r="33">
      <c r="A33" s="25">
        <f>IF(E33="","","☐")</f>
        <v/>
      </c>
      <c r="B33" s="26">
        <f>IF(E33="","",INDEX('Equipaje'!$A$5:$A$85,E33))</f>
        <v/>
      </c>
      <c r="C33" s="26">
        <f>IF(E33="","",INDEX('Equipaje'!$B$5:$B$85,E33))</f>
        <v/>
      </c>
      <c r="D33" s="27">
        <f>IF(E33="","",INDEX('Equipaje'!$F$5:$F$85,E33))</f>
        <v/>
      </c>
      <c r="E33">
        <f>IFERROR(MATCH(29,'Equipaje'!$I$5:$I$85,0),"")</f>
        <v/>
      </c>
    </row>
    <row r="34">
      <c r="A34" s="25">
        <f>IF(E34="","","☐")</f>
        <v/>
      </c>
      <c r="B34" s="26">
        <f>IF(E34="","",INDEX('Equipaje'!$A$5:$A$85,E34))</f>
        <v/>
      </c>
      <c r="C34" s="26">
        <f>IF(E34="","",INDEX('Equipaje'!$B$5:$B$85,E34))</f>
        <v/>
      </c>
      <c r="D34" s="27">
        <f>IF(E34="","",INDEX('Equipaje'!$F$5:$F$85,E34))</f>
        <v/>
      </c>
      <c r="E34">
        <f>IFERROR(MATCH(30,'Equipaje'!$I$5:$I$85,0),"")</f>
        <v/>
      </c>
    </row>
    <row r="35">
      <c r="A35" s="25">
        <f>IF(E35="","","☐")</f>
        <v/>
      </c>
      <c r="B35" s="26">
        <f>IF(E35="","",INDEX('Equipaje'!$A$5:$A$85,E35))</f>
        <v/>
      </c>
      <c r="C35" s="26">
        <f>IF(E35="","",INDEX('Equipaje'!$B$5:$B$85,E35))</f>
        <v/>
      </c>
      <c r="D35" s="27">
        <f>IF(E35="","",INDEX('Equipaje'!$F$5:$F$85,E35))</f>
        <v/>
      </c>
      <c r="E35">
        <f>IFERROR(MATCH(31,'Equipaje'!$I$5:$I$85,0),"")</f>
        <v/>
      </c>
    </row>
    <row r="36">
      <c r="A36" s="25">
        <f>IF(E36="","","☐")</f>
        <v/>
      </c>
      <c r="B36" s="26">
        <f>IF(E36="","",INDEX('Equipaje'!$A$5:$A$85,E36))</f>
        <v/>
      </c>
      <c r="C36" s="26">
        <f>IF(E36="","",INDEX('Equipaje'!$B$5:$B$85,E36))</f>
        <v/>
      </c>
      <c r="D36" s="27">
        <f>IF(E36="","",INDEX('Equipaje'!$F$5:$F$85,E36))</f>
        <v/>
      </c>
      <c r="E36">
        <f>IFERROR(MATCH(32,'Equipaje'!$I$5:$I$85,0),"")</f>
        <v/>
      </c>
    </row>
    <row r="37">
      <c r="A37" s="25">
        <f>IF(E37="","","☐")</f>
        <v/>
      </c>
      <c r="B37" s="26">
        <f>IF(E37="","",INDEX('Equipaje'!$A$5:$A$85,E37))</f>
        <v/>
      </c>
      <c r="C37" s="26">
        <f>IF(E37="","",INDEX('Equipaje'!$B$5:$B$85,E37))</f>
        <v/>
      </c>
      <c r="D37" s="27">
        <f>IF(E37="","",INDEX('Equipaje'!$F$5:$F$85,E37))</f>
        <v/>
      </c>
      <c r="E37">
        <f>IFERROR(MATCH(33,'Equipaje'!$I$5:$I$85,0),"")</f>
        <v/>
      </c>
    </row>
    <row r="38">
      <c r="A38" s="25">
        <f>IF(E38="","","☐")</f>
        <v/>
      </c>
      <c r="B38" s="26">
        <f>IF(E38="","",INDEX('Equipaje'!$A$5:$A$85,E38))</f>
        <v/>
      </c>
      <c r="C38" s="26">
        <f>IF(E38="","",INDEX('Equipaje'!$B$5:$B$85,E38))</f>
        <v/>
      </c>
      <c r="D38" s="27">
        <f>IF(E38="","",INDEX('Equipaje'!$F$5:$F$85,E38))</f>
        <v/>
      </c>
      <c r="E38">
        <f>IFERROR(MATCH(34,'Equipaje'!$I$5:$I$85,0),"")</f>
        <v/>
      </c>
    </row>
    <row r="39">
      <c r="A39" s="25">
        <f>IF(E39="","","☐")</f>
        <v/>
      </c>
      <c r="B39" s="26">
        <f>IF(E39="","",INDEX('Equipaje'!$A$5:$A$85,E39))</f>
        <v/>
      </c>
      <c r="C39" s="26">
        <f>IF(E39="","",INDEX('Equipaje'!$B$5:$B$85,E39))</f>
        <v/>
      </c>
      <c r="D39" s="27">
        <f>IF(E39="","",INDEX('Equipaje'!$F$5:$F$85,E39))</f>
        <v/>
      </c>
      <c r="E39">
        <f>IFERROR(MATCH(35,'Equipaje'!$I$5:$I$85,0),"")</f>
        <v/>
      </c>
    </row>
    <row r="40">
      <c r="A40" s="25">
        <f>IF(E40="","","☐")</f>
        <v/>
      </c>
      <c r="B40" s="26">
        <f>IF(E40="","",INDEX('Equipaje'!$A$5:$A$85,E40))</f>
        <v/>
      </c>
      <c r="C40" s="26">
        <f>IF(E40="","",INDEX('Equipaje'!$B$5:$B$85,E40))</f>
        <v/>
      </c>
      <c r="D40" s="27">
        <f>IF(E40="","",INDEX('Equipaje'!$F$5:$F$85,E40))</f>
        <v/>
      </c>
      <c r="E40">
        <f>IFERROR(MATCH(36,'Equipaje'!$I$5:$I$85,0),"")</f>
        <v/>
      </c>
    </row>
    <row r="41">
      <c r="A41" s="25">
        <f>IF(E41="","","☐")</f>
        <v/>
      </c>
      <c r="B41" s="26">
        <f>IF(E41="","",INDEX('Equipaje'!$A$5:$A$85,E41))</f>
        <v/>
      </c>
      <c r="C41" s="26">
        <f>IF(E41="","",INDEX('Equipaje'!$B$5:$B$85,E41))</f>
        <v/>
      </c>
      <c r="D41" s="27">
        <f>IF(E41="","",INDEX('Equipaje'!$F$5:$F$85,E41))</f>
        <v/>
      </c>
      <c r="E41">
        <f>IFERROR(MATCH(37,'Equipaje'!$I$5:$I$85,0),"")</f>
        <v/>
      </c>
    </row>
    <row r="42">
      <c r="A42" s="25">
        <f>IF(E42="","","☐")</f>
        <v/>
      </c>
      <c r="B42" s="26">
        <f>IF(E42="","",INDEX('Equipaje'!$A$5:$A$85,E42))</f>
        <v/>
      </c>
      <c r="C42" s="26">
        <f>IF(E42="","",INDEX('Equipaje'!$B$5:$B$85,E42))</f>
        <v/>
      </c>
      <c r="D42" s="27">
        <f>IF(E42="","",INDEX('Equipaje'!$F$5:$F$85,E42))</f>
        <v/>
      </c>
      <c r="E42">
        <f>IFERROR(MATCH(38,'Equipaje'!$I$5:$I$85,0),"")</f>
        <v/>
      </c>
    </row>
    <row r="43">
      <c r="A43" s="25">
        <f>IF(E43="","","☐")</f>
        <v/>
      </c>
      <c r="B43" s="26">
        <f>IF(E43="","",INDEX('Equipaje'!$A$5:$A$85,E43))</f>
        <v/>
      </c>
      <c r="C43" s="26">
        <f>IF(E43="","",INDEX('Equipaje'!$B$5:$B$85,E43))</f>
        <v/>
      </c>
      <c r="D43" s="27">
        <f>IF(E43="","",INDEX('Equipaje'!$F$5:$F$85,E43))</f>
        <v/>
      </c>
      <c r="E43">
        <f>IFERROR(MATCH(39,'Equipaje'!$I$5:$I$85,0),"")</f>
        <v/>
      </c>
    </row>
    <row r="44">
      <c r="A44" s="25">
        <f>IF(E44="","","☐")</f>
        <v/>
      </c>
      <c r="B44" s="26">
        <f>IF(E44="","",INDEX('Equipaje'!$A$5:$A$85,E44))</f>
        <v/>
      </c>
      <c r="C44" s="26">
        <f>IF(E44="","",INDEX('Equipaje'!$B$5:$B$85,E44))</f>
        <v/>
      </c>
      <c r="D44" s="27">
        <f>IF(E44="","",INDEX('Equipaje'!$F$5:$F$85,E44))</f>
        <v/>
      </c>
      <c r="E44">
        <f>IFERROR(MATCH(40,'Equipaje'!$I$5:$I$85,0),"")</f>
        <v/>
      </c>
    </row>
    <row r="45">
      <c r="A45" s="25">
        <f>IF(E45="","","☐")</f>
        <v/>
      </c>
      <c r="B45" s="26">
        <f>IF(E45="","",INDEX('Equipaje'!$A$5:$A$85,E45))</f>
        <v/>
      </c>
      <c r="C45" s="26">
        <f>IF(E45="","",INDEX('Equipaje'!$B$5:$B$85,E45))</f>
        <v/>
      </c>
      <c r="D45" s="27">
        <f>IF(E45="","",INDEX('Equipaje'!$F$5:$F$85,E45))</f>
        <v/>
      </c>
      <c r="E45">
        <f>IFERROR(MATCH(41,'Equipaje'!$I$5:$I$85,0),"")</f>
        <v/>
      </c>
    </row>
    <row r="46">
      <c r="A46" s="25">
        <f>IF(E46="","","☐")</f>
        <v/>
      </c>
      <c r="B46" s="26">
        <f>IF(E46="","",INDEX('Equipaje'!$A$5:$A$85,E46))</f>
        <v/>
      </c>
      <c r="C46" s="26">
        <f>IF(E46="","",INDEX('Equipaje'!$B$5:$B$85,E46))</f>
        <v/>
      </c>
      <c r="D46" s="27">
        <f>IF(E46="","",INDEX('Equipaje'!$F$5:$F$85,E46))</f>
        <v/>
      </c>
      <c r="E46">
        <f>IFERROR(MATCH(42,'Equipaje'!$I$5:$I$85,0),"")</f>
        <v/>
      </c>
    </row>
    <row r="47">
      <c r="A47" s="25">
        <f>IF(E47="","","☐")</f>
        <v/>
      </c>
      <c r="B47" s="26">
        <f>IF(E47="","",INDEX('Equipaje'!$A$5:$A$85,E47))</f>
        <v/>
      </c>
      <c r="C47" s="26">
        <f>IF(E47="","",INDEX('Equipaje'!$B$5:$B$85,E47))</f>
        <v/>
      </c>
      <c r="D47" s="27">
        <f>IF(E47="","",INDEX('Equipaje'!$F$5:$F$85,E47))</f>
        <v/>
      </c>
      <c r="E47">
        <f>IFERROR(MATCH(43,'Equipaje'!$I$5:$I$85,0),"")</f>
        <v/>
      </c>
    </row>
    <row r="48">
      <c r="A48" s="25">
        <f>IF(E48="","","☐")</f>
        <v/>
      </c>
      <c r="B48" s="26">
        <f>IF(E48="","",INDEX('Equipaje'!$A$5:$A$85,E48))</f>
        <v/>
      </c>
      <c r="C48" s="26">
        <f>IF(E48="","",INDEX('Equipaje'!$B$5:$B$85,E48))</f>
        <v/>
      </c>
      <c r="D48" s="27">
        <f>IF(E48="","",INDEX('Equipaje'!$F$5:$F$85,E48))</f>
        <v/>
      </c>
      <c r="E48">
        <f>IFERROR(MATCH(44,'Equipaje'!$I$5:$I$85,0),"")</f>
        <v/>
      </c>
    </row>
    <row r="49">
      <c r="A49" s="25">
        <f>IF(E49="","","☐")</f>
        <v/>
      </c>
      <c r="B49" s="26">
        <f>IF(E49="","",INDEX('Equipaje'!$A$5:$A$85,E49))</f>
        <v/>
      </c>
      <c r="C49" s="26">
        <f>IF(E49="","",INDEX('Equipaje'!$B$5:$B$85,E49))</f>
        <v/>
      </c>
      <c r="D49" s="27">
        <f>IF(E49="","",INDEX('Equipaje'!$F$5:$F$85,E49))</f>
        <v/>
      </c>
      <c r="E49">
        <f>IFERROR(MATCH(45,'Equipaje'!$I$5:$I$85,0),"")</f>
        <v/>
      </c>
    </row>
    <row r="50">
      <c r="A50" s="25">
        <f>IF(E50="","","☐")</f>
        <v/>
      </c>
      <c r="B50" s="26">
        <f>IF(E50="","",INDEX('Equipaje'!$A$5:$A$85,E50))</f>
        <v/>
      </c>
      <c r="C50" s="26">
        <f>IF(E50="","",INDEX('Equipaje'!$B$5:$B$85,E50))</f>
        <v/>
      </c>
      <c r="D50" s="27">
        <f>IF(E50="","",INDEX('Equipaje'!$F$5:$F$85,E50))</f>
        <v/>
      </c>
      <c r="E50">
        <f>IFERROR(MATCH(46,'Equipaje'!$I$5:$I$85,0),"")</f>
        <v/>
      </c>
    </row>
    <row r="51">
      <c r="A51" s="25">
        <f>IF(E51="","","☐")</f>
        <v/>
      </c>
      <c r="B51" s="26">
        <f>IF(E51="","",INDEX('Equipaje'!$A$5:$A$85,E51))</f>
        <v/>
      </c>
      <c r="C51" s="26">
        <f>IF(E51="","",INDEX('Equipaje'!$B$5:$B$85,E51))</f>
        <v/>
      </c>
      <c r="D51" s="27">
        <f>IF(E51="","",INDEX('Equipaje'!$F$5:$F$85,E51))</f>
        <v/>
      </c>
      <c r="E51">
        <f>IFERROR(MATCH(47,'Equipaje'!$I$5:$I$85,0),"")</f>
        <v/>
      </c>
    </row>
    <row r="52">
      <c r="A52" s="25">
        <f>IF(E52="","","☐")</f>
        <v/>
      </c>
      <c r="B52" s="26">
        <f>IF(E52="","",INDEX('Equipaje'!$A$5:$A$85,E52))</f>
        <v/>
      </c>
      <c r="C52" s="26">
        <f>IF(E52="","",INDEX('Equipaje'!$B$5:$B$85,E52))</f>
        <v/>
      </c>
      <c r="D52" s="27">
        <f>IF(E52="","",INDEX('Equipaje'!$F$5:$F$85,E52))</f>
        <v/>
      </c>
      <c r="E52">
        <f>IFERROR(MATCH(48,'Equipaje'!$I$5:$I$85,0),"")</f>
        <v/>
      </c>
    </row>
    <row r="53">
      <c r="A53" s="25">
        <f>IF(E53="","","☐")</f>
        <v/>
      </c>
      <c r="B53" s="26">
        <f>IF(E53="","",INDEX('Equipaje'!$A$5:$A$85,E53))</f>
        <v/>
      </c>
      <c r="C53" s="26">
        <f>IF(E53="","",INDEX('Equipaje'!$B$5:$B$85,E53))</f>
        <v/>
      </c>
      <c r="D53" s="27">
        <f>IF(E53="","",INDEX('Equipaje'!$F$5:$F$85,E53))</f>
        <v/>
      </c>
      <c r="E53">
        <f>IFERROR(MATCH(49,'Equipaje'!$I$5:$I$85,0),"")</f>
        <v/>
      </c>
    </row>
    <row r="54">
      <c r="A54" s="25">
        <f>IF(E54="","","☐")</f>
        <v/>
      </c>
      <c r="B54" s="26">
        <f>IF(E54="","",INDEX('Equipaje'!$A$5:$A$85,E54))</f>
        <v/>
      </c>
      <c r="C54" s="26">
        <f>IF(E54="","",INDEX('Equipaje'!$B$5:$B$85,E54))</f>
        <v/>
      </c>
      <c r="D54" s="27">
        <f>IF(E54="","",INDEX('Equipaje'!$F$5:$F$85,E54))</f>
        <v/>
      </c>
      <c r="E54">
        <f>IFERROR(MATCH(50,'Equipaje'!$I$5:$I$85,0),"")</f>
        <v/>
      </c>
    </row>
    <row r="55">
      <c r="A55" s="25">
        <f>IF(E55="","","☐")</f>
        <v/>
      </c>
      <c r="B55" s="26">
        <f>IF(E55="","",INDEX('Equipaje'!$A$5:$A$85,E55))</f>
        <v/>
      </c>
      <c r="C55" s="26">
        <f>IF(E55="","",INDEX('Equipaje'!$B$5:$B$85,E55))</f>
        <v/>
      </c>
      <c r="D55" s="27">
        <f>IF(E55="","",INDEX('Equipaje'!$F$5:$F$85,E55))</f>
        <v/>
      </c>
      <c r="E55">
        <f>IFERROR(MATCH(51,'Equipaje'!$I$5:$I$85,0),"")</f>
        <v/>
      </c>
    </row>
    <row r="56">
      <c r="A56" s="25">
        <f>IF(E56="","","☐")</f>
        <v/>
      </c>
      <c r="B56" s="26">
        <f>IF(E56="","",INDEX('Equipaje'!$A$5:$A$85,E56))</f>
        <v/>
      </c>
      <c r="C56" s="26">
        <f>IF(E56="","",INDEX('Equipaje'!$B$5:$B$85,E56))</f>
        <v/>
      </c>
      <c r="D56" s="27">
        <f>IF(E56="","",INDEX('Equipaje'!$F$5:$F$85,E56))</f>
        <v/>
      </c>
      <c r="E56">
        <f>IFERROR(MATCH(52,'Equipaje'!$I$5:$I$85,0),"")</f>
        <v/>
      </c>
    </row>
    <row r="57">
      <c r="A57" s="25">
        <f>IF(E57="","","☐")</f>
        <v/>
      </c>
      <c r="B57" s="26">
        <f>IF(E57="","",INDEX('Equipaje'!$A$5:$A$85,E57))</f>
        <v/>
      </c>
      <c r="C57" s="26">
        <f>IF(E57="","",INDEX('Equipaje'!$B$5:$B$85,E57))</f>
        <v/>
      </c>
      <c r="D57" s="27">
        <f>IF(E57="","",INDEX('Equipaje'!$F$5:$F$85,E57))</f>
        <v/>
      </c>
      <c r="E57">
        <f>IFERROR(MATCH(53,'Equipaje'!$I$5:$I$85,0),"")</f>
        <v/>
      </c>
    </row>
    <row r="58">
      <c r="A58" s="25">
        <f>IF(E58="","","☐")</f>
        <v/>
      </c>
      <c r="B58" s="26">
        <f>IF(E58="","",INDEX('Equipaje'!$A$5:$A$85,E58))</f>
        <v/>
      </c>
      <c r="C58" s="26">
        <f>IF(E58="","",INDEX('Equipaje'!$B$5:$B$85,E58))</f>
        <v/>
      </c>
      <c r="D58" s="27">
        <f>IF(E58="","",INDEX('Equipaje'!$F$5:$F$85,E58))</f>
        <v/>
      </c>
      <c r="E58">
        <f>IFERROR(MATCH(54,'Equipaje'!$I$5:$I$85,0),"")</f>
        <v/>
      </c>
    </row>
    <row r="59">
      <c r="A59" s="25">
        <f>IF(E59="","","☐")</f>
        <v/>
      </c>
      <c r="B59" s="26">
        <f>IF(E59="","",INDEX('Equipaje'!$A$5:$A$85,E59))</f>
        <v/>
      </c>
      <c r="C59" s="26">
        <f>IF(E59="","",INDEX('Equipaje'!$B$5:$B$85,E59))</f>
        <v/>
      </c>
      <c r="D59" s="27">
        <f>IF(E59="","",INDEX('Equipaje'!$F$5:$F$85,E59))</f>
        <v/>
      </c>
      <c r="E59">
        <f>IFERROR(MATCH(55,'Equipaje'!$I$5:$I$85,0),"")</f>
        <v/>
      </c>
    </row>
    <row r="60">
      <c r="A60" s="25">
        <f>IF(E60="","","☐")</f>
        <v/>
      </c>
      <c r="B60" s="26">
        <f>IF(E60="","",INDEX('Equipaje'!$A$5:$A$85,E60))</f>
        <v/>
      </c>
      <c r="C60" s="26">
        <f>IF(E60="","",INDEX('Equipaje'!$B$5:$B$85,E60))</f>
        <v/>
      </c>
      <c r="D60" s="27">
        <f>IF(E60="","",INDEX('Equipaje'!$F$5:$F$85,E60))</f>
        <v/>
      </c>
      <c r="E60">
        <f>IFERROR(MATCH(56,'Equipaje'!$I$5:$I$85,0),"")</f>
        <v/>
      </c>
    </row>
    <row r="61">
      <c r="A61" s="25">
        <f>IF(E61="","","☐")</f>
        <v/>
      </c>
      <c r="B61" s="26">
        <f>IF(E61="","",INDEX('Equipaje'!$A$5:$A$85,E61))</f>
        <v/>
      </c>
      <c r="C61" s="26">
        <f>IF(E61="","",INDEX('Equipaje'!$B$5:$B$85,E61))</f>
        <v/>
      </c>
      <c r="D61" s="27">
        <f>IF(E61="","",INDEX('Equipaje'!$F$5:$F$85,E61))</f>
        <v/>
      </c>
      <c r="E61">
        <f>IFERROR(MATCH(57,'Equipaje'!$I$5:$I$85,0),"")</f>
        <v/>
      </c>
    </row>
    <row r="62">
      <c r="A62" s="25">
        <f>IF(E62="","","☐")</f>
        <v/>
      </c>
      <c r="B62" s="26">
        <f>IF(E62="","",INDEX('Equipaje'!$A$5:$A$85,E62))</f>
        <v/>
      </c>
      <c r="C62" s="26">
        <f>IF(E62="","",INDEX('Equipaje'!$B$5:$B$85,E62))</f>
        <v/>
      </c>
      <c r="D62" s="27">
        <f>IF(E62="","",INDEX('Equipaje'!$F$5:$F$85,E62))</f>
        <v/>
      </c>
      <c r="E62">
        <f>IFERROR(MATCH(58,'Equipaje'!$I$5:$I$85,0),"")</f>
        <v/>
      </c>
    </row>
    <row r="63">
      <c r="A63" s="25">
        <f>IF(E63="","","☐")</f>
        <v/>
      </c>
      <c r="B63" s="26">
        <f>IF(E63="","",INDEX('Equipaje'!$A$5:$A$85,E63))</f>
        <v/>
      </c>
      <c r="C63" s="26">
        <f>IF(E63="","",INDEX('Equipaje'!$B$5:$B$85,E63))</f>
        <v/>
      </c>
      <c r="D63" s="27">
        <f>IF(E63="","",INDEX('Equipaje'!$F$5:$F$85,E63))</f>
        <v/>
      </c>
      <c r="E63">
        <f>IFERROR(MATCH(59,'Equipaje'!$I$5:$I$85,0),"")</f>
        <v/>
      </c>
    </row>
    <row r="64">
      <c r="A64" s="25">
        <f>IF(E64="","","☐")</f>
        <v/>
      </c>
      <c r="B64" s="26">
        <f>IF(E64="","",INDEX('Equipaje'!$A$5:$A$85,E64))</f>
        <v/>
      </c>
      <c r="C64" s="26">
        <f>IF(E64="","",INDEX('Equipaje'!$B$5:$B$85,E64))</f>
        <v/>
      </c>
      <c r="D64" s="27">
        <f>IF(E64="","",INDEX('Equipaje'!$F$5:$F$85,E64))</f>
        <v/>
      </c>
      <c r="E64">
        <f>IFERROR(MATCH(60,'Equipaje'!$I$5:$I$85,0),"")</f>
        <v/>
      </c>
    </row>
    <row r="65">
      <c r="A65" s="25">
        <f>IF(E65="","","☐")</f>
        <v/>
      </c>
      <c r="B65" s="26">
        <f>IF(E65="","",INDEX('Equipaje'!$A$5:$A$85,E65))</f>
        <v/>
      </c>
      <c r="C65" s="26">
        <f>IF(E65="","",INDEX('Equipaje'!$B$5:$B$85,E65))</f>
        <v/>
      </c>
      <c r="D65" s="27">
        <f>IF(E65="","",INDEX('Equipaje'!$F$5:$F$85,E65))</f>
        <v/>
      </c>
      <c r="E65">
        <f>IFERROR(MATCH(61,'Equipaje'!$I$5:$I$85,0),"")</f>
        <v/>
      </c>
    </row>
    <row r="66">
      <c r="A66" s="25">
        <f>IF(E66="","","☐")</f>
        <v/>
      </c>
      <c r="B66" s="26">
        <f>IF(E66="","",INDEX('Equipaje'!$A$5:$A$85,E66))</f>
        <v/>
      </c>
      <c r="C66" s="26">
        <f>IF(E66="","",INDEX('Equipaje'!$B$5:$B$85,E66))</f>
        <v/>
      </c>
      <c r="D66" s="27">
        <f>IF(E66="","",INDEX('Equipaje'!$F$5:$F$85,E66))</f>
        <v/>
      </c>
      <c r="E66">
        <f>IFERROR(MATCH(62,'Equipaje'!$I$5:$I$85,0),"")</f>
        <v/>
      </c>
    </row>
    <row r="67">
      <c r="A67" s="25">
        <f>IF(E67="","","☐")</f>
        <v/>
      </c>
      <c r="B67" s="26">
        <f>IF(E67="","",INDEX('Equipaje'!$A$5:$A$85,E67))</f>
        <v/>
      </c>
      <c r="C67" s="26">
        <f>IF(E67="","",INDEX('Equipaje'!$B$5:$B$85,E67))</f>
        <v/>
      </c>
      <c r="D67" s="27">
        <f>IF(E67="","",INDEX('Equipaje'!$F$5:$F$85,E67))</f>
        <v/>
      </c>
      <c r="E67">
        <f>IFERROR(MATCH(63,'Equipaje'!$I$5:$I$85,0),"")</f>
        <v/>
      </c>
    </row>
    <row r="68">
      <c r="A68" s="25">
        <f>IF(E68="","","☐")</f>
        <v/>
      </c>
      <c r="B68" s="26">
        <f>IF(E68="","",INDEX('Equipaje'!$A$5:$A$85,E68))</f>
        <v/>
      </c>
      <c r="C68" s="26">
        <f>IF(E68="","",INDEX('Equipaje'!$B$5:$B$85,E68))</f>
        <v/>
      </c>
      <c r="D68" s="27">
        <f>IF(E68="","",INDEX('Equipaje'!$F$5:$F$85,E68))</f>
        <v/>
      </c>
      <c r="E68">
        <f>IFERROR(MATCH(64,'Equipaje'!$I$5:$I$85,0),"")</f>
        <v/>
      </c>
    </row>
    <row r="69">
      <c r="A69" s="25">
        <f>IF(E69="","","☐")</f>
        <v/>
      </c>
      <c r="B69" s="26">
        <f>IF(E69="","",INDEX('Equipaje'!$A$5:$A$85,E69))</f>
        <v/>
      </c>
      <c r="C69" s="26">
        <f>IF(E69="","",INDEX('Equipaje'!$B$5:$B$85,E69))</f>
        <v/>
      </c>
      <c r="D69" s="27">
        <f>IF(E69="","",INDEX('Equipaje'!$F$5:$F$85,E69))</f>
        <v/>
      </c>
      <c r="E69">
        <f>IFERROR(MATCH(65,'Equipaje'!$I$5:$I$85,0),"")</f>
        <v/>
      </c>
    </row>
    <row r="70">
      <c r="A70" s="25">
        <f>IF(E70="","","☐")</f>
        <v/>
      </c>
      <c r="B70" s="26">
        <f>IF(E70="","",INDEX('Equipaje'!$A$5:$A$85,E70))</f>
        <v/>
      </c>
      <c r="C70" s="26">
        <f>IF(E70="","",INDEX('Equipaje'!$B$5:$B$85,E70))</f>
        <v/>
      </c>
      <c r="D70" s="27">
        <f>IF(E70="","",INDEX('Equipaje'!$F$5:$F$85,E70))</f>
        <v/>
      </c>
      <c r="E70">
        <f>IFERROR(MATCH(66,'Equipaje'!$I$5:$I$85,0),"")</f>
        <v/>
      </c>
    </row>
    <row r="71">
      <c r="A71" s="25">
        <f>IF(E71="","","☐")</f>
        <v/>
      </c>
      <c r="B71" s="26">
        <f>IF(E71="","",INDEX('Equipaje'!$A$5:$A$85,E71))</f>
        <v/>
      </c>
      <c r="C71" s="26">
        <f>IF(E71="","",INDEX('Equipaje'!$B$5:$B$85,E71))</f>
        <v/>
      </c>
      <c r="D71" s="27">
        <f>IF(E71="","",INDEX('Equipaje'!$F$5:$F$85,E71))</f>
        <v/>
      </c>
      <c r="E71">
        <f>IFERROR(MATCH(67,'Equipaje'!$I$5:$I$85,0),"")</f>
        <v/>
      </c>
    </row>
    <row r="72">
      <c r="A72" s="25">
        <f>IF(E72="","","☐")</f>
        <v/>
      </c>
      <c r="B72" s="26">
        <f>IF(E72="","",INDEX('Equipaje'!$A$5:$A$85,E72))</f>
        <v/>
      </c>
      <c r="C72" s="26">
        <f>IF(E72="","",INDEX('Equipaje'!$B$5:$B$85,E72))</f>
        <v/>
      </c>
      <c r="D72" s="27">
        <f>IF(E72="","",INDEX('Equipaje'!$F$5:$F$85,E72))</f>
        <v/>
      </c>
      <c r="E72">
        <f>IFERROR(MATCH(68,'Equipaje'!$I$5:$I$85,0),"")</f>
        <v/>
      </c>
    </row>
    <row r="73">
      <c r="A73" s="25">
        <f>IF(E73="","","☐")</f>
        <v/>
      </c>
      <c r="B73" s="26">
        <f>IF(E73="","",INDEX('Equipaje'!$A$5:$A$85,E73))</f>
        <v/>
      </c>
      <c r="C73" s="26">
        <f>IF(E73="","",INDEX('Equipaje'!$B$5:$B$85,E73))</f>
        <v/>
      </c>
      <c r="D73" s="27">
        <f>IF(E73="","",INDEX('Equipaje'!$F$5:$F$85,E73))</f>
        <v/>
      </c>
      <c r="E73">
        <f>IFERROR(MATCH(69,'Equipaje'!$I$5:$I$85,0),"")</f>
        <v/>
      </c>
    </row>
    <row r="74">
      <c r="A74" s="25">
        <f>IF(E74="","","☐")</f>
        <v/>
      </c>
      <c r="B74" s="26">
        <f>IF(E74="","",INDEX('Equipaje'!$A$5:$A$85,E74))</f>
        <v/>
      </c>
      <c r="C74" s="26">
        <f>IF(E74="","",INDEX('Equipaje'!$B$5:$B$85,E74))</f>
        <v/>
      </c>
      <c r="D74" s="27">
        <f>IF(E74="","",INDEX('Equipaje'!$F$5:$F$85,E74))</f>
        <v/>
      </c>
      <c r="E74">
        <f>IFERROR(MATCH(70,'Equipaje'!$I$5:$I$85,0),"")</f>
        <v/>
      </c>
    </row>
    <row r="75">
      <c r="A75" s="25">
        <f>IF(E75="","","☐")</f>
        <v/>
      </c>
      <c r="B75" s="26">
        <f>IF(E75="","",INDEX('Equipaje'!$A$5:$A$85,E75))</f>
        <v/>
      </c>
      <c r="C75" s="26">
        <f>IF(E75="","",INDEX('Equipaje'!$B$5:$B$85,E75))</f>
        <v/>
      </c>
      <c r="D75" s="27">
        <f>IF(E75="","",INDEX('Equipaje'!$F$5:$F$85,E75))</f>
        <v/>
      </c>
      <c r="E75">
        <f>IFERROR(MATCH(71,'Equipaje'!$I$5:$I$85,0),"")</f>
        <v/>
      </c>
    </row>
    <row r="76">
      <c r="A76" s="25">
        <f>IF(E76="","","☐")</f>
        <v/>
      </c>
      <c r="B76" s="26">
        <f>IF(E76="","",INDEX('Equipaje'!$A$5:$A$85,E76))</f>
        <v/>
      </c>
      <c r="C76" s="26">
        <f>IF(E76="","",INDEX('Equipaje'!$B$5:$B$85,E76))</f>
        <v/>
      </c>
      <c r="D76" s="27">
        <f>IF(E76="","",INDEX('Equipaje'!$F$5:$F$85,E76))</f>
        <v/>
      </c>
      <c r="E76">
        <f>IFERROR(MATCH(72,'Equipaje'!$I$5:$I$85,0),"")</f>
        <v/>
      </c>
    </row>
    <row r="77">
      <c r="A77" s="25">
        <f>IF(E77="","","☐")</f>
        <v/>
      </c>
      <c r="B77" s="26">
        <f>IF(E77="","",INDEX('Equipaje'!$A$5:$A$85,E77))</f>
        <v/>
      </c>
      <c r="C77" s="26">
        <f>IF(E77="","",INDEX('Equipaje'!$B$5:$B$85,E77))</f>
        <v/>
      </c>
      <c r="D77" s="27">
        <f>IF(E77="","",INDEX('Equipaje'!$F$5:$F$85,E77))</f>
        <v/>
      </c>
      <c r="E77">
        <f>IFERROR(MATCH(73,'Equipaje'!$I$5:$I$85,0),"")</f>
        <v/>
      </c>
    </row>
    <row r="78">
      <c r="A78" s="25">
        <f>IF(E78="","","☐")</f>
        <v/>
      </c>
      <c r="B78" s="26">
        <f>IF(E78="","",INDEX('Equipaje'!$A$5:$A$85,E78))</f>
        <v/>
      </c>
      <c r="C78" s="26">
        <f>IF(E78="","",INDEX('Equipaje'!$B$5:$B$85,E78))</f>
        <v/>
      </c>
      <c r="D78" s="27">
        <f>IF(E78="","",INDEX('Equipaje'!$F$5:$F$85,E78))</f>
        <v/>
      </c>
      <c r="E78">
        <f>IFERROR(MATCH(74,'Equipaje'!$I$5:$I$85,0),"")</f>
        <v/>
      </c>
    </row>
    <row r="79">
      <c r="A79" s="25">
        <f>IF(E79="","","☐")</f>
        <v/>
      </c>
      <c r="B79" s="26">
        <f>IF(E79="","",INDEX('Equipaje'!$A$5:$A$85,E79))</f>
        <v/>
      </c>
      <c r="C79" s="26">
        <f>IF(E79="","",INDEX('Equipaje'!$B$5:$B$85,E79))</f>
        <v/>
      </c>
      <c r="D79" s="27">
        <f>IF(E79="","",INDEX('Equipaje'!$F$5:$F$85,E79))</f>
        <v/>
      </c>
      <c r="E79">
        <f>IFERROR(MATCH(75,'Equipaje'!$I$5:$I$85,0),"")</f>
        <v/>
      </c>
    </row>
    <row r="80">
      <c r="A80" s="25">
        <f>IF(E80="","","☐")</f>
        <v/>
      </c>
      <c r="B80" s="26">
        <f>IF(E80="","",INDEX('Equipaje'!$A$5:$A$85,E80))</f>
        <v/>
      </c>
      <c r="C80" s="26">
        <f>IF(E80="","",INDEX('Equipaje'!$B$5:$B$85,E80))</f>
        <v/>
      </c>
      <c r="D80" s="27">
        <f>IF(E80="","",INDEX('Equipaje'!$F$5:$F$85,E80))</f>
        <v/>
      </c>
      <c r="E80">
        <f>IFERROR(MATCH(76,'Equipaje'!$I$5:$I$85,0),"")</f>
        <v/>
      </c>
    </row>
    <row r="81">
      <c r="A81" s="25">
        <f>IF(E81="","","☐")</f>
        <v/>
      </c>
      <c r="B81" s="26">
        <f>IF(E81="","",INDEX('Equipaje'!$A$5:$A$85,E81))</f>
        <v/>
      </c>
      <c r="C81" s="26">
        <f>IF(E81="","",INDEX('Equipaje'!$B$5:$B$85,E81))</f>
        <v/>
      </c>
      <c r="D81" s="27">
        <f>IF(E81="","",INDEX('Equipaje'!$F$5:$F$85,E81))</f>
        <v/>
      </c>
      <c r="E81">
        <f>IFERROR(MATCH(77,'Equipaje'!$I$5:$I$85,0),"")</f>
        <v/>
      </c>
    </row>
    <row r="82">
      <c r="A82" s="25">
        <f>IF(E82="","","☐")</f>
        <v/>
      </c>
      <c r="B82" s="26">
        <f>IF(E82="","",INDEX('Equipaje'!$A$5:$A$85,E82))</f>
        <v/>
      </c>
      <c r="C82" s="26">
        <f>IF(E82="","",INDEX('Equipaje'!$B$5:$B$85,E82))</f>
        <v/>
      </c>
      <c r="D82" s="27">
        <f>IF(E82="","",INDEX('Equipaje'!$F$5:$F$85,E82))</f>
        <v/>
      </c>
      <c r="E82">
        <f>IFERROR(MATCH(78,'Equipaje'!$I$5:$I$85,0),"")</f>
        <v/>
      </c>
    </row>
    <row r="83">
      <c r="A83" s="25">
        <f>IF(E83="","","☐")</f>
        <v/>
      </c>
      <c r="B83" s="26">
        <f>IF(E83="","",INDEX('Equipaje'!$A$5:$A$85,E83))</f>
        <v/>
      </c>
      <c r="C83" s="26">
        <f>IF(E83="","",INDEX('Equipaje'!$B$5:$B$85,E83))</f>
        <v/>
      </c>
      <c r="D83" s="27">
        <f>IF(E83="","",INDEX('Equipaje'!$F$5:$F$85,E83))</f>
        <v/>
      </c>
      <c r="E83">
        <f>IFERROR(MATCH(79,'Equipaje'!$I$5:$I$85,0),"")</f>
        <v/>
      </c>
    </row>
    <row r="84">
      <c r="A84" s="25">
        <f>IF(E84="","","☐")</f>
        <v/>
      </c>
      <c r="B84" s="26">
        <f>IF(E84="","",INDEX('Equipaje'!$A$5:$A$85,E84))</f>
        <v/>
      </c>
      <c r="C84" s="26">
        <f>IF(E84="","",INDEX('Equipaje'!$B$5:$B$85,E84))</f>
        <v/>
      </c>
      <c r="D84" s="27">
        <f>IF(E84="","",INDEX('Equipaje'!$F$5:$F$85,E84))</f>
        <v/>
      </c>
      <c r="E84">
        <f>IFERROR(MATCH(80,'Equipaje'!$I$5:$I$85,0),"")</f>
        <v/>
      </c>
    </row>
    <row r="85">
      <c r="A85" s="25">
        <f>IF(E85="","","☐")</f>
        <v/>
      </c>
      <c r="B85" s="26">
        <f>IF(E85="","",INDEX('Equipaje'!$A$5:$A$85,E85))</f>
        <v/>
      </c>
      <c r="C85" s="26">
        <f>IF(E85="","",INDEX('Equipaje'!$B$5:$B$85,E85))</f>
        <v/>
      </c>
      <c r="D85" s="27">
        <f>IF(E85="","",INDEX('Equipaje'!$F$5:$F$85,E85))</f>
        <v/>
      </c>
      <c r="E85">
        <f>IFERROR(MATCH(81,'Equipaje'!$I$5:$I$85,0),"")</f>
        <v/>
      </c>
    </row>
  </sheetData>
  <conditionalFormatting sqref="A5:D5">
    <cfRule type="expression" priority="1" dxfId="6">
      <formula>$E5&lt;&gt;""</formula>
    </cfRule>
  </conditionalFormatting>
  <conditionalFormatting sqref="A6:D6">
    <cfRule type="expression" priority="2" dxfId="6">
      <formula>$E6&lt;&gt;""</formula>
    </cfRule>
  </conditionalFormatting>
  <conditionalFormatting sqref="A7:D7">
    <cfRule type="expression" priority="3" dxfId="6">
      <formula>$E7&lt;&gt;""</formula>
    </cfRule>
  </conditionalFormatting>
  <conditionalFormatting sqref="A8:D8">
    <cfRule type="expression" priority="4" dxfId="6">
      <formula>$E8&lt;&gt;""</formula>
    </cfRule>
  </conditionalFormatting>
  <conditionalFormatting sqref="A9:D9">
    <cfRule type="expression" priority="5" dxfId="6">
      <formula>$E9&lt;&gt;""</formula>
    </cfRule>
  </conditionalFormatting>
  <conditionalFormatting sqref="A10:D10">
    <cfRule type="expression" priority="6" dxfId="6">
      <formula>$E10&lt;&gt;""</formula>
    </cfRule>
  </conditionalFormatting>
  <conditionalFormatting sqref="A11:D11">
    <cfRule type="expression" priority="7" dxfId="6">
      <formula>$E11&lt;&gt;""</formula>
    </cfRule>
  </conditionalFormatting>
  <conditionalFormatting sqref="A12:D12">
    <cfRule type="expression" priority="8" dxfId="6">
      <formula>$E12&lt;&gt;""</formula>
    </cfRule>
  </conditionalFormatting>
  <conditionalFormatting sqref="A13:D13">
    <cfRule type="expression" priority="9" dxfId="6">
      <formula>$E13&lt;&gt;""</formula>
    </cfRule>
  </conditionalFormatting>
  <conditionalFormatting sqref="A14:D14">
    <cfRule type="expression" priority="10" dxfId="6">
      <formula>$E14&lt;&gt;""</formula>
    </cfRule>
  </conditionalFormatting>
  <conditionalFormatting sqref="A15:D15">
    <cfRule type="expression" priority="11" dxfId="6">
      <formula>$E15&lt;&gt;""</formula>
    </cfRule>
  </conditionalFormatting>
  <conditionalFormatting sqref="A16:D16">
    <cfRule type="expression" priority="12" dxfId="6">
      <formula>$E16&lt;&gt;""</formula>
    </cfRule>
  </conditionalFormatting>
  <conditionalFormatting sqref="A17:D17">
    <cfRule type="expression" priority="13" dxfId="6">
      <formula>$E17&lt;&gt;""</formula>
    </cfRule>
  </conditionalFormatting>
  <conditionalFormatting sqref="A18:D18">
    <cfRule type="expression" priority="14" dxfId="6">
      <formula>$E18&lt;&gt;""</formula>
    </cfRule>
  </conditionalFormatting>
  <conditionalFormatting sqref="A19:D19">
    <cfRule type="expression" priority="15" dxfId="6">
      <formula>$E19&lt;&gt;""</formula>
    </cfRule>
  </conditionalFormatting>
  <conditionalFormatting sqref="A20:D20">
    <cfRule type="expression" priority="16" dxfId="6">
      <formula>$E20&lt;&gt;""</formula>
    </cfRule>
  </conditionalFormatting>
  <conditionalFormatting sqref="A21:D21">
    <cfRule type="expression" priority="17" dxfId="6">
      <formula>$E21&lt;&gt;""</formula>
    </cfRule>
  </conditionalFormatting>
  <conditionalFormatting sqref="A22:D22">
    <cfRule type="expression" priority="18" dxfId="6">
      <formula>$E22&lt;&gt;""</formula>
    </cfRule>
  </conditionalFormatting>
  <conditionalFormatting sqref="A23:D23">
    <cfRule type="expression" priority="19" dxfId="6">
      <formula>$E23&lt;&gt;""</formula>
    </cfRule>
  </conditionalFormatting>
  <conditionalFormatting sqref="A24:D24">
    <cfRule type="expression" priority="20" dxfId="6">
      <formula>$E24&lt;&gt;""</formula>
    </cfRule>
  </conditionalFormatting>
  <conditionalFormatting sqref="A25:D25">
    <cfRule type="expression" priority="21" dxfId="6">
      <formula>$E25&lt;&gt;""</formula>
    </cfRule>
  </conditionalFormatting>
  <conditionalFormatting sqref="A26:D26">
    <cfRule type="expression" priority="22" dxfId="6">
      <formula>$E26&lt;&gt;""</formula>
    </cfRule>
  </conditionalFormatting>
  <conditionalFormatting sqref="A27:D27">
    <cfRule type="expression" priority="23" dxfId="6">
      <formula>$E27&lt;&gt;""</formula>
    </cfRule>
  </conditionalFormatting>
  <conditionalFormatting sqref="A28:D28">
    <cfRule type="expression" priority="24" dxfId="6">
      <formula>$E28&lt;&gt;""</formula>
    </cfRule>
  </conditionalFormatting>
  <conditionalFormatting sqref="A29:D29">
    <cfRule type="expression" priority="25" dxfId="6">
      <formula>$E29&lt;&gt;""</formula>
    </cfRule>
  </conditionalFormatting>
  <conditionalFormatting sqref="A30:D30">
    <cfRule type="expression" priority="26" dxfId="6">
      <formula>$E30&lt;&gt;""</formula>
    </cfRule>
  </conditionalFormatting>
  <conditionalFormatting sqref="A31:D31">
    <cfRule type="expression" priority="27" dxfId="6">
      <formula>$E31&lt;&gt;""</formula>
    </cfRule>
  </conditionalFormatting>
  <conditionalFormatting sqref="A32:D32">
    <cfRule type="expression" priority="28" dxfId="6">
      <formula>$E32&lt;&gt;""</formula>
    </cfRule>
  </conditionalFormatting>
  <conditionalFormatting sqref="A33:D33">
    <cfRule type="expression" priority="29" dxfId="6">
      <formula>$E33&lt;&gt;""</formula>
    </cfRule>
  </conditionalFormatting>
  <conditionalFormatting sqref="A34:D34">
    <cfRule type="expression" priority="30" dxfId="6">
      <formula>$E34&lt;&gt;""</formula>
    </cfRule>
  </conditionalFormatting>
  <conditionalFormatting sqref="A35:D35">
    <cfRule type="expression" priority="31" dxfId="6">
      <formula>$E35&lt;&gt;""</formula>
    </cfRule>
  </conditionalFormatting>
  <conditionalFormatting sqref="A36:D36">
    <cfRule type="expression" priority="32" dxfId="6">
      <formula>$E36&lt;&gt;""</formula>
    </cfRule>
  </conditionalFormatting>
  <conditionalFormatting sqref="A37:D37">
    <cfRule type="expression" priority="33" dxfId="6">
      <formula>$E37&lt;&gt;""</formula>
    </cfRule>
  </conditionalFormatting>
  <conditionalFormatting sqref="A38:D38">
    <cfRule type="expression" priority="34" dxfId="6">
      <formula>$E38&lt;&gt;""</formula>
    </cfRule>
  </conditionalFormatting>
  <conditionalFormatting sqref="A39:D39">
    <cfRule type="expression" priority="35" dxfId="6">
      <formula>$E39&lt;&gt;""</formula>
    </cfRule>
  </conditionalFormatting>
  <conditionalFormatting sqref="A40:D40">
    <cfRule type="expression" priority="36" dxfId="6">
      <formula>$E40&lt;&gt;""</formula>
    </cfRule>
  </conditionalFormatting>
  <conditionalFormatting sqref="A41:D41">
    <cfRule type="expression" priority="37" dxfId="6">
      <formula>$E41&lt;&gt;""</formula>
    </cfRule>
  </conditionalFormatting>
  <conditionalFormatting sqref="A42:D42">
    <cfRule type="expression" priority="38" dxfId="6">
      <formula>$E42&lt;&gt;""</formula>
    </cfRule>
  </conditionalFormatting>
  <conditionalFormatting sqref="A43:D43">
    <cfRule type="expression" priority="39" dxfId="6">
      <formula>$E43&lt;&gt;""</formula>
    </cfRule>
  </conditionalFormatting>
  <conditionalFormatting sqref="A44:D44">
    <cfRule type="expression" priority="40" dxfId="6">
      <formula>$E44&lt;&gt;""</formula>
    </cfRule>
  </conditionalFormatting>
  <conditionalFormatting sqref="A45:D45">
    <cfRule type="expression" priority="41" dxfId="6">
      <formula>$E45&lt;&gt;""</formula>
    </cfRule>
  </conditionalFormatting>
  <conditionalFormatting sqref="A46:D46">
    <cfRule type="expression" priority="42" dxfId="6">
      <formula>$E46&lt;&gt;""</formula>
    </cfRule>
  </conditionalFormatting>
  <conditionalFormatting sqref="A47:D47">
    <cfRule type="expression" priority="43" dxfId="6">
      <formula>$E47&lt;&gt;""</formula>
    </cfRule>
  </conditionalFormatting>
  <conditionalFormatting sqref="A48:D48">
    <cfRule type="expression" priority="44" dxfId="6">
      <formula>$E48&lt;&gt;""</formula>
    </cfRule>
  </conditionalFormatting>
  <conditionalFormatting sqref="A49:D49">
    <cfRule type="expression" priority="45" dxfId="6">
      <formula>$E49&lt;&gt;""</formula>
    </cfRule>
  </conditionalFormatting>
  <conditionalFormatting sqref="A50:D50">
    <cfRule type="expression" priority="46" dxfId="6">
      <formula>$E50&lt;&gt;""</formula>
    </cfRule>
  </conditionalFormatting>
  <conditionalFormatting sqref="A51:D51">
    <cfRule type="expression" priority="47" dxfId="6">
      <formula>$E51&lt;&gt;""</formula>
    </cfRule>
  </conditionalFormatting>
  <conditionalFormatting sqref="A52:D52">
    <cfRule type="expression" priority="48" dxfId="6">
      <formula>$E52&lt;&gt;""</formula>
    </cfRule>
  </conditionalFormatting>
  <conditionalFormatting sqref="A53:D53">
    <cfRule type="expression" priority="49" dxfId="6">
      <formula>$E53&lt;&gt;""</formula>
    </cfRule>
  </conditionalFormatting>
  <conditionalFormatting sqref="A54:D54">
    <cfRule type="expression" priority="50" dxfId="6">
      <formula>$E54&lt;&gt;""</formula>
    </cfRule>
  </conditionalFormatting>
  <conditionalFormatting sqref="A55:D55">
    <cfRule type="expression" priority="51" dxfId="6">
      <formula>$E55&lt;&gt;""</formula>
    </cfRule>
  </conditionalFormatting>
  <conditionalFormatting sqref="A56:D56">
    <cfRule type="expression" priority="52" dxfId="6">
      <formula>$E56&lt;&gt;""</formula>
    </cfRule>
  </conditionalFormatting>
  <conditionalFormatting sqref="A57:D57">
    <cfRule type="expression" priority="53" dxfId="6">
      <formula>$E57&lt;&gt;""</formula>
    </cfRule>
  </conditionalFormatting>
  <conditionalFormatting sqref="A58:D58">
    <cfRule type="expression" priority="54" dxfId="6">
      <formula>$E58&lt;&gt;""</formula>
    </cfRule>
  </conditionalFormatting>
  <conditionalFormatting sqref="A59:D59">
    <cfRule type="expression" priority="55" dxfId="6">
      <formula>$E59&lt;&gt;""</formula>
    </cfRule>
  </conditionalFormatting>
  <conditionalFormatting sqref="A60:D60">
    <cfRule type="expression" priority="56" dxfId="6">
      <formula>$E60&lt;&gt;""</formula>
    </cfRule>
  </conditionalFormatting>
  <conditionalFormatting sqref="A61:D61">
    <cfRule type="expression" priority="57" dxfId="6">
      <formula>$E61&lt;&gt;""</formula>
    </cfRule>
  </conditionalFormatting>
  <conditionalFormatting sqref="A62:D62">
    <cfRule type="expression" priority="58" dxfId="6">
      <formula>$E62&lt;&gt;""</formula>
    </cfRule>
  </conditionalFormatting>
  <conditionalFormatting sqref="A63:D63">
    <cfRule type="expression" priority="59" dxfId="6">
      <formula>$E63&lt;&gt;""</formula>
    </cfRule>
  </conditionalFormatting>
  <conditionalFormatting sqref="A64:D64">
    <cfRule type="expression" priority="60" dxfId="6">
      <formula>$E64&lt;&gt;""</formula>
    </cfRule>
  </conditionalFormatting>
  <conditionalFormatting sqref="A65:D65">
    <cfRule type="expression" priority="61" dxfId="6">
      <formula>$E65&lt;&gt;""</formula>
    </cfRule>
  </conditionalFormatting>
  <conditionalFormatting sqref="A66:D66">
    <cfRule type="expression" priority="62" dxfId="6">
      <formula>$E66&lt;&gt;""</formula>
    </cfRule>
  </conditionalFormatting>
  <conditionalFormatting sqref="A67:D67">
    <cfRule type="expression" priority="63" dxfId="6">
      <formula>$E67&lt;&gt;""</formula>
    </cfRule>
  </conditionalFormatting>
  <conditionalFormatting sqref="A68:D68">
    <cfRule type="expression" priority="64" dxfId="6">
      <formula>$E68&lt;&gt;""</formula>
    </cfRule>
  </conditionalFormatting>
  <conditionalFormatting sqref="A69:D69">
    <cfRule type="expression" priority="65" dxfId="6">
      <formula>$E69&lt;&gt;""</formula>
    </cfRule>
  </conditionalFormatting>
  <conditionalFormatting sqref="A70:D70">
    <cfRule type="expression" priority="66" dxfId="6">
      <formula>$E70&lt;&gt;""</formula>
    </cfRule>
  </conditionalFormatting>
  <conditionalFormatting sqref="A71:D71">
    <cfRule type="expression" priority="67" dxfId="6">
      <formula>$E71&lt;&gt;""</formula>
    </cfRule>
  </conditionalFormatting>
  <conditionalFormatting sqref="A72:D72">
    <cfRule type="expression" priority="68" dxfId="6">
      <formula>$E72&lt;&gt;""</formula>
    </cfRule>
  </conditionalFormatting>
  <conditionalFormatting sqref="A73:D73">
    <cfRule type="expression" priority="69" dxfId="6">
      <formula>$E73&lt;&gt;""</formula>
    </cfRule>
  </conditionalFormatting>
  <conditionalFormatting sqref="A74:D74">
    <cfRule type="expression" priority="70" dxfId="6">
      <formula>$E74&lt;&gt;""</formula>
    </cfRule>
  </conditionalFormatting>
  <conditionalFormatting sqref="A75:D75">
    <cfRule type="expression" priority="71" dxfId="6">
      <formula>$E75&lt;&gt;""</formula>
    </cfRule>
  </conditionalFormatting>
  <conditionalFormatting sqref="A76:D76">
    <cfRule type="expression" priority="72" dxfId="6">
      <formula>$E76&lt;&gt;""</formula>
    </cfRule>
  </conditionalFormatting>
  <conditionalFormatting sqref="A77:D77">
    <cfRule type="expression" priority="73" dxfId="6">
      <formula>$E77&lt;&gt;""</formula>
    </cfRule>
  </conditionalFormatting>
  <conditionalFormatting sqref="A78:D78">
    <cfRule type="expression" priority="74" dxfId="6">
      <formula>$E78&lt;&gt;""</formula>
    </cfRule>
  </conditionalFormatting>
  <conditionalFormatting sqref="A79:D79">
    <cfRule type="expression" priority="75" dxfId="6">
      <formula>$E79&lt;&gt;""</formula>
    </cfRule>
  </conditionalFormatting>
  <conditionalFormatting sqref="A80:D80">
    <cfRule type="expression" priority="76" dxfId="6">
      <formula>$E80&lt;&gt;""</formula>
    </cfRule>
  </conditionalFormatting>
  <conditionalFormatting sqref="A81:D81">
    <cfRule type="expression" priority="77" dxfId="6">
      <formula>$E81&lt;&gt;""</formula>
    </cfRule>
  </conditionalFormatting>
  <conditionalFormatting sqref="A82:D82">
    <cfRule type="expression" priority="78" dxfId="6">
      <formula>$E82&lt;&gt;""</formula>
    </cfRule>
  </conditionalFormatting>
  <conditionalFormatting sqref="A83:D83">
    <cfRule type="expression" priority="79" dxfId="6">
      <formula>$E83&lt;&gt;""</formula>
    </cfRule>
  </conditionalFormatting>
  <conditionalFormatting sqref="A84:D84">
    <cfRule type="expression" priority="80" dxfId="6">
      <formula>$E84&lt;&gt;""</formula>
    </cfRule>
  </conditionalFormatting>
  <conditionalFormatting sqref="A85:D85">
    <cfRule type="expression" priority="81" dxfId="6">
      <formula>$E85&lt;&gt;""</formula>
    </cfRule>
  </conditionalFormatting>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2026-10-26T18:17:48Z</dcterms:created>
  <dcterms:modified xmlns:dcterms="http://purl.org/dc/terms/" xmlns:xsi="http://www.w3.org/2001/XMLSchema-instance" xsi:type="dcterms:W3CDTF">2026-10-26T18:17:49Z</dcterms:modified>
</cp:coreProperties>
</file>